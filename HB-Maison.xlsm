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mer_\Documents\Personal\"/>
    </mc:Choice>
  </mc:AlternateContent>
  <xr:revisionPtr revIDLastSave="0" documentId="13_ncr:1_{35B7CFB7-4F39-4E49-A9AC-6C33E724819F}" xr6:coauthVersionLast="47" xr6:coauthVersionMax="47" xr10:uidLastSave="{00000000-0000-0000-0000-000000000000}"/>
  <bookViews>
    <workbookView xWindow="-98" yWindow="-98" windowWidth="20715" windowHeight="13276" firstSheet="2" activeTab="3" xr2:uid="{ABB3E140-0ED9-4F34-9266-D1B733EA5D8F}"/>
  </bookViews>
  <sheets>
    <sheet name="HelpTips" sheetId="2" state="hidden" r:id="rId1"/>
    <sheet name="Examples" sheetId="3" state="hidden" r:id="rId2"/>
    <sheet name="Summary" sheetId="14" r:id="rId3"/>
    <sheet name="Transactions" sheetId="11" r:id="rId4"/>
    <sheet name="Monthly" sheetId="9" r:id="rId5"/>
    <sheet name="Daily" sheetId="16" r:id="rId6"/>
    <sheet name="Customers" sheetId="6" r:id="rId7"/>
    <sheet name="Vendors" sheetId="5" r:id="rId8"/>
    <sheet name="Accounts" sheetId="15" r:id="rId9"/>
    <sheet name="ListSelections" sheetId="12" state="hidden" r:id="rId10"/>
    <sheet name="Inventory Report" sheetId="8" r:id="rId11"/>
  </sheets>
  <definedNames>
    <definedName name="_xlnm._FilterDatabase" localSheetId="6" hidden="1">Customers!$B$2:$I$2</definedName>
    <definedName name="_xlnm._FilterDatabase" localSheetId="10" hidden="1">'Inventory Report'!$B$5:$K$105</definedName>
    <definedName name="_xlnm._FilterDatabase" localSheetId="3" hidden="1">Transactions!$B$3:$Q$155</definedName>
    <definedName name="CustomersList">Customers!$B$3:$B$11</definedName>
    <definedName name="_xlnm.Extract" localSheetId="2">Summary!#REF!</definedName>
    <definedName name="ItemsColumn">Transactions!$G:$G</definedName>
    <definedName name="ListSelections">ListSelections!$B$2:$B$9</definedName>
    <definedName name="TransactionsRange">Transactions!$B$4:$Q$1226</definedName>
    <definedName name="VendorsList" localSheetId="8">Accounts!$B$4:$B$11</definedName>
    <definedName name="VendorsList">Vendors!$B$4:$B$11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224" i="11" l="1" a="1"/>
  <c r="Q1224" i="11" s="1"/>
  <c r="O1224" i="11"/>
  <c r="L1224" i="11"/>
  <c r="E1224" i="11"/>
  <c r="Q1223" i="11" a="1"/>
  <c r="Q1223" i="11" s="1"/>
  <c r="O1223" i="11"/>
  <c r="L1223" i="11"/>
  <c r="E1223" i="11"/>
  <c r="Q1222" i="11" a="1"/>
  <c r="Q1222" i="11" s="1"/>
  <c r="L1222" i="11"/>
  <c r="E1222" i="11"/>
  <c r="Q1221" i="11" a="1"/>
  <c r="Q1221" i="11" s="1"/>
  <c r="L1221" i="11"/>
  <c r="E1221" i="11"/>
  <c r="Q1220" i="11" a="1"/>
  <c r="Q1220" i="11" s="1"/>
  <c r="L1220" i="11"/>
  <c r="E1220" i="11"/>
  <c r="Q1219" i="11" a="1"/>
  <c r="Q1219" i="11" s="1"/>
  <c r="O1219" i="11"/>
  <c r="L1219" i="11"/>
  <c r="E1219" i="11"/>
  <c r="Q1218" i="11" a="1"/>
  <c r="Q1218" i="11" s="1"/>
  <c r="O1218" i="11"/>
  <c r="L1218" i="11"/>
  <c r="E1218" i="11"/>
  <c r="Q1217" i="11" a="1"/>
  <c r="Q1217" i="11" s="1"/>
  <c r="O1217" i="11"/>
  <c r="L1217" i="11"/>
  <c r="E1217" i="11"/>
  <c r="Q1216" i="11" a="1"/>
  <c r="Q1216" i="11" s="1"/>
  <c r="O1216" i="11"/>
  <c r="L1216" i="11"/>
  <c r="E1216" i="11"/>
  <c r="Q1215" i="11" a="1"/>
  <c r="Q1215" i="11" s="1"/>
  <c r="O1215" i="11"/>
  <c r="L1215" i="11"/>
  <c r="E1215" i="11"/>
  <c r="Q1214" i="11" a="1"/>
  <c r="Q1214" i="11" s="1"/>
  <c r="O1214" i="11"/>
  <c r="L1214" i="11"/>
  <c r="E1214" i="11"/>
  <c r="Q1210" i="11" a="1"/>
  <c r="Q1210" i="11" s="1"/>
  <c r="L1210" i="11"/>
  <c r="E1210" i="11"/>
  <c r="Q1209" i="11" a="1"/>
  <c r="Q1209" i="11" s="1"/>
  <c r="O1209" i="11"/>
  <c r="L1209" i="11"/>
  <c r="E1209" i="11"/>
  <c r="Q1208" i="11" a="1"/>
  <c r="Q1208" i="11" s="1"/>
  <c r="O1208" i="11"/>
  <c r="L1208" i="11"/>
  <c r="E1208" i="11"/>
  <c r="Q1207" i="11" a="1"/>
  <c r="Q1207" i="11" s="1"/>
  <c r="O1207" i="11"/>
  <c r="L1207" i="11"/>
  <c r="E1207" i="11"/>
  <c r="Q1206" i="11" a="1"/>
  <c r="Q1206" i="11" s="1"/>
  <c r="O1206" i="11"/>
  <c r="L1206" i="11"/>
  <c r="E1206" i="11"/>
  <c r="Q1205" i="11" a="1"/>
  <c r="Q1205" i="11" s="1"/>
  <c r="O1205" i="11"/>
  <c r="L1205" i="11"/>
  <c r="E1205" i="11"/>
  <c r="Q1204" i="11" a="1"/>
  <c r="Q1204" i="11" s="1"/>
  <c r="O1204" i="11"/>
  <c r="L1204" i="11"/>
  <c r="E1204" i="11"/>
  <c r="Q1203" i="11" a="1"/>
  <c r="Q1203" i="11" s="1"/>
  <c r="O1203" i="11"/>
  <c r="L1203" i="11"/>
  <c r="E1203" i="11"/>
  <c r="Q1202" i="11" a="1"/>
  <c r="Q1202" i="11" s="1"/>
  <c r="O1202" i="11"/>
  <c r="L1202" i="11"/>
  <c r="E1202" i="11"/>
  <c r="O4" i="11" l="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7" i="11"/>
  <c r="O38" i="11"/>
  <c r="O39" i="11"/>
  <c r="O40" i="11"/>
  <c r="O41" i="11"/>
  <c r="O42" i="11"/>
  <c r="O43" i="11"/>
  <c r="O45" i="11"/>
  <c r="O46" i="11"/>
  <c r="O47" i="11"/>
  <c r="O48" i="11"/>
  <c r="O49" i="11"/>
  <c r="O50" i="11"/>
  <c r="O51" i="11"/>
  <c r="O52" i="11"/>
  <c r="O53" i="11"/>
  <c r="O54" i="11"/>
  <c r="O55" i="11"/>
  <c r="O56" i="11"/>
  <c r="O57" i="11"/>
  <c r="O58" i="11"/>
  <c r="O59" i="11"/>
  <c r="O60" i="11"/>
  <c r="O61" i="11"/>
  <c r="O62" i="11"/>
  <c r="O63" i="11"/>
  <c r="O64" i="11"/>
  <c r="O65" i="11"/>
  <c r="O66" i="11"/>
  <c r="O67" i="11"/>
  <c r="O68" i="11"/>
  <c r="O69" i="11"/>
  <c r="O70" i="11"/>
  <c r="O71" i="11"/>
  <c r="O72" i="11"/>
  <c r="O73" i="11"/>
  <c r="O74" i="11"/>
  <c r="O75" i="11"/>
  <c r="O76" i="11"/>
  <c r="O77" i="11"/>
  <c r="O78" i="11"/>
  <c r="O79" i="11"/>
  <c r="O80" i="11"/>
  <c r="O81" i="11"/>
  <c r="O82" i="11"/>
  <c r="O83" i="11"/>
  <c r="O84" i="11"/>
  <c r="O85" i="11"/>
  <c r="O86" i="11"/>
  <c r="O87" i="11"/>
  <c r="O88" i="11"/>
  <c r="O109" i="11"/>
  <c r="O142" i="11"/>
  <c r="O154" i="11"/>
  <c r="O158" i="11"/>
  <c r="O159" i="11"/>
  <c r="O160" i="11"/>
  <c r="O161" i="11"/>
  <c r="O162" i="11"/>
  <c r="O163" i="11"/>
  <c r="O164" i="11"/>
  <c r="O165" i="11"/>
  <c r="O166" i="11"/>
  <c r="O167" i="11"/>
  <c r="O168" i="11"/>
  <c r="O169" i="11"/>
  <c r="O170" i="11"/>
  <c r="O171" i="11"/>
  <c r="O172" i="11"/>
  <c r="O173" i="11"/>
  <c r="O174" i="11"/>
  <c r="O175" i="11"/>
  <c r="O176" i="11"/>
  <c r="O177" i="11"/>
  <c r="O178" i="11"/>
  <c r="O179" i="11"/>
  <c r="O180" i="11"/>
  <c r="O181" i="11"/>
  <c r="O182" i="11"/>
  <c r="O183" i="11"/>
  <c r="O184" i="11"/>
  <c r="O185" i="11"/>
  <c r="O186" i="11"/>
  <c r="O187" i="11"/>
  <c r="O188" i="11"/>
  <c r="O189" i="11"/>
  <c r="O190" i="11"/>
  <c r="O191" i="11"/>
  <c r="O192" i="11"/>
  <c r="O193" i="11"/>
  <c r="O194" i="11"/>
  <c r="O195" i="11"/>
  <c r="O196" i="11"/>
  <c r="O197" i="11"/>
  <c r="O198" i="11"/>
  <c r="O199" i="11"/>
  <c r="O200" i="11"/>
  <c r="O201" i="11"/>
  <c r="O202" i="11"/>
  <c r="O203" i="11"/>
  <c r="O204" i="11"/>
  <c r="O205" i="11"/>
  <c r="O206" i="11"/>
  <c r="O207" i="11"/>
  <c r="O208" i="11"/>
  <c r="O209" i="11"/>
  <c r="O210" i="11"/>
  <c r="O211" i="11"/>
  <c r="O212" i="11"/>
  <c r="O213" i="11"/>
  <c r="O214" i="11"/>
  <c r="O215" i="11"/>
  <c r="O216" i="11"/>
  <c r="O217" i="11"/>
  <c r="O218" i="11"/>
  <c r="O219" i="11"/>
  <c r="O220" i="11"/>
  <c r="O221" i="11"/>
  <c r="O222" i="11"/>
  <c r="O223" i="11"/>
  <c r="O224" i="11"/>
  <c r="O225" i="11"/>
  <c r="O245" i="11"/>
  <c r="O246" i="11"/>
  <c r="O262" i="11"/>
  <c r="O263" i="11"/>
  <c r="O264" i="11"/>
  <c r="O265" i="11"/>
  <c r="O266" i="11"/>
  <c r="O267" i="11"/>
  <c r="O268" i="11"/>
  <c r="O269" i="11"/>
  <c r="O270" i="11"/>
  <c r="O277" i="11"/>
  <c r="O278" i="11"/>
  <c r="O279" i="11"/>
  <c r="O280" i="11"/>
  <c r="O281" i="11"/>
  <c r="O282" i="11"/>
  <c r="O283" i="11"/>
  <c r="O284" i="11"/>
  <c r="O285" i="11"/>
  <c r="O286" i="11"/>
  <c r="O287" i="11"/>
  <c r="O288" i="11"/>
  <c r="O289" i="11"/>
  <c r="O290" i="11"/>
  <c r="O291" i="11"/>
  <c r="O292" i="11"/>
  <c r="O297" i="11"/>
  <c r="O298" i="11"/>
  <c r="O299" i="11"/>
  <c r="O300" i="11"/>
  <c r="O301" i="11"/>
  <c r="O302" i="11"/>
  <c r="O310" i="11"/>
  <c r="O323" i="11"/>
  <c r="O331" i="11"/>
  <c r="O337" i="11"/>
  <c r="O338" i="11"/>
  <c r="O339" i="11"/>
  <c r="O340" i="11"/>
  <c r="O341" i="11"/>
  <c r="O342" i="11"/>
  <c r="O343" i="11"/>
  <c r="O344" i="11"/>
  <c r="O345" i="11"/>
  <c r="O346" i="11"/>
  <c r="O347" i="11"/>
  <c r="O348" i="11"/>
  <c r="O349" i="11"/>
  <c r="O350" i="11"/>
  <c r="O351" i="11"/>
  <c r="O352" i="11"/>
  <c r="O356" i="11"/>
  <c r="O362" i="11"/>
  <c r="O363" i="11"/>
  <c r="O364" i="11"/>
  <c r="O369" i="11"/>
  <c r="O371" i="11"/>
  <c r="O375" i="11"/>
  <c r="O376" i="11"/>
  <c r="O380" i="11"/>
  <c r="O381" i="11"/>
  <c r="O382" i="11"/>
  <c r="O383" i="11"/>
  <c r="O389" i="11"/>
  <c r="O390" i="11"/>
  <c r="O391" i="11"/>
  <c r="O394" i="11"/>
  <c r="O397" i="11"/>
  <c r="O399" i="11"/>
  <c r="O400" i="11"/>
  <c r="O401" i="11"/>
  <c r="O402" i="11"/>
  <c r="O403" i="11"/>
  <c r="O404" i="11"/>
  <c r="O405" i="11"/>
  <c r="O406" i="11"/>
  <c r="O407" i="11"/>
  <c r="O408" i="11"/>
  <c r="O409" i="11"/>
  <c r="O410" i="11"/>
  <c r="O411" i="11"/>
  <c r="O412" i="11"/>
  <c r="O413" i="11"/>
  <c r="O414" i="11"/>
  <c r="O415" i="11"/>
  <c r="O416" i="11"/>
  <c r="O417" i="11"/>
  <c r="O425" i="11"/>
  <c r="O437" i="11"/>
  <c r="O438" i="11"/>
  <c r="O439" i="11"/>
  <c r="O440" i="11"/>
  <c r="O449" i="11"/>
  <c r="O455" i="11"/>
  <c r="O459" i="11"/>
  <c r="O460" i="11"/>
  <c r="O461" i="11"/>
  <c r="O462" i="11"/>
  <c r="O463" i="11"/>
  <c r="O464" i="11"/>
  <c r="O465" i="11"/>
  <c r="O466" i="11"/>
  <c r="O467" i="11"/>
  <c r="O468" i="11"/>
  <c r="O469" i="11"/>
  <c r="O470" i="11"/>
  <c r="O471" i="11"/>
  <c r="O473" i="11"/>
  <c r="O492" i="11"/>
  <c r="O499" i="11"/>
  <c r="O500" i="11"/>
  <c r="O501" i="11"/>
  <c r="O502" i="11"/>
  <c r="O503" i="11"/>
  <c r="O504" i="11"/>
  <c r="O505" i="11"/>
  <c r="O506" i="11"/>
  <c r="O511" i="11"/>
  <c r="O517" i="11"/>
  <c r="O518" i="11"/>
  <c r="O521" i="11"/>
  <c r="O537" i="11"/>
  <c r="O538" i="11"/>
  <c r="O539" i="11"/>
  <c r="O540" i="11"/>
  <c r="O541" i="11"/>
  <c r="O542" i="11"/>
  <c r="O547" i="11"/>
  <c r="O548" i="11"/>
  <c r="O558" i="11"/>
  <c r="O564" i="11"/>
  <c r="O565" i="11"/>
  <c r="O566" i="11"/>
  <c r="O567" i="11"/>
  <c r="O568" i="11"/>
  <c r="O569" i="11"/>
  <c r="O577" i="11"/>
  <c r="O584" i="11"/>
  <c r="O594" i="11"/>
  <c r="O595" i="11"/>
  <c r="O596" i="11"/>
  <c r="O597" i="11"/>
  <c r="O598" i="11"/>
  <c r="O599" i="11"/>
  <c r="O600" i="11"/>
  <c r="O601" i="11"/>
  <c r="O602" i="11"/>
  <c r="O603" i="11"/>
  <c r="O604" i="11"/>
  <c r="O605" i="11"/>
  <c r="O606" i="11"/>
  <c r="O607" i="11"/>
  <c r="O608" i="11"/>
  <c r="O609" i="11"/>
  <c r="O610" i="11"/>
  <c r="O611" i="11"/>
  <c r="O612" i="11"/>
  <c r="O613" i="11"/>
  <c r="O614" i="11"/>
  <c r="O615" i="11"/>
  <c r="O616" i="11"/>
  <c r="O617" i="11"/>
  <c r="O618" i="11"/>
  <c r="O619" i="11"/>
  <c r="O620" i="11"/>
  <c r="O621" i="11"/>
  <c r="O622" i="11"/>
  <c r="O623" i="11"/>
  <c r="O624" i="11"/>
  <c r="O625" i="11"/>
  <c r="O626" i="11"/>
  <c r="O627" i="11"/>
  <c r="O628" i="11"/>
  <c r="O629" i="11"/>
  <c r="O630" i="11"/>
  <c r="O631" i="11"/>
  <c r="O632" i="11"/>
  <c r="O637" i="11"/>
  <c r="O638" i="11"/>
  <c r="O639" i="11"/>
  <c r="O640" i="11"/>
  <c r="O641" i="11"/>
  <c r="O642" i="11"/>
  <c r="O646" i="11"/>
  <c r="O649" i="11"/>
  <c r="O666" i="11"/>
  <c r="O669" i="11"/>
  <c r="O685" i="11"/>
  <c r="O686" i="11"/>
  <c r="O687" i="11"/>
  <c r="O688" i="11"/>
  <c r="O689" i="11"/>
  <c r="O690" i="11"/>
  <c r="O691" i="11"/>
  <c r="O699" i="11"/>
  <c r="O703" i="11"/>
  <c r="O705" i="11"/>
  <c r="O706" i="11"/>
  <c r="O711" i="11"/>
  <c r="O712" i="11"/>
  <c r="O713" i="11"/>
  <c r="O733" i="11"/>
  <c r="O744" i="11"/>
  <c r="O745" i="11"/>
  <c r="O746" i="11"/>
  <c r="O747" i="11"/>
  <c r="O748" i="11"/>
  <c r="O749" i="11"/>
  <c r="O750" i="11"/>
  <c r="O751" i="11"/>
  <c r="O752" i="11"/>
  <c r="O753" i="11"/>
  <c r="O760" i="11"/>
  <c r="O762" i="11"/>
  <c r="O776" i="11"/>
  <c r="O792" i="11"/>
  <c r="O793" i="11"/>
  <c r="O794" i="11"/>
  <c r="O795" i="11"/>
  <c r="O796" i="11"/>
  <c r="O797" i="11"/>
  <c r="O799" i="11"/>
  <c r="O800" i="11"/>
  <c r="O801" i="11"/>
  <c r="O802" i="11"/>
  <c r="O803" i="11"/>
  <c r="O804" i="11"/>
  <c r="O811" i="11"/>
  <c r="O812" i="11"/>
  <c r="O813" i="11"/>
  <c r="O825" i="11"/>
  <c r="O826" i="11"/>
  <c r="O830" i="11"/>
  <c r="O831" i="11"/>
  <c r="O832" i="11"/>
  <c r="O837" i="11"/>
  <c r="O838" i="11"/>
  <c r="O839" i="11"/>
  <c r="O840" i="11"/>
  <c r="O843" i="11"/>
  <c r="O844" i="11"/>
  <c r="O845" i="11"/>
  <c r="O846" i="11"/>
  <c r="O847" i="11"/>
  <c r="O848" i="11"/>
  <c r="O849" i="11"/>
  <c r="O850" i="11"/>
  <c r="O881" i="11"/>
  <c r="O882" i="11"/>
  <c r="O883" i="11"/>
  <c r="O884" i="11"/>
  <c r="O885" i="11"/>
  <c r="O886" i="11"/>
  <c r="O926" i="11"/>
  <c r="O927" i="11"/>
  <c r="O928" i="11"/>
  <c r="O929" i="11"/>
  <c r="O930" i="11"/>
  <c r="O931" i="11"/>
  <c r="O932" i="11"/>
  <c r="O933" i="11"/>
  <c r="O934" i="11"/>
  <c r="O935" i="11"/>
  <c r="O936" i="11"/>
  <c r="O944" i="11"/>
  <c r="O988" i="11"/>
  <c r="O989" i="11"/>
  <c r="O990" i="11"/>
  <c r="O991" i="11"/>
  <c r="O992" i="11"/>
  <c r="O993" i="11"/>
  <c r="O994" i="11"/>
  <c r="O995" i="11"/>
  <c r="O996" i="11"/>
  <c r="O997" i="11"/>
  <c r="O998" i="11"/>
  <c r="O999" i="11"/>
  <c r="O1000" i="11"/>
  <c r="O1001" i="11"/>
  <c r="O1002" i="11"/>
  <c r="O1003" i="11"/>
  <c r="O1004" i="11"/>
  <c r="O1005" i="11"/>
  <c r="O1006" i="11"/>
  <c r="O1007" i="11"/>
  <c r="O1008" i="11"/>
  <c r="O1009" i="11"/>
  <c r="O1010" i="11"/>
  <c r="O1011" i="11"/>
  <c r="O1022" i="11"/>
  <c r="O1023" i="11"/>
  <c r="O1024" i="11"/>
  <c r="O1025" i="11"/>
  <c r="O1026" i="11"/>
  <c r="O1027" i="11"/>
  <c r="O1028" i="11"/>
  <c r="O1029" i="11"/>
  <c r="O1030" i="11"/>
  <c r="O1031" i="11"/>
  <c r="O1032" i="11"/>
  <c r="O1033" i="11"/>
  <c r="O1034" i="11"/>
  <c r="O1035" i="11"/>
  <c r="O1036" i="11"/>
  <c r="O1037" i="11"/>
  <c r="O1063" i="11"/>
  <c r="O1064" i="11"/>
  <c r="O1065" i="11"/>
  <c r="O1066" i="11"/>
  <c r="O1067" i="11"/>
  <c r="O1068" i="11"/>
  <c r="O1069" i="11"/>
  <c r="O1070" i="11"/>
  <c r="O1071" i="11"/>
  <c r="O1072" i="11"/>
  <c r="O1073" i="11"/>
  <c r="O1074" i="11"/>
  <c r="O1075" i="11"/>
  <c r="O1089" i="11"/>
  <c r="O1097" i="11"/>
  <c r="O1099" i="11"/>
  <c r="O1104" i="11"/>
  <c r="O1105" i="11"/>
  <c r="O1106" i="11"/>
  <c r="O1107" i="11"/>
  <c r="O1142" i="11"/>
  <c r="O1143" i="11"/>
  <c r="O1175" i="11"/>
  <c r="O1187" i="11"/>
  <c r="O1188" i="11"/>
  <c r="O1189" i="11"/>
  <c r="O1191" i="11"/>
  <c r="O1197" i="11"/>
  <c r="O1212" i="11"/>
  <c r="O1213" i="11"/>
  <c r="O1225" i="11"/>
  <c r="O1226" i="11"/>
  <c r="E913" i="11"/>
  <c r="L913" i="11"/>
  <c r="Q913" i="11" a="1"/>
  <c r="Q913" i="11" s="1"/>
  <c r="E912" i="11"/>
  <c r="L912" i="11"/>
  <c r="Q912" i="11" a="1"/>
  <c r="Q912" i="11" s="1"/>
  <c r="E911" i="11"/>
  <c r="L911" i="11"/>
  <c r="Q911" i="11" a="1"/>
  <c r="Q911" i="11" s="1"/>
  <c r="E1167" i="11"/>
  <c r="L1167" i="11"/>
  <c r="Q1167" i="11" a="1"/>
  <c r="Q1167" i="11" s="1"/>
  <c r="E910" i="11"/>
  <c r="L910" i="11"/>
  <c r="Q910" i="11" a="1"/>
  <c r="Q910" i="11" s="1"/>
  <c r="E1154" i="11"/>
  <c r="L1154" i="11"/>
  <c r="Q1154" i="11" a="1"/>
  <c r="Q1154" i="11" s="1"/>
  <c r="E1166" i="11"/>
  <c r="L1166" i="11"/>
  <c r="Q1166" i="11" a="1"/>
  <c r="Q1166" i="11" s="1"/>
  <c r="E909" i="11"/>
  <c r="L909" i="11"/>
  <c r="Q909" i="11" a="1"/>
  <c r="Q909" i="11" s="1"/>
  <c r="E908" i="11"/>
  <c r="L908" i="11"/>
  <c r="Q908" i="11" a="1"/>
  <c r="Q908" i="11" s="1"/>
  <c r="E1192" i="11"/>
  <c r="L1192" i="11"/>
  <c r="Q1192" i="11" a="1"/>
  <c r="Q1192" i="11" s="1"/>
  <c r="E1193" i="11"/>
  <c r="L1193" i="11"/>
  <c r="Q1193" i="11" a="1"/>
  <c r="Q1193" i="11" s="1"/>
  <c r="E1165" i="11"/>
  <c r="L1165" i="11"/>
  <c r="Q1165" i="11" a="1"/>
  <c r="Q1165" i="11" s="1"/>
  <c r="E1164" i="11"/>
  <c r="L1164" i="11"/>
  <c r="Q1164" i="11" a="1"/>
  <c r="Q1164" i="11" s="1"/>
  <c r="E1163" i="11"/>
  <c r="L1163" i="11"/>
  <c r="Q1163" i="11" a="1"/>
  <c r="Q1163" i="11" s="1"/>
  <c r="E1153" i="11"/>
  <c r="L1153" i="11"/>
  <c r="Q1153" i="11" a="1"/>
  <c r="Q1153" i="11" s="1"/>
  <c r="E1037" i="11"/>
  <c r="L1037" i="11"/>
  <c r="Q1037" i="11" a="1"/>
  <c r="Q1037" i="11" s="1"/>
  <c r="E988" i="11"/>
  <c r="L988" i="11"/>
  <c r="Q988" i="11" a="1"/>
  <c r="Q988" i="11" s="1"/>
  <c r="E733" i="11"/>
  <c r="L733" i="11"/>
  <c r="Q733" i="11" a="1"/>
  <c r="Q733" i="11" s="1"/>
  <c r="E838" i="11"/>
  <c r="L838" i="11"/>
  <c r="Q838" i="11" a="1"/>
  <c r="Q838" i="11" s="1"/>
  <c r="E1001" i="11"/>
  <c r="L1001" i="11"/>
  <c r="Q1001" i="11" a="1"/>
  <c r="Q1001" i="11" s="1"/>
  <c r="Q1201" i="11" a="1"/>
  <c r="Q1201" i="11" s="1"/>
  <c r="L1201" i="11"/>
  <c r="O1201" i="11" s="1"/>
  <c r="E1201" i="11"/>
  <c r="Q1200" i="11" a="1"/>
  <c r="Q1200" i="11" s="1"/>
  <c r="L1200" i="11"/>
  <c r="O1200" i="11" s="1"/>
  <c r="E1200" i="11"/>
  <c r="Q1199" i="11" a="1"/>
  <c r="Q1199" i="11" s="1"/>
  <c r="L1199" i="11"/>
  <c r="E1199" i="11"/>
  <c r="Q1198" i="11" a="1"/>
  <c r="Q1198" i="11" s="1"/>
  <c r="L1198" i="11"/>
  <c r="E1198" i="11"/>
  <c r="Q1197" i="11" a="1"/>
  <c r="Q1197" i="11" s="1"/>
  <c r="L1197" i="11"/>
  <c r="E1197" i="11"/>
  <c r="Q1196" i="11" a="1"/>
  <c r="Q1196" i="11" s="1"/>
  <c r="L1196" i="11"/>
  <c r="E1196" i="11"/>
  <c r="Q1195" i="11" a="1"/>
  <c r="Q1195" i="11" s="1"/>
  <c r="L1195" i="11"/>
  <c r="E1195" i="11"/>
  <c r="Q1194" i="11" a="1"/>
  <c r="Q1194" i="11" s="1"/>
  <c r="L1194" i="11"/>
  <c r="E1194" i="11"/>
  <c r="Q1191" i="11" a="1"/>
  <c r="Q1191" i="11" s="1"/>
  <c r="L1191" i="11"/>
  <c r="E1191" i="11"/>
  <c r="Q1190" i="11" a="1"/>
  <c r="Q1190" i="11" s="1"/>
  <c r="L1190" i="11"/>
  <c r="E1190" i="11"/>
  <c r="Q1189" i="11" a="1"/>
  <c r="Q1189" i="11" s="1"/>
  <c r="L1189" i="11"/>
  <c r="E1189" i="11"/>
  <c r="E1188" i="11"/>
  <c r="E1187" i="11"/>
  <c r="E1186" i="11"/>
  <c r="E1185" i="11"/>
  <c r="E1184" i="11"/>
  <c r="E1183" i="11"/>
  <c r="E1182" i="11"/>
  <c r="E1181" i="11"/>
  <c r="E1180" i="11"/>
  <c r="E1179" i="11"/>
  <c r="E1178" i="11"/>
  <c r="E1177" i="11"/>
  <c r="E1176" i="11"/>
  <c r="E1175" i="11"/>
  <c r="E1174" i="11"/>
  <c r="E1173" i="11"/>
  <c r="E1172" i="11"/>
  <c r="E1171" i="11"/>
  <c r="E1170" i="11"/>
  <c r="E1169" i="11"/>
  <c r="E1168" i="11"/>
  <c r="E1162" i="11"/>
  <c r="E1161" i="11"/>
  <c r="E1160" i="11"/>
  <c r="E1159" i="11"/>
  <c r="E1158" i="11"/>
  <c r="E1157" i="11"/>
  <c r="E1155" i="11"/>
  <c r="E1156" i="11"/>
  <c r="L1156" i="11"/>
  <c r="Q1156" i="11" a="1"/>
  <c r="Q1156" i="11" s="1"/>
  <c r="L1157" i="11"/>
  <c r="Q1157" i="11" a="1"/>
  <c r="Q1157" i="11" s="1"/>
  <c r="L1158" i="11"/>
  <c r="Q1158" i="11" a="1"/>
  <c r="Q1158" i="11" s="1"/>
  <c r="L1159" i="11"/>
  <c r="Q1159" i="11" a="1"/>
  <c r="Q1159" i="11" s="1"/>
  <c r="L1160" i="11"/>
  <c r="Q1160" i="11" a="1"/>
  <c r="Q1160" i="11" s="1"/>
  <c r="L1161" i="11"/>
  <c r="Q1161" i="11" a="1"/>
  <c r="Q1161" i="11" s="1"/>
  <c r="L1162" i="11"/>
  <c r="Q1162" i="11" a="1"/>
  <c r="Q1162" i="11" s="1"/>
  <c r="L1168" i="11"/>
  <c r="Q1168" i="11" a="1"/>
  <c r="Q1168" i="11" s="1"/>
  <c r="L1169" i="11"/>
  <c r="Q1169" i="11" a="1"/>
  <c r="Q1169" i="11" s="1"/>
  <c r="L1170" i="11"/>
  <c r="Q1170" i="11" a="1"/>
  <c r="Q1170" i="11" s="1"/>
  <c r="L1171" i="11"/>
  <c r="Q1171" i="11" a="1"/>
  <c r="Q1171" i="11" s="1"/>
  <c r="L1172" i="11"/>
  <c r="Q1172" i="11" a="1"/>
  <c r="Q1172" i="11" s="1"/>
  <c r="L1173" i="11"/>
  <c r="Q1173" i="11" a="1"/>
  <c r="Q1173" i="11" s="1"/>
  <c r="L1174" i="11"/>
  <c r="Q1174" i="11" a="1"/>
  <c r="Q1174" i="11" s="1"/>
  <c r="L1175" i="11"/>
  <c r="Q1175" i="11" a="1"/>
  <c r="Q1175" i="11" s="1"/>
  <c r="L1176" i="11"/>
  <c r="Q1176" i="11" a="1"/>
  <c r="Q1176" i="11" s="1"/>
  <c r="L1177" i="11"/>
  <c r="Q1177" i="11" a="1"/>
  <c r="Q1177" i="11" s="1"/>
  <c r="L1178" i="11"/>
  <c r="Q1178" i="11" a="1"/>
  <c r="Q1178" i="11" s="1"/>
  <c r="L1179" i="11"/>
  <c r="Q1179" i="11" a="1"/>
  <c r="Q1179" i="11" s="1"/>
  <c r="L1180" i="11"/>
  <c r="Q1180" i="11" a="1"/>
  <c r="Q1180" i="11" s="1"/>
  <c r="L1181" i="11"/>
  <c r="Q1181" i="11" a="1"/>
  <c r="Q1181" i="11" s="1"/>
  <c r="L1182" i="11"/>
  <c r="Q1182" i="11" a="1"/>
  <c r="Q1182" i="11" s="1"/>
  <c r="L1183" i="11"/>
  <c r="Q1183" i="11" a="1"/>
  <c r="Q1183" i="11" s="1"/>
  <c r="L1184" i="11"/>
  <c r="Q1184" i="11" a="1"/>
  <c r="Q1184" i="11" s="1"/>
  <c r="L1185" i="11"/>
  <c r="Q1185" i="11" a="1"/>
  <c r="Q1185" i="11" s="1"/>
  <c r="L1186" i="11"/>
  <c r="Q1186" i="11" a="1"/>
  <c r="Q1186" i="11" s="1"/>
  <c r="L1187" i="11"/>
  <c r="Q1187" i="11" a="1"/>
  <c r="Q1187" i="11" s="1"/>
  <c r="L1188" i="11"/>
  <c r="Q1188" i="11" a="1"/>
  <c r="Q1188" i="11" s="1"/>
  <c r="E1211" i="11"/>
  <c r="L1211" i="11"/>
  <c r="Q1211" i="11" a="1"/>
  <c r="Q1211" i="11" s="1"/>
  <c r="E1097" i="11"/>
  <c r="L1097" i="11"/>
  <c r="Q1097" i="11" a="1"/>
  <c r="Q1097" i="11" s="1"/>
  <c r="Q1132" i="11" a="1"/>
  <c r="Q1132" i="11" s="1"/>
  <c r="L1132" i="11"/>
  <c r="E1132" i="11"/>
  <c r="Q1131" i="11" a="1"/>
  <c r="Q1131" i="11" s="1"/>
  <c r="L1131" i="11"/>
  <c r="E1131" i="11"/>
  <c r="Q1225" i="11" a="1"/>
  <c r="Q1225" i="11" s="1"/>
  <c r="L1225" i="11"/>
  <c r="E1225" i="11"/>
  <c r="Q1213" i="11" a="1"/>
  <c r="Q1213" i="11" s="1"/>
  <c r="L1213" i="11"/>
  <c r="E1213" i="11"/>
  <c r="Q1212" i="11" a="1"/>
  <c r="Q1212" i="11" s="1"/>
  <c r="L1212" i="11"/>
  <c r="E1212" i="11"/>
  <c r="Q1155" i="11" a="1"/>
  <c r="Q1155" i="11" s="1"/>
  <c r="L1155" i="11"/>
  <c r="Q1152" i="11" a="1"/>
  <c r="Q1152" i="11" s="1"/>
  <c r="L1152" i="11"/>
  <c r="E1152" i="11"/>
  <c r="Q1151" i="11" a="1"/>
  <c r="Q1151" i="11" s="1"/>
  <c r="L1151" i="11"/>
  <c r="E1151" i="11"/>
  <c r="Q1150" i="11" a="1"/>
  <c r="Q1150" i="11" s="1"/>
  <c r="L1150" i="11"/>
  <c r="E1150" i="11"/>
  <c r="Q1149" i="11" a="1"/>
  <c r="Q1149" i="11" s="1"/>
  <c r="L1149" i="11"/>
  <c r="E1149" i="11"/>
  <c r="E1146" i="11"/>
  <c r="E1145" i="11"/>
  <c r="E1144" i="11"/>
  <c r="Q1143" i="11" a="1"/>
  <c r="Q1143" i="11" s="1"/>
  <c r="L1143" i="11"/>
  <c r="E1143" i="11"/>
  <c r="Q1142" i="11" a="1"/>
  <c r="Q1142" i="11" s="1"/>
  <c r="L1142" i="11"/>
  <c r="E1142" i="11"/>
  <c r="Q1141" i="11" a="1"/>
  <c r="Q1141" i="11" s="1"/>
  <c r="L1141" i="11"/>
  <c r="E1141" i="11"/>
  <c r="Q1140" i="11" a="1"/>
  <c r="Q1140" i="11" s="1"/>
  <c r="L1140" i="11"/>
  <c r="E1140" i="11"/>
  <c r="Q1139" i="11" a="1"/>
  <c r="Q1139" i="11" s="1"/>
  <c r="L1139" i="11"/>
  <c r="O1139" i="11" s="1"/>
  <c r="E1139" i="11"/>
  <c r="Q1138" i="11" a="1"/>
  <c r="Q1138" i="11" s="1"/>
  <c r="L1138" i="11"/>
  <c r="E1138" i="11"/>
  <c r="Q1137" i="11" a="1"/>
  <c r="Q1137" i="11" s="1"/>
  <c r="L1137" i="11"/>
  <c r="E1137" i="11"/>
  <c r="Q1136" i="11" a="1"/>
  <c r="Q1136" i="11" s="1"/>
  <c r="L1136" i="11"/>
  <c r="E1136" i="11"/>
  <c r="Q1135" i="11" a="1"/>
  <c r="Q1135" i="11" s="1"/>
  <c r="L1135" i="11"/>
  <c r="E1135" i="11"/>
  <c r="Q1134" i="11" a="1"/>
  <c r="Q1134" i="11" s="1"/>
  <c r="L1134" i="11"/>
  <c r="E1134" i="11"/>
  <c r="Q1133" i="11" a="1"/>
  <c r="Q1133" i="11" s="1"/>
  <c r="L1133" i="11"/>
  <c r="E1133" i="11"/>
  <c r="O1132" i="11" l="1"/>
  <c r="E1129" i="11"/>
  <c r="L1129" i="11"/>
  <c r="Q1129" i="11" a="1"/>
  <c r="Q1129" i="11" s="1"/>
  <c r="E1130" i="11"/>
  <c r="L1130" i="11"/>
  <c r="Q1130" i="11" a="1"/>
  <c r="Q1130" i="11" s="1"/>
  <c r="L1144" i="11"/>
  <c r="Q1144" i="11" a="1"/>
  <c r="Q1144" i="11" s="1"/>
  <c r="L1145" i="11"/>
  <c r="Q1145" i="11" a="1"/>
  <c r="Q1145" i="11" s="1"/>
  <c r="L1146" i="11"/>
  <c r="Q1146" i="11" a="1"/>
  <c r="Q1146" i="11" s="1"/>
  <c r="E1147" i="11"/>
  <c r="L1147" i="11"/>
  <c r="Q1147" i="11" a="1"/>
  <c r="Q1147" i="11" s="1"/>
  <c r="E1226" i="11"/>
  <c r="E1148" i="11"/>
  <c r="E1128" i="11"/>
  <c r="E1127" i="11"/>
  <c r="E1126" i="11"/>
  <c r="E1125" i="11"/>
  <c r="L1125" i="11"/>
  <c r="Q1125" i="11" a="1"/>
  <c r="Q1125" i="11" s="1"/>
  <c r="L1126" i="11"/>
  <c r="Q1126" i="11" a="1"/>
  <c r="Q1126" i="11" s="1"/>
  <c r="L1127" i="11"/>
  <c r="Q1127" i="11" a="1"/>
  <c r="Q1127" i="11" s="1"/>
  <c r="L1128" i="11"/>
  <c r="Q1128" i="11" a="1"/>
  <c r="Q1128" i="11" s="1"/>
  <c r="E1119" i="11"/>
  <c r="L1119" i="11"/>
  <c r="Q1119" i="11" a="1"/>
  <c r="Q1119" i="11" s="1"/>
  <c r="E1120" i="11"/>
  <c r="L1120" i="11"/>
  <c r="Q1120" i="11" a="1"/>
  <c r="Q1120" i="11" s="1"/>
  <c r="E1121" i="11"/>
  <c r="L1121" i="11"/>
  <c r="Q1121" i="11" a="1"/>
  <c r="Q1121" i="11" s="1"/>
  <c r="E1122" i="11"/>
  <c r="L1122" i="11"/>
  <c r="Q1122" i="11" a="1"/>
  <c r="Q1122" i="11" s="1"/>
  <c r="E1123" i="11"/>
  <c r="L1123" i="11"/>
  <c r="Q1123" i="11" a="1"/>
  <c r="Q1123" i="11" s="1"/>
  <c r="E1124" i="11"/>
  <c r="L1124" i="11"/>
  <c r="Q1124" i="11" a="1"/>
  <c r="Q1124" i="11" s="1"/>
  <c r="Q1116" i="11" a="1"/>
  <c r="Q1116" i="11" s="1"/>
  <c r="L1116" i="11"/>
  <c r="Q1115" i="11" a="1"/>
  <c r="Q1115" i="11" s="1"/>
  <c r="L1115" i="11"/>
  <c r="Q1114" i="11" a="1"/>
  <c r="Q1114" i="11" s="1"/>
  <c r="L1114" i="11"/>
  <c r="Q1113" i="11" a="1"/>
  <c r="Q1113" i="11" s="1"/>
  <c r="L1113" i="11"/>
  <c r="E1103" i="11"/>
  <c r="E1102" i="11"/>
  <c r="L1102" i="11"/>
  <c r="Q1102" i="11" a="1"/>
  <c r="Q1102" i="11" s="1"/>
  <c r="L1103" i="11"/>
  <c r="Q1103" i="11" a="1"/>
  <c r="Q1103" i="11" s="1"/>
  <c r="E1096" i="11"/>
  <c r="L1096" i="11"/>
  <c r="Q1096" i="11" a="1"/>
  <c r="Q1096" i="11" s="1"/>
  <c r="E1098" i="11"/>
  <c r="L1098" i="11"/>
  <c r="Q1098" i="11" a="1"/>
  <c r="Q1098" i="11" s="1"/>
  <c r="E1099" i="11"/>
  <c r="L1099" i="11"/>
  <c r="Q1099" i="11" a="1"/>
  <c r="Q1099" i="11" s="1"/>
  <c r="E1100" i="11"/>
  <c r="L1100" i="11"/>
  <c r="Q1100" i="11" a="1"/>
  <c r="Q1100" i="11" s="1"/>
  <c r="E1101" i="11"/>
  <c r="L1101" i="11"/>
  <c r="Q1101" i="11" a="1"/>
  <c r="Q1101" i="11" s="1"/>
  <c r="E1090" i="11"/>
  <c r="L1090" i="11"/>
  <c r="Q1090" i="11" a="1"/>
  <c r="Q1090" i="11" s="1"/>
  <c r="E1091" i="11"/>
  <c r="L1091" i="11"/>
  <c r="Q1091" i="11" a="1"/>
  <c r="Q1091" i="11" s="1"/>
  <c r="E1092" i="11"/>
  <c r="L1092" i="11"/>
  <c r="Q1092" i="11" a="1"/>
  <c r="Q1092" i="11" s="1"/>
  <c r="E1093" i="11"/>
  <c r="L1093" i="11"/>
  <c r="Q1093" i="11" a="1"/>
  <c r="Q1093" i="11" s="1"/>
  <c r="E1094" i="11"/>
  <c r="L1094" i="11"/>
  <c r="Q1094" i="11" a="1"/>
  <c r="Q1094" i="11" s="1"/>
  <c r="E1095" i="11"/>
  <c r="L1095" i="11"/>
  <c r="Q1095" i="11" a="1"/>
  <c r="Q1095" i="11" s="1"/>
  <c r="E1084" i="11"/>
  <c r="L1084" i="11"/>
  <c r="Q1084" i="11" a="1"/>
  <c r="Q1084" i="11" s="1"/>
  <c r="E1085" i="11"/>
  <c r="L1085" i="11"/>
  <c r="O1085" i="11" s="1"/>
  <c r="Q1085" i="11" a="1"/>
  <c r="Q1085" i="11" s="1"/>
  <c r="E1086" i="11"/>
  <c r="L1086" i="11"/>
  <c r="Q1086" i="11" a="1"/>
  <c r="Q1086" i="11" s="1"/>
  <c r="E1087" i="11"/>
  <c r="L1087" i="11"/>
  <c r="O1087" i="11" s="1"/>
  <c r="Q1087" i="11" a="1"/>
  <c r="Q1087" i="11" s="1"/>
  <c r="E1088" i="11"/>
  <c r="L1088" i="11"/>
  <c r="Q1088" i="11" a="1"/>
  <c r="Q1088" i="11" s="1"/>
  <c r="E1083" i="11"/>
  <c r="L1071" i="11"/>
  <c r="O1165" i="11" s="1"/>
  <c r="Q1071" i="11" a="1"/>
  <c r="Q1071" i="11" s="1"/>
  <c r="L1072" i="11"/>
  <c r="Q1072" i="11" a="1"/>
  <c r="Q1072" i="11" s="1"/>
  <c r="L1073" i="11"/>
  <c r="Q1073" i="11" a="1"/>
  <c r="Q1073" i="11" s="1"/>
  <c r="L1068" i="11"/>
  <c r="Q1068" i="11" a="1"/>
  <c r="Q1068" i="11" s="1"/>
  <c r="L1069" i="11"/>
  <c r="Q1069" i="11" a="1"/>
  <c r="Q1069" i="11" s="1"/>
  <c r="L1070" i="11"/>
  <c r="Q1070" i="11" a="1"/>
  <c r="Q1070" i="11" s="1"/>
  <c r="E1076" i="11"/>
  <c r="L1076" i="11"/>
  <c r="Q1076" i="11" a="1"/>
  <c r="Q1076" i="11" s="1"/>
  <c r="E1077" i="11"/>
  <c r="L1077" i="11"/>
  <c r="Q1077" i="11" a="1"/>
  <c r="Q1077" i="11" s="1"/>
  <c r="E1078" i="11"/>
  <c r="L1078" i="11"/>
  <c r="Q1078" i="11" a="1"/>
  <c r="Q1078" i="11" s="1"/>
  <c r="E1079" i="11"/>
  <c r="L1079" i="11"/>
  <c r="Q1079" i="11" a="1"/>
  <c r="Q1079" i="11" s="1"/>
  <c r="E1080" i="11"/>
  <c r="L1080" i="11"/>
  <c r="Q1080" i="11" a="1"/>
  <c r="Q1080" i="11" s="1"/>
  <c r="E1081" i="11"/>
  <c r="L1081" i="11"/>
  <c r="Q1081" i="11" a="1"/>
  <c r="Q1081" i="11" s="1"/>
  <c r="E1082" i="11"/>
  <c r="L1082" i="11"/>
  <c r="Q1082" i="11" a="1"/>
  <c r="Q1082" i="11" s="1"/>
  <c r="L1083" i="11"/>
  <c r="Q1083" i="11" a="1"/>
  <c r="Q1083" i="11" s="1"/>
  <c r="E56" i="11"/>
  <c r="L56" i="11"/>
  <c r="Q56" i="11" a="1"/>
  <c r="Q56" i="11" s="1"/>
  <c r="E944" i="11"/>
  <c r="L944" i="11"/>
  <c r="Q944" i="11" a="1"/>
  <c r="Q944" i="11" s="1"/>
  <c r="E936" i="11"/>
  <c r="L936" i="11"/>
  <c r="Q936" i="11" a="1"/>
  <c r="Q936" i="11" s="1"/>
  <c r="E935" i="11"/>
  <c r="L935" i="11"/>
  <c r="Q935" i="11" a="1"/>
  <c r="Q935" i="11" s="1"/>
  <c r="L932" i="11"/>
  <c r="Q932" i="11" a="1"/>
  <c r="Q932" i="11" s="1"/>
  <c r="L933" i="11"/>
  <c r="O1138" i="11" s="1"/>
  <c r="Q933" i="11" a="1"/>
  <c r="Q933" i="11" s="1"/>
  <c r="L934" i="11"/>
  <c r="O1170" i="11" s="1"/>
  <c r="Q934" i="11" a="1"/>
  <c r="Q934" i="11" s="1"/>
  <c r="K1029" i="11"/>
  <c r="Q1118" i="11" a="1"/>
  <c r="Q1118" i="11" s="1"/>
  <c r="L1118" i="11"/>
  <c r="Q1117" i="11" a="1"/>
  <c r="Q1117" i="11" s="1"/>
  <c r="L1117" i="11"/>
  <c r="Q1112" i="11" a="1"/>
  <c r="Q1112" i="11" s="1"/>
  <c r="L1112" i="11"/>
  <c r="Q1111" i="11" a="1"/>
  <c r="Q1111" i="11" s="1"/>
  <c r="L1111" i="11"/>
  <c r="Q1110" i="11" a="1"/>
  <c r="Q1110" i="11" s="1"/>
  <c r="L1110" i="11"/>
  <c r="Q1109" i="11" a="1"/>
  <c r="Q1109" i="11" s="1"/>
  <c r="L1109" i="11"/>
  <c r="Q1108" i="11" a="1"/>
  <c r="Q1108" i="11" s="1"/>
  <c r="L1108" i="11"/>
  <c r="Q1107" i="11" a="1"/>
  <c r="Q1107" i="11" s="1"/>
  <c r="L1107" i="11"/>
  <c r="O1137" i="11" s="1"/>
  <c r="Q1106" i="11" a="1"/>
  <c r="Q1106" i="11" s="1"/>
  <c r="L1106" i="11"/>
  <c r="Q1105" i="11" a="1"/>
  <c r="Q1105" i="11" s="1"/>
  <c r="L1105" i="11"/>
  <c r="O1198" i="11" s="1"/>
  <c r="Q1104" i="11" a="1"/>
  <c r="Q1104" i="11" s="1"/>
  <c r="L1104" i="11"/>
  <c r="Q1062" i="11" a="1"/>
  <c r="Q1062" i="11" s="1"/>
  <c r="L1062" i="11"/>
  <c r="Q1061" i="11" a="1"/>
  <c r="Q1061" i="11" s="1"/>
  <c r="L1061" i="11"/>
  <c r="Q1060" i="11" a="1"/>
  <c r="Q1060" i="11" s="1"/>
  <c r="L1060" i="11"/>
  <c r="O1060" i="11" s="1"/>
  <c r="Q1059" i="11" a="1"/>
  <c r="Q1059" i="11" s="1"/>
  <c r="L1059" i="11"/>
  <c r="Q1058" i="11" a="1"/>
  <c r="Q1058" i="11" s="1"/>
  <c r="L1058" i="11"/>
  <c r="Q1057" i="11" a="1"/>
  <c r="Q1057" i="11" s="1"/>
  <c r="L1057" i="11"/>
  <c r="Q1056" i="11" a="1"/>
  <c r="Q1056" i="11" s="1"/>
  <c r="L1056" i="11"/>
  <c r="Q1055" i="11" a="1"/>
  <c r="Q1055" i="11" s="1"/>
  <c r="L1055" i="11"/>
  <c r="Q1054" i="11" a="1"/>
  <c r="Q1054" i="11" s="1"/>
  <c r="L1054" i="11"/>
  <c r="Q1053" i="11" a="1"/>
  <c r="Q1053" i="11" s="1"/>
  <c r="L1053" i="11"/>
  <c r="Q1052" i="11" a="1"/>
  <c r="Q1052" i="11" s="1"/>
  <c r="L1052" i="11"/>
  <c r="Q1051" i="11" a="1"/>
  <c r="Q1051" i="11" s="1"/>
  <c r="L1051" i="11"/>
  <c r="Q1050" i="11" a="1"/>
  <c r="Q1050" i="11" s="1"/>
  <c r="L1050" i="11"/>
  <c r="O1050" i="11" s="1"/>
  <c r="Q1049" i="11" a="1"/>
  <c r="Q1049" i="11" s="1"/>
  <c r="L1049" i="11"/>
  <c r="Q1048" i="11" a="1"/>
  <c r="Q1048" i="11" s="1"/>
  <c r="L1048" i="11"/>
  <c r="Q1047" i="11" a="1"/>
  <c r="Q1047" i="11" s="1"/>
  <c r="L1047" i="11"/>
  <c r="Q1046" i="11" a="1"/>
  <c r="Q1046" i="11" s="1"/>
  <c r="L1046" i="11"/>
  <c r="Q1045" i="11" a="1"/>
  <c r="Q1045" i="11" s="1"/>
  <c r="L1045" i="11"/>
  <c r="Q1044" i="11" a="1"/>
  <c r="Q1044" i="11" s="1"/>
  <c r="L1044" i="11"/>
  <c r="Q1043" i="11" a="1"/>
  <c r="Q1043" i="11" s="1"/>
  <c r="L1043" i="11"/>
  <c r="Q1042" i="11" a="1"/>
  <c r="Q1042" i="11" s="1"/>
  <c r="L1042" i="11"/>
  <c r="Q1041" i="11" a="1"/>
  <c r="Q1041" i="11" s="1"/>
  <c r="L1041" i="11"/>
  <c r="Q1040" i="11" a="1"/>
  <c r="Q1040" i="11" s="1"/>
  <c r="L1040" i="11"/>
  <c r="Q1039" i="11" a="1"/>
  <c r="Q1039" i="11" s="1"/>
  <c r="L1039" i="11"/>
  <c r="Q1038" i="11" a="1"/>
  <c r="Q1038" i="11" s="1"/>
  <c r="L1038" i="11"/>
  <c r="L926" i="11"/>
  <c r="Q926" i="11" a="1"/>
  <c r="Q926" i="11" s="1"/>
  <c r="L927" i="11"/>
  <c r="O1183" i="11" s="1"/>
  <c r="Q927" i="11" a="1"/>
  <c r="Q927" i="11" s="1"/>
  <c r="L928" i="11"/>
  <c r="O1161" i="11" s="1"/>
  <c r="Q928" i="11" a="1"/>
  <c r="Q928" i="11" s="1"/>
  <c r="L929" i="11"/>
  <c r="Q929" i="11" a="1"/>
  <c r="Q929" i="11" s="1"/>
  <c r="L930" i="11"/>
  <c r="Q930" i="11" a="1"/>
  <c r="Q930" i="11" s="1"/>
  <c r="L931" i="11"/>
  <c r="Q931" i="11" a="1"/>
  <c r="Q931" i="11" s="1"/>
  <c r="Q1074" i="11" a="1"/>
  <c r="Q1074" i="11" s="1"/>
  <c r="L1074" i="11"/>
  <c r="Q1067" i="11" a="1"/>
  <c r="Q1067" i="11" s="1"/>
  <c r="L1067" i="11"/>
  <c r="Q1066" i="11" a="1"/>
  <c r="Q1066" i="11" s="1"/>
  <c r="L1066" i="11"/>
  <c r="Q1065" i="11" a="1"/>
  <c r="Q1065" i="11" s="1"/>
  <c r="L1065" i="11"/>
  <c r="Q1064" i="11" a="1"/>
  <c r="Q1064" i="11" s="1"/>
  <c r="L1064" i="11"/>
  <c r="Q1063" i="11" a="1"/>
  <c r="Q1063" i="11" s="1"/>
  <c r="L1063" i="11"/>
  <c r="Q1036" i="11" a="1"/>
  <c r="Q1036" i="11" s="1"/>
  <c r="L1036" i="11"/>
  <c r="O1152" i="11" s="1"/>
  <c r="Q1035" i="11" a="1"/>
  <c r="Q1035" i="11" s="1"/>
  <c r="L1035" i="11"/>
  <c r="Q1034" i="11" a="1"/>
  <c r="Q1034" i="11" s="1"/>
  <c r="L1034" i="11"/>
  <c r="Q1033" i="11" a="1"/>
  <c r="Q1033" i="11" s="1"/>
  <c r="L1033" i="11"/>
  <c r="O1158" i="11" s="1"/>
  <c r="Q1032" i="11" a="1"/>
  <c r="Q1032" i="11" s="1"/>
  <c r="L1032" i="11"/>
  <c r="O1185" i="11" s="1"/>
  <c r="Q1031" i="11" a="1"/>
  <c r="Q1031" i="11" s="1"/>
  <c r="L1031" i="11"/>
  <c r="Q1030" i="11" a="1"/>
  <c r="Q1030" i="11" s="1"/>
  <c r="L1030" i="11"/>
  <c r="O1192" i="11" s="1"/>
  <c r="Q1029" i="11" a="1"/>
  <c r="Q1029" i="11" s="1"/>
  <c r="Q1028" i="11" a="1"/>
  <c r="Q1028" i="11" s="1"/>
  <c r="L1028" i="11"/>
  <c r="Q1027" i="11" a="1"/>
  <c r="Q1027" i="11" s="1"/>
  <c r="L1027" i="11"/>
  <c r="O1169" i="11" s="1"/>
  <c r="Q1026" i="11" a="1"/>
  <c r="Q1026" i="11" s="1"/>
  <c r="L1026" i="11"/>
  <c r="Q1025" i="11" a="1"/>
  <c r="Q1025" i="11" s="1"/>
  <c r="L1025" i="11"/>
  <c r="Q1024" i="11" a="1"/>
  <c r="Q1024" i="11" s="1"/>
  <c r="L1024" i="11"/>
  <c r="Q1023" i="11" a="1"/>
  <c r="Q1023" i="11" s="1"/>
  <c r="L1023" i="11"/>
  <c r="O1157" i="11" s="1"/>
  <c r="Q1022" i="11" a="1"/>
  <c r="Q1022" i="11" s="1"/>
  <c r="L1022" i="11"/>
  <c r="L1019" i="11"/>
  <c r="Q1011" i="11" a="1"/>
  <c r="Q1011" i="11" s="1"/>
  <c r="L1011" i="11"/>
  <c r="Q1010" i="11" a="1"/>
  <c r="Q1010" i="11" s="1"/>
  <c r="L1010" i="11"/>
  <c r="L1013" i="11"/>
  <c r="O1013" i="11" s="1"/>
  <c r="Q1075" i="11" a="1"/>
  <c r="Q1075" i="11" s="1"/>
  <c r="L1075" i="11"/>
  <c r="Q1021" i="11" a="1"/>
  <c r="Q1021" i="11" s="1"/>
  <c r="L1021" i="11"/>
  <c r="Q1020" i="11" a="1"/>
  <c r="Q1020" i="11" s="1"/>
  <c r="L1020" i="11"/>
  <c r="Q1019" i="11" a="1"/>
  <c r="Q1019" i="11" s="1"/>
  <c r="Q1018" i="11" a="1"/>
  <c r="Q1018" i="11" s="1"/>
  <c r="L1018" i="11"/>
  <c r="Q1017" i="11" a="1"/>
  <c r="Q1017" i="11" s="1"/>
  <c r="L1017" i="11"/>
  <c r="Q1016" i="11" a="1"/>
  <c r="Q1016" i="11" s="1"/>
  <c r="L1016" i="11"/>
  <c r="Q1015" i="11" a="1"/>
  <c r="Q1015" i="11" s="1"/>
  <c r="L1015" i="11"/>
  <c r="Q1014" i="11" a="1"/>
  <c r="Q1014" i="11" s="1"/>
  <c r="L1014" i="11"/>
  <c r="Q1013" i="11" a="1"/>
  <c r="Q1013" i="11" s="1"/>
  <c r="Q1012" i="11" a="1"/>
  <c r="Q1012" i="11" s="1"/>
  <c r="L1012" i="11"/>
  <c r="Q1009" i="11" a="1"/>
  <c r="Q1009" i="11" s="1"/>
  <c r="L1009" i="11"/>
  <c r="Q1008" i="11" a="1"/>
  <c r="Q1008" i="11" s="1"/>
  <c r="L1008" i="11"/>
  <c r="Q1007" i="11" a="1"/>
  <c r="Q1007" i="11" s="1"/>
  <c r="L1007" i="11"/>
  <c r="Q1006" i="11" a="1"/>
  <c r="Q1006" i="11" s="1"/>
  <c r="L1006" i="11"/>
  <c r="Q1005" i="11" a="1"/>
  <c r="Q1005" i="11" s="1"/>
  <c r="L1005" i="11"/>
  <c r="Q1004" i="11" a="1"/>
  <c r="Q1004" i="11" s="1"/>
  <c r="L1004" i="11"/>
  <c r="Q1003" i="11" a="1"/>
  <c r="Q1003" i="11" s="1"/>
  <c r="L1003" i="11"/>
  <c r="Q1002" i="11" a="1"/>
  <c r="Q1002" i="11" s="1"/>
  <c r="L1002" i="11"/>
  <c r="E734" i="11"/>
  <c r="L734" i="11"/>
  <c r="Q734" i="11" a="1"/>
  <c r="Q734" i="11" s="1"/>
  <c r="E803" i="11"/>
  <c r="L803" i="11"/>
  <c r="Q803" i="11" a="1"/>
  <c r="Q803" i="11" s="1"/>
  <c r="Q999" i="11" a="1"/>
  <c r="Q999" i="11" s="1"/>
  <c r="L999" i="11"/>
  <c r="Q998" i="11" a="1"/>
  <c r="Q998" i="11" s="1"/>
  <c r="L998" i="11"/>
  <c r="Q997" i="11" a="1"/>
  <c r="Q997" i="11" s="1"/>
  <c r="L997" i="11"/>
  <c r="Q996" i="11" a="1"/>
  <c r="Q996" i="11" s="1"/>
  <c r="L996" i="11"/>
  <c r="Q995" i="11" a="1"/>
  <c r="Q995" i="11" s="1"/>
  <c r="L995" i="11"/>
  <c r="Q994" i="11" a="1"/>
  <c r="Q994" i="11" s="1"/>
  <c r="L994" i="11"/>
  <c r="Q993" i="11" a="1"/>
  <c r="Q993" i="11" s="1"/>
  <c r="L993" i="11"/>
  <c r="Q992" i="11" a="1"/>
  <c r="Q992" i="11" s="1"/>
  <c r="L992" i="11"/>
  <c r="Q991" i="11" a="1"/>
  <c r="Q991" i="11" s="1"/>
  <c r="L991" i="11"/>
  <c r="Q990" i="11" a="1"/>
  <c r="Q990" i="11" s="1"/>
  <c r="L990" i="11"/>
  <c r="Q989" i="11" a="1"/>
  <c r="Q989" i="11" s="1"/>
  <c r="L989" i="11"/>
  <c r="Q985" i="11" a="1"/>
  <c r="Q985" i="11" s="1"/>
  <c r="L985" i="11"/>
  <c r="Q984" i="11" a="1"/>
  <c r="Q984" i="11" s="1"/>
  <c r="L984" i="11"/>
  <c r="O984" i="11" s="1"/>
  <c r="Q983" i="11" a="1"/>
  <c r="Q983" i="11" s="1"/>
  <c r="L983" i="11"/>
  <c r="Q982" i="11" a="1"/>
  <c r="Q982" i="11" s="1"/>
  <c r="L982" i="11"/>
  <c r="Q981" i="11" a="1"/>
  <c r="Q981" i="11" s="1"/>
  <c r="L981" i="11"/>
  <c r="O981" i="11" s="1"/>
  <c r="Q980" i="11" a="1"/>
  <c r="Q980" i="11" s="1"/>
  <c r="L980" i="11"/>
  <c r="Q979" i="11" a="1"/>
  <c r="Q979" i="11" s="1"/>
  <c r="L979" i="11"/>
  <c r="Q1089" i="11" a="1"/>
  <c r="Q1089" i="11" s="1"/>
  <c r="L1089" i="11"/>
  <c r="Q1000" i="11" a="1"/>
  <c r="Q1000" i="11" s="1"/>
  <c r="L1000" i="11"/>
  <c r="Q987" i="11" a="1"/>
  <c r="Q987" i="11" s="1"/>
  <c r="L987" i="11"/>
  <c r="Q986" i="11" a="1"/>
  <c r="Q986" i="11" s="1"/>
  <c r="L986" i="11"/>
  <c r="Q978" i="11" a="1"/>
  <c r="Q978" i="11" s="1"/>
  <c r="L978" i="11"/>
  <c r="Q977" i="11" a="1"/>
  <c r="Q977" i="11" s="1"/>
  <c r="L977" i="11"/>
  <c r="Q976" i="11" a="1"/>
  <c r="Q976" i="11" s="1"/>
  <c r="L976" i="11"/>
  <c r="Q975" i="11" a="1"/>
  <c r="Q975" i="11" s="1"/>
  <c r="L975" i="11"/>
  <c r="O975" i="11" s="1"/>
  <c r="Q974" i="11" a="1"/>
  <c r="Q974" i="11" s="1"/>
  <c r="L974" i="11"/>
  <c r="Q973" i="11" a="1"/>
  <c r="Q973" i="11" s="1"/>
  <c r="L973" i="11"/>
  <c r="Q972" i="11" a="1"/>
  <c r="Q972" i="11" s="1"/>
  <c r="L972" i="11"/>
  <c r="Q971" i="11" a="1"/>
  <c r="Q971" i="11" s="1"/>
  <c r="L971" i="11"/>
  <c r="O971" i="11" s="1"/>
  <c r="Q970" i="11" a="1"/>
  <c r="Q970" i="11" s="1"/>
  <c r="L970" i="11"/>
  <c r="Q969" i="11" a="1"/>
  <c r="Q969" i="11" s="1"/>
  <c r="L969" i="11"/>
  <c r="Q968" i="11" a="1"/>
  <c r="Q968" i="11" s="1"/>
  <c r="L968" i="11"/>
  <c r="Q967" i="11" a="1"/>
  <c r="Q967" i="11" s="1"/>
  <c r="L967" i="11"/>
  <c r="Q966" i="11" a="1"/>
  <c r="Q966" i="11" s="1"/>
  <c r="L966" i="11"/>
  <c r="Q965" i="11" a="1"/>
  <c r="Q965" i="11" s="1"/>
  <c r="L965" i="11"/>
  <c r="Q964" i="11" a="1"/>
  <c r="Q964" i="11" s="1"/>
  <c r="L964" i="11"/>
  <c r="Q963" i="11" a="1"/>
  <c r="Q963" i="11" s="1"/>
  <c r="L963" i="11"/>
  <c r="O963" i="11" s="1"/>
  <c r="Q962" i="11" a="1"/>
  <c r="Q962" i="11" s="1"/>
  <c r="L962" i="11"/>
  <c r="Q961" i="11" a="1"/>
  <c r="Q961" i="11" s="1"/>
  <c r="L961" i="11"/>
  <c r="Q959" i="11" a="1"/>
  <c r="Q959" i="11" s="1"/>
  <c r="L959" i="11"/>
  <c r="O959" i="11" s="1"/>
  <c r="Q958" i="11" a="1"/>
  <c r="Q958" i="11" s="1"/>
  <c r="L958" i="11"/>
  <c r="Q957" i="11" a="1"/>
  <c r="Q957" i="11" s="1"/>
  <c r="L957" i="11"/>
  <c r="Q956" i="11" a="1"/>
  <c r="Q956" i="11" s="1"/>
  <c r="L956" i="11"/>
  <c r="Q955" i="11" a="1"/>
  <c r="Q955" i="11" s="1"/>
  <c r="L955" i="11"/>
  <c r="Q954" i="11" a="1"/>
  <c r="Q954" i="11" s="1"/>
  <c r="L954" i="11"/>
  <c r="Q953" i="11" a="1"/>
  <c r="Q953" i="11" s="1"/>
  <c r="L953" i="11"/>
  <c r="Q952" i="11" a="1"/>
  <c r="Q952" i="11" s="1"/>
  <c r="L952" i="11"/>
  <c r="Q949" i="11" a="1"/>
  <c r="Q949" i="11" s="1"/>
  <c r="L949" i="11"/>
  <c r="Q948" i="11" a="1"/>
  <c r="Q948" i="11" s="1"/>
  <c r="L948" i="11"/>
  <c r="O948" i="11" s="1"/>
  <c r="Q947" i="11" a="1"/>
  <c r="Q947" i="11" s="1"/>
  <c r="L947" i="11"/>
  <c r="Q946" i="11" a="1"/>
  <c r="Q946" i="11" s="1"/>
  <c r="L946" i="11"/>
  <c r="Q945" i="11" a="1"/>
  <c r="Q945" i="11" s="1"/>
  <c r="L945" i="11"/>
  <c r="Q943" i="11" a="1"/>
  <c r="Q943" i="11" s="1"/>
  <c r="L943" i="11"/>
  <c r="O943" i="11" s="1"/>
  <c r="Q942" i="11" a="1"/>
  <c r="Q942" i="11" s="1"/>
  <c r="L942" i="11"/>
  <c r="Q941" i="11" a="1"/>
  <c r="Q941" i="11" s="1"/>
  <c r="L941" i="11"/>
  <c r="O941" i="11" s="1"/>
  <c r="Q940" i="11" a="1"/>
  <c r="Q940" i="11" s="1"/>
  <c r="L940" i="11"/>
  <c r="Q939" i="11" a="1"/>
  <c r="Q939" i="11" s="1"/>
  <c r="L939" i="11"/>
  <c r="O939" i="11" s="1"/>
  <c r="Q938" i="11" a="1"/>
  <c r="Q938" i="11" s="1"/>
  <c r="L938" i="11"/>
  <c r="Q937" i="11" a="1"/>
  <c r="Q937" i="11" s="1"/>
  <c r="L937" i="11"/>
  <c r="Q960" i="11" a="1"/>
  <c r="Q960" i="11" s="1"/>
  <c r="L960" i="11"/>
  <c r="Q951" i="11" a="1"/>
  <c r="Q951" i="11" s="1"/>
  <c r="L951" i="11"/>
  <c r="Q950" i="11" a="1"/>
  <c r="Q950" i="11" s="1"/>
  <c r="L950" i="11"/>
  <c r="Q925" i="11" a="1"/>
  <c r="Q925" i="11" s="1"/>
  <c r="L925" i="11"/>
  <c r="O925" i="11" s="1"/>
  <c r="E880" i="11"/>
  <c r="L880" i="11"/>
  <c r="Q880" i="11" a="1"/>
  <c r="Q880" i="11" s="1"/>
  <c r="E761" i="11"/>
  <c r="L761" i="11"/>
  <c r="Q761" i="11" a="1"/>
  <c r="Q761" i="11" s="1"/>
  <c r="E887" i="11"/>
  <c r="L887" i="11"/>
  <c r="Q887" i="11" a="1"/>
  <c r="Q887" i="11" s="1"/>
  <c r="E885" i="11"/>
  <c r="L885" i="11"/>
  <c r="O1131" i="11" s="1"/>
  <c r="Q885" i="11" a="1"/>
  <c r="Q885" i="11" s="1"/>
  <c r="E886" i="11"/>
  <c r="L886" i="11"/>
  <c r="O1181" i="11" s="1"/>
  <c r="Q886" i="11" a="1"/>
  <c r="Q886" i="11" s="1"/>
  <c r="K884" i="11"/>
  <c r="E881" i="11"/>
  <c r="L881" i="11"/>
  <c r="Q881" i="11" a="1"/>
  <c r="Q881" i="11" s="1"/>
  <c r="E882" i="11"/>
  <c r="L882" i="11"/>
  <c r="Q882" i="11" a="1"/>
  <c r="Q882" i="11" s="1"/>
  <c r="E883" i="11"/>
  <c r="L883" i="11"/>
  <c r="Q883" i="11" a="1"/>
  <c r="Q883" i="11" s="1"/>
  <c r="E884" i="11"/>
  <c r="Q884" i="11" a="1"/>
  <c r="Q884" i="11" s="1"/>
  <c r="E843" i="11"/>
  <c r="L843" i="11"/>
  <c r="Q843" i="11" a="1"/>
  <c r="Q843" i="11" s="1"/>
  <c r="E844" i="11"/>
  <c r="L844" i="11"/>
  <c r="Q844" i="11" a="1"/>
  <c r="Q844" i="11" s="1"/>
  <c r="E845" i="11"/>
  <c r="L845" i="11"/>
  <c r="O909" i="11" s="1"/>
  <c r="Q845" i="11" a="1"/>
  <c r="Q845" i="11" s="1"/>
  <c r="E846" i="11"/>
  <c r="L846" i="11"/>
  <c r="Q846" i="11" a="1"/>
  <c r="Q846" i="11" s="1"/>
  <c r="E847" i="11"/>
  <c r="L847" i="11"/>
  <c r="Q847" i="11" a="1"/>
  <c r="Q847" i="11" s="1"/>
  <c r="E848" i="11"/>
  <c r="L848" i="11"/>
  <c r="Q848" i="11" a="1"/>
  <c r="Q848" i="11" s="1"/>
  <c r="E849" i="11"/>
  <c r="L849" i="11"/>
  <c r="Q849" i="11" a="1"/>
  <c r="Q849" i="11" s="1"/>
  <c r="E850" i="11"/>
  <c r="L850" i="11"/>
  <c r="Q850" i="11" a="1"/>
  <c r="Q850" i="11" s="1"/>
  <c r="Q924" i="11" a="1"/>
  <c r="Q924" i="11" s="1"/>
  <c r="L924" i="11"/>
  <c r="Q923" i="11" a="1"/>
  <c r="Q923" i="11" s="1"/>
  <c r="L923" i="11"/>
  <c r="Q922" i="11" a="1"/>
  <c r="Q922" i="11" s="1"/>
  <c r="L922" i="11"/>
  <c r="Q921" i="11" a="1"/>
  <c r="Q921" i="11" s="1"/>
  <c r="L921" i="11"/>
  <c r="Q920" i="11" a="1"/>
  <c r="Q920" i="11" s="1"/>
  <c r="L920" i="11"/>
  <c r="Q919" i="11" a="1"/>
  <c r="Q919" i="11" s="1"/>
  <c r="L919" i="11"/>
  <c r="Q918" i="11" a="1"/>
  <c r="Q918" i="11" s="1"/>
  <c r="L918" i="11"/>
  <c r="Q917" i="11" a="1"/>
  <c r="Q917" i="11" s="1"/>
  <c r="L917" i="11"/>
  <c r="Q898" i="11" a="1"/>
  <c r="Q898" i="11" s="1"/>
  <c r="L898" i="11"/>
  <c r="Q916" i="11" a="1"/>
  <c r="Q916" i="11" s="1"/>
  <c r="L916" i="11"/>
  <c r="Q915" i="11" a="1"/>
  <c r="Q915" i="11" s="1"/>
  <c r="L915" i="11"/>
  <c r="Q914" i="11" a="1"/>
  <c r="Q914" i="11" s="1"/>
  <c r="L914" i="11"/>
  <c r="Q907" i="11" a="1"/>
  <c r="Q907" i="11" s="1"/>
  <c r="L907" i="11"/>
  <c r="Q906" i="11" a="1"/>
  <c r="Q906" i="11" s="1"/>
  <c r="L906" i="11"/>
  <c r="Q905" i="11" a="1"/>
  <c r="Q905" i="11" s="1"/>
  <c r="L905" i="11"/>
  <c r="Q904" i="11" a="1"/>
  <c r="Q904" i="11" s="1"/>
  <c r="L904" i="11"/>
  <c r="O904" i="11" s="1"/>
  <c r="Q903" i="11" a="1"/>
  <c r="Q903" i="11" s="1"/>
  <c r="L903" i="11"/>
  <c r="Q902" i="11" a="1"/>
  <c r="Q902" i="11" s="1"/>
  <c r="L902" i="11"/>
  <c r="Q901" i="11" a="1"/>
  <c r="Q901" i="11" s="1"/>
  <c r="L901" i="11"/>
  <c r="Q900" i="11" a="1"/>
  <c r="Q900" i="11" s="1"/>
  <c r="L900" i="11"/>
  <c r="Q899" i="11" a="1"/>
  <c r="Q899" i="11" s="1"/>
  <c r="L899" i="11"/>
  <c r="O899" i="11" s="1"/>
  <c r="Q895" i="11" a="1"/>
  <c r="Q895" i="11" s="1"/>
  <c r="L895" i="11"/>
  <c r="Q894" i="11" a="1"/>
  <c r="Q894" i="11" s="1"/>
  <c r="L894" i="11"/>
  <c r="Q893" i="11" a="1"/>
  <c r="Q893" i="11" s="1"/>
  <c r="L893" i="11"/>
  <c r="Q892" i="11" a="1"/>
  <c r="Q892" i="11" s="1"/>
  <c r="L892" i="11"/>
  <c r="Q891" i="11" a="1"/>
  <c r="Q891" i="11" s="1"/>
  <c r="L891" i="11"/>
  <c r="Q890" i="11" a="1"/>
  <c r="Q890" i="11" s="1"/>
  <c r="L890" i="11"/>
  <c r="Q889" i="11" a="1"/>
  <c r="Q889" i="11" s="1"/>
  <c r="L889" i="11"/>
  <c r="Q888" i="11" a="1"/>
  <c r="Q888" i="11" s="1"/>
  <c r="L888" i="11"/>
  <c r="Q879" i="11" a="1"/>
  <c r="Q879" i="11" s="1"/>
  <c r="L879" i="11"/>
  <c r="O879" i="11" s="1"/>
  <c r="Q878" i="11" a="1"/>
  <c r="Q878" i="11" s="1"/>
  <c r="L878" i="11"/>
  <c r="Q877" i="11" a="1"/>
  <c r="Q877" i="11" s="1"/>
  <c r="L877" i="11"/>
  <c r="Q874" i="11" a="1"/>
  <c r="Q874" i="11" s="1"/>
  <c r="L874" i="11"/>
  <c r="Q873" i="11" a="1"/>
  <c r="Q873" i="11" s="1"/>
  <c r="L873" i="11"/>
  <c r="Q872" i="11" a="1"/>
  <c r="Q872" i="11" s="1"/>
  <c r="L872" i="11"/>
  <c r="O872" i="11" s="1"/>
  <c r="Q871" i="11" a="1"/>
  <c r="Q871" i="11" s="1"/>
  <c r="L871" i="11"/>
  <c r="Q870" i="11" a="1"/>
  <c r="Q870" i="11" s="1"/>
  <c r="L870" i="11"/>
  <c r="Q869" i="11" a="1"/>
  <c r="Q869" i="11" s="1"/>
  <c r="L869" i="11"/>
  <c r="Q868" i="11" a="1"/>
  <c r="Q868" i="11" s="1"/>
  <c r="L868" i="11"/>
  <c r="Q867" i="11" a="1"/>
  <c r="Q867" i="11" s="1"/>
  <c r="L867" i="11"/>
  <c r="Q866" i="11" a="1"/>
  <c r="Q866" i="11" s="1"/>
  <c r="L866" i="11"/>
  <c r="Q865" i="11" a="1"/>
  <c r="Q865" i="11" s="1"/>
  <c r="L865" i="11"/>
  <c r="Q864" i="11" a="1"/>
  <c r="Q864" i="11" s="1"/>
  <c r="L864" i="11"/>
  <c r="Q863" i="11" a="1"/>
  <c r="Q863" i="11" s="1"/>
  <c r="L863" i="11"/>
  <c r="Q862" i="11" a="1"/>
  <c r="Q862" i="11" s="1"/>
  <c r="L862" i="11"/>
  <c r="Q861" i="11" a="1"/>
  <c r="Q861" i="11" s="1"/>
  <c r="L861" i="11"/>
  <c r="Q897" i="11" a="1"/>
  <c r="Q897" i="11" s="1"/>
  <c r="L897" i="11"/>
  <c r="O897" i="11" s="1"/>
  <c r="Q896" i="11" a="1"/>
  <c r="Q896" i="11" s="1"/>
  <c r="L896" i="11"/>
  <c r="Q876" i="11" a="1"/>
  <c r="Q876" i="11" s="1"/>
  <c r="L876" i="11"/>
  <c r="Q875" i="11" a="1"/>
  <c r="Q875" i="11" s="1"/>
  <c r="L875" i="11"/>
  <c r="Q860" i="11" a="1"/>
  <c r="Q860" i="11" s="1"/>
  <c r="L860" i="11"/>
  <c r="Q859" i="11" a="1"/>
  <c r="Q859" i="11" s="1"/>
  <c r="L859" i="11"/>
  <c r="Q858" i="11" a="1"/>
  <c r="Q858" i="11" s="1"/>
  <c r="L858" i="11"/>
  <c r="Q857" i="11" a="1"/>
  <c r="Q857" i="11" s="1"/>
  <c r="L857" i="11"/>
  <c r="Q856" i="11" a="1"/>
  <c r="Q856" i="11" s="1"/>
  <c r="L856" i="11"/>
  <c r="E638" i="11"/>
  <c r="L638" i="11"/>
  <c r="Q638" i="11" a="1"/>
  <c r="Q638" i="11" s="1"/>
  <c r="Q637" i="11" a="1"/>
  <c r="Q637" i="11" s="1"/>
  <c r="L637" i="11"/>
  <c r="E637" i="11"/>
  <c r="Q855" i="11" a="1"/>
  <c r="Q855" i="11" s="1"/>
  <c r="L855" i="11"/>
  <c r="Q854" i="11" a="1"/>
  <c r="Q854" i="11" s="1"/>
  <c r="L854" i="11"/>
  <c r="Q853" i="11" a="1"/>
  <c r="Q853" i="11" s="1"/>
  <c r="L853" i="11"/>
  <c r="Q852" i="11" a="1"/>
  <c r="Q852" i="11" s="1"/>
  <c r="L852" i="11"/>
  <c r="Q851" i="11" a="1"/>
  <c r="Q851" i="11" s="1"/>
  <c r="L851" i="11"/>
  <c r="Q842" i="11" a="1"/>
  <c r="Q842" i="11" s="1"/>
  <c r="L842" i="11"/>
  <c r="O842" i="11" s="1"/>
  <c r="Q841" i="11" a="1"/>
  <c r="Q841" i="11" s="1"/>
  <c r="L841" i="11"/>
  <c r="Q840" i="11" a="1"/>
  <c r="Q840" i="11" s="1"/>
  <c r="L840" i="11"/>
  <c r="Q839" i="11" a="1"/>
  <c r="Q839" i="11" s="1"/>
  <c r="L839" i="11"/>
  <c r="E647" i="11"/>
  <c r="L647" i="11"/>
  <c r="Q647" i="11" a="1"/>
  <c r="Q647" i="11" s="1"/>
  <c r="Q837" i="11" a="1"/>
  <c r="Q837" i="11" s="1"/>
  <c r="L837" i="11"/>
  <c r="Q836" i="11" a="1"/>
  <c r="Q836" i="11" s="1"/>
  <c r="L836" i="11"/>
  <c r="Q835" i="11" a="1"/>
  <c r="Q835" i="11" s="1"/>
  <c r="L835" i="11"/>
  <c r="Q834" i="11" a="1"/>
  <c r="Q834" i="11" s="1"/>
  <c r="L834" i="11"/>
  <c r="Q833" i="11" a="1"/>
  <c r="Q833" i="11" s="1"/>
  <c r="L833" i="11"/>
  <c r="Q832" i="11" a="1"/>
  <c r="Q832" i="11" s="1"/>
  <c r="L832" i="11"/>
  <c r="Q831" i="11" a="1"/>
  <c r="Q831" i="11" s="1"/>
  <c r="L831" i="11"/>
  <c r="Q830" i="11" a="1"/>
  <c r="Q830" i="11" s="1"/>
  <c r="L830" i="11"/>
  <c r="Q829" i="11" a="1"/>
  <c r="Q829" i="11" s="1"/>
  <c r="L829" i="11"/>
  <c r="Q828" i="11" a="1"/>
  <c r="Q828" i="11" s="1"/>
  <c r="L828" i="11"/>
  <c r="Q827" i="11" a="1"/>
  <c r="Q827" i="11" s="1"/>
  <c r="L827" i="11"/>
  <c r="Q826" i="11" a="1"/>
  <c r="Q826" i="11" s="1"/>
  <c r="L826" i="11"/>
  <c r="Q825" i="11" a="1"/>
  <c r="Q825" i="11" s="1"/>
  <c r="L825" i="11"/>
  <c r="Q824" i="11" a="1"/>
  <c r="Q824" i="11" s="1"/>
  <c r="L824" i="11"/>
  <c r="Q823" i="11" a="1"/>
  <c r="Q823" i="11" s="1"/>
  <c r="L823" i="11"/>
  <c r="Q822" i="11" a="1"/>
  <c r="Q822" i="11" s="1"/>
  <c r="L822" i="11"/>
  <c r="Q821" i="11" a="1"/>
  <c r="Q821" i="11" s="1"/>
  <c r="L821" i="11"/>
  <c r="Q820" i="11" a="1"/>
  <c r="Q820" i="11" s="1"/>
  <c r="L820" i="11"/>
  <c r="Q819" i="11" a="1"/>
  <c r="Q819" i="11" s="1"/>
  <c r="L819" i="11"/>
  <c r="Q818" i="11" a="1"/>
  <c r="Q818" i="11" s="1"/>
  <c r="L818" i="11"/>
  <c r="Q762" i="11" a="1"/>
  <c r="Q762" i="11" s="1"/>
  <c r="L762" i="11"/>
  <c r="E762" i="11"/>
  <c r="O1176" i="11" l="1"/>
  <c r="O1222" i="11"/>
  <c r="O1016" i="11"/>
  <c r="O1077" i="11"/>
  <c r="O853" i="11"/>
  <c r="O852" i="11"/>
  <c r="O889" i="11"/>
  <c r="O1076" i="11"/>
  <c r="O1048" i="11"/>
  <c r="O1163" i="11"/>
  <c r="O1109" i="11"/>
  <c r="O1111" i="11"/>
  <c r="O962" i="11"/>
  <c r="O1082" i="11"/>
  <c r="O870" i="11"/>
  <c r="O878" i="11"/>
  <c r="O890" i="11"/>
  <c r="O905" i="11"/>
  <c r="O945" i="11"/>
  <c r="O970" i="11"/>
  <c r="O1101" i="11"/>
  <c r="O1113" i="11"/>
  <c r="O1115" i="11"/>
  <c r="O1123" i="11"/>
  <c r="O1144" i="11"/>
  <c r="O1140" i="11"/>
  <c r="O1134" i="11"/>
  <c r="O1151" i="11"/>
  <c r="O1039" i="11"/>
  <c r="O1045" i="11"/>
  <c r="O1047" i="11"/>
  <c r="O1049" i="11"/>
  <c r="O1051" i="11"/>
  <c r="O1053" i="11"/>
  <c r="O1059" i="11"/>
  <c r="O1061" i="11"/>
  <c r="O1108" i="11"/>
  <c r="O1110" i="11"/>
  <c r="O1078" i="11"/>
  <c r="O1090" i="11"/>
  <c r="O1098" i="11"/>
  <c r="O1127" i="11"/>
  <c r="O1125" i="11"/>
  <c r="O1129" i="11"/>
  <c r="O1168" i="11"/>
  <c r="O1133" i="11"/>
  <c r="O1135" i="11"/>
  <c r="O1179" i="11"/>
  <c r="O887" i="11"/>
  <c r="O946" i="11"/>
  <c r="O979" i="11"/>
  <c r="O1091" i="11"/>
  <c r="O1130" i="11"/>
  <c r="O1160" i="11"/>
  <c r="O1186" i="11"/>
  <c r="O1194" i="11"/>
  <c r="O647" i="11"/>
  <c r="O1014" i="11"/>
  <c r="O1038" i="11"/>
  <c r="O1042" i="11"/>
  <c r="O1046" i="11"/>
  <c r="O1052" i="11"/>
  <c r="O1058" i="11"/>
  <c r="O1062" i="11"/>
  <c r="O1080" i="11"/>
  <c r="O1084" i="11"/>
  <c r="O1092" i="11"/>
  <c r="O1100" i="11"/>
  <c r="O1128" i="11"/>
  <c r="K631" i="11"/>
  <c r="E631" i="11"/>
  <c r="Q631" i="11" a="1"/>
  <c r="Q631" i="11" s="1"/>
  <c r="Q4" i="11" a="1"/>
  <c r="Q4" i="11" s="1"/>
  <c r="Q5" i="11" a="1"/>
  <c r="Q5" i="11" s="1"/>
  <c r="Q6" i="11" a="1"/>
  <c r="Q6" i="11" s="1"/>
  <c r="Q7" i="11" a="1"/>
  <c r="Q7" i="11" s="1"/>
  <c r="Q8" i="11" a="1"/>
  <c r="Q8" i="11" s="1"/>
  <c r="Q9" i="11" a="1"/>
  <c r="Q9" i="11" s="1"/>
  <c r="Q10" i="11" a="1"/>
  <c r="Q10" i="11" s="1"/>
  <c r="Q11" i="11" a="1"/>
  <c r="Q11" i="11" s="1"/>
  <c r="Q12" i="11" a="1"/>
  <c r="Q12" i="11" s="1"/>
  <c r="Q13" i="11" a="1"/>
  <c r="Q13" i="11" s="1"/>
  <c r="Q14" i="11" a="1"/>
  <c r="Q14" i="11" s="1"/>
  <c r="Q15" i="11" a="1"/>
  <c r="Q15" i="11" s="1"/>
  <c r="Q16" i="11" a="1"/>
  <c r="Q16" i="11" s="1"/>
  <c r="Q17" i="11" a="1"/>
  <c r="Q17" i="11" s="1"/>
  <c r="Q18" i="11" a="1"/>
  <c r="Q18" i="11" s="1"/>
  <c r="Q19" i="11" a="1"/>
  <c r="Q19" i="11" s="1"/>
  <c r="Q20" i="11" a="1"/>
  <c r="Q20" i="11" s="1"/>
  <c r="Q21" i="11" a="1"/>
  <c r="Q21" i="11" s="1"/>
  <c r="Q22" i="11" a="1"/>
  <c r="Q22" i="11" s="1"/>
  <c r="Q23" i="11" a="1"/>
  <c r="Q23" i="11" s="1"/>
  <c r="Q24" i="11" a="1"/>
  <c r="Q24" i="11" s="1"/>
  <c r="Q25" i="11" a="1"/>
  <c r="Q25" i="11" s="1"/>
  <c r="Q26" i="11" a="1"/>
  <c r="Q26" i="11" s="1"/>
  <c r="Q27" i="11" a="1"/>
  <c r="Q27" i="11" s="1"/>
  <c r="Q28" i="11" a="1"/>
  <c r="Q28" i="11" s="1"/>
  <c r="Q29" i="11" a="1"/>
  <c r="Q29" i="11" s="1"/>
  <c r="Q30" i="11" a="1"/>
  <c r="Q30" i="11" s="1"/>
  <c r="Q31" i="11" a="1"/>
  <c r="Q31" i="11" s="1"/>
  <c r="Q32" i="11" a="1"/>
  <c r="Q32" i="11" s="1"/>
  <c r="Q33" i="11" a="1"/>
  <c r="Q33" i="11" s="1"/>
  <c r="Q34" i="11" a="1"/>
  <c r="Q34" i="11" s="1"/>
  <c r="Q35" i="11" a="1"/>
  <c r="Q35" i="11" s="1"/>
  <c r="Q36" i="11" a="1"/>
  <c r="Q36" i="11" s="1"/>
  <c r="Q37" i="11" a="1"/>
  <c r="Q37" i="11" s="1"/>
  <c r="Q38" i="11" a="1"/>
  <c r="Q38" i="11" s="1"/>
  <c r="Q39" i="11" a="1"/>
  <c r="Q39" i="11" s="1"/>
  <c r="Q40" i="11" a="1"/>
  <c r="Q40" i="11" s="1"/>
  <c r="Q41" i="11" a="1"/>
  <c r="Q41" i="11" s="1"/>
  <c r="Q42" i="11" a="1"/>
  <c r="Q42" i="11" s="1"/>
  <c r="Q43" i="11" a="1"/>
  <c r="Q43" i="11" s="1"/>
  <c r="Q44" i="11" a="1"/>
  <c r="Q44" i="11" s="1"/>
  <c r="Q45" i="11" a="1"/>
  <c r="Q45" i="11" s="1"/>
  <c r="Q46" i="11" a="1"/>
  <c r="Q46" i="11" s="1"/>
  <c r="Q47" i="11" a="1"/>
  <c r="Q47" i="11" s="1"/>
  <c r="Q48" i="11" a="1"/>
  <c r="Q48" i="11" s="1"/>
  <c r="Q49" i="11" a="1"/>
  <c r="Q49" i="11" s="1"/>
  <c r="Q50" i="11" a="1"/>
  <c r="Q50" i="11" s="1"/>
  <c r="Q51" i="11" a="1"/>
  <c r="Q51" i="11" s="1"/>
  <c r="Q52" i="11" a="1"/>
  <c r="Q52" i="11" s="1"/>
  <c r="Q53" i="11" a="1"/>
  <c r="Q53" i="11" s="1"/>
  <c r="Q54" i="11" a="1"/>
  <c r="Q54" i="11" s="1"/>
  <c r="Q55" i="11" a="1"/>
  <c r="Q55" i="11" s="1"/>
  <c r="Q57" i="11" a="1"/>
  <c r="Q57" i="11" s="1"/>
  <c r="Q58" i="11" a="1"/>
  <c r="Q58" i="11" s="1"/>
  <c r="Q59" i="11" a="1"/>
  <c r="Q59" i="11" s="1"/>
  <c r="Q60" i="11" a="1"/>
  <c r="Q60" i="11" s="1"/>
  <c r="Q61" i="11" a="1"/>
  <c r="Q61" i="11" s="1"/>
  <c r="Q62" i="11" a="1"/>
  <c r="Q62" i="11" s="1"/>
  <c r="Q63" i="11" a="1"/>
  <c r="Q63" i="11" s="1"/>
  <c r="Q64" i="11" a="1"/>
  <c r="Q64" i="11" s="1"/>
  <c r="Q65" i="11" a="1"/>
  <c r="Q65" i="11" s="1"/>
  <c r="Q66" i="11" a="1"/>
  <c r="Q66" i="11" s="1"/>
  <c r="Q67" i="11" a="1"/>
  <c r="Q67" i="11" s="1"/>
  <c r="Q68" i="11" a="1"/>
  <c r="Q68" i="11" s="1"/>
  <c r="Q69" i="11" a="1"/>
  <c r="Q69" i="11" s="1"/>
  <c r="Q70" i="11" a="1"/>
  <c r="Q70" i="11" s="1"/>
  <c r="Q71" i="11" a="1"/>
  <c r="Q71" i="11" s="1"/>
  <c r="Q72" i="11" a="1"/>
  <c r="Q72" i="11" s="1"/>
  <c r="Q73" i="11" a="1"/>
  <c r="Q73" i="11" s="1"/>
  <c r="Q74" i="11" a="1"/>
  <c r="Q74" i="11" s="1"/>
  <c r="Q75" i="11" a="1"/>
  <c r="Q75" i="11" s="1"/>
  <c r="Q76" i="11" a="1"/>
  <c r="Q76" i="11" s="1"/>
  <c r="Q77" i="11" a="1"/>
  <c r="Q77" i="11" s="1"/>
  <c r="Q78" i="11" a="1"/>
  <c r="Q78" i="11" s="1"/>
  <c r="Q79" i="11" a="1"/>
  <c r="Q79" i="11" s="1"/>
  <c r="Q80" i="11" a="1"/>
  <c r="Q80" i="11" s="1"/>
  <c r="Q81" i="11" a="1"/>
  <c r="Q81" i="11" s="1"/>
  <c r="Q82" i="11" a="1"/>
  <c r="Q82" i="11" s="1"/>
  <c r="Q83" i="11" a="1"/>
  <c r="Q83" i="11" s="1"/>
  <c r="Q84" i="11" a="1"/>
  <c r="Q84" i="11" s="1"/>
  <c r="Q85" i="11" a="1"/>
  <c r="Q85" i="11" s="1"/>
  <c r="Q86" i="11" a="1"/>
  <c r="Q86" i="11" s="1"/>
  <c r="Q87" i="11" a="1"/>
  <c r="Q87" i="11" s="1"/>
  <c r="Q88" i="11" a="1"/>
  <c r="Q88" i="11" s="1"/>
  <c r="Q89" i="11" a="1"/>
  <c r="Q89" i="11" s="1"/>
  <c r="Q90" i="11" a="1"/>
  <c r="Q90" i="11" s="1"/>
  <c r="Q91" i="11" a="1"/>
  <c r="Q91" i="11" s="1"/>
  <c r="Q92" i="11" a="1"/>
  <c r="Q92" i="11" s="1"/>
  <c r="Q93" i="11" a="1"/>
  <c r="Q93" i="11" s="1"/>
  <c r="Q94" i="11" a="1"/>
  <c r="Q94" i="11" s="1"/>
  <c r="Q95" i="11" a="1"/>
  <c r="Q95" i="11" s="1"/>
  <c r="Q96" i="11" a="1"/>
  <c r="Q96" i="11" s="1"/>
  <c r="Q97" i="11" a="1"/>
  <c r="Q97" i="11" s="1"/>
  <c r="Q98" i="11" a="1"/>
  <c r="Q98" i="11" s="1"/>
  <c r="Q99" i="11" a="1"/>
  <c r="Q99" i="11" s="1"/>
  <c r="Q100" i="11" a="1"/>
  <c r="Q100" i="11" s="1"/>
  <c r="Q101" i="11" a="1"/>
  <c r="Q101" i="11" s="1"/>
  <c r="Q102" i="11" a="1"/>
  <c r="Q102" i="11" s="1"/>
  <c r="Q103" i="11" a="1"/>
  <c r="Q103" i="11" s="1"/>
  <c r="Q104" i="11" a="1"/>
  <c r="Q104" i="11" s="1"/>
  <c r="Q105" i="11" a="1"/>
  <c r="Q105" i="11" s="1"/>
  <c r="Q106" i="11" a="1"/>
  <c r="Q106" i="11" s="1"/>
  <c r="Q107" i="11" a="1"/>
  <c r="Q107" i="11" s="1"/>
  <c r="Q108" i="11" a="1"/>
  <c r="Q108" i="11" s="1"/>
  <c r="Q109" i="11" a="1"/>
  <c r="Q109" i="11" s="1"/>
  <c r="Q110" i="11" a="1"/>
  <c r="Q110" i="11" s="1"/>
  <c r="Q111" i="11" a="1"/>
  <c r="Q111" i="11" s="1"/>
  <c r="Q112" i="11" a="1"/>
  <c r="Q112" i="11" s="1"/>
  <c r="Q113" i="11" a="1"/>
  <c r="Q113" i="11" s="1"/>
  <c r="Q114" i="11" a="1"/>
  <c r="Q114" i="11" s="1"/>
  <c r="Q115" i="11" a="1"/>
  <c r="Q115" i="11" s="1"/>
  <c r="Q116" i="11" a="1"/>
  <c r="Q116" i="11" s="1"/>
  <c r="Q117" i="11" a="1"/>
  <c r="Q117" i="11" s="1"/>
  <c r="Q118" i="11" a="1"/>
  <c r="Q118" i="11" s="1"/>
  <c r="Q119" i="11" a="1"/>
  <c r="Q119" i="11" s="1"/>
  <c r="Q120" i="11" a="1"/>
  <c r="Q120" i="11" s="1"/>
  <c r="Q121" i="11" a="1"/>
  <c r="Q121" i="11" s="1"/>
  <c r="Q122" i="11" a="1"/>
  <c r="Q122" i="11" s="1"/>
  <c r="Q123" i="11" a="1"/>
  <c r="Q123" i="11" s="1"/>
  <c r="Q124" i="11" a="1"/>
  <c r="Q124" i="11" s="1"/>
  <c r="Q125" i="11" a="1"/>
  <c r="Q125" i="11" s="1"/>
  <c r="Q126" i="11" a="1"/>
  <c r="Q126" i="11" s="1"/>
  <c r="Q127" i="11" a="1"/>
  <c r="Q127" i="11" s="1"/>
  <c r="Q128" i="11" a="1"/>
  <c r="Q128" i="11" s="1"/>
  <c r="Q129" i="11" a="1"/>
  <c r="Q129" i="11" s="1"/>
  <c r="Q130" i="11" a="1"/>
  <c r="Q130" i="11" s="1"/>
  <c r="Q131" i="11" a="1"/>
  <c r="Q131" i="11" s="1"/>
  <c r="Q132" i="11" a="1"/>
  <c r="Q132" i="11" s="1"/>
  <c r="Q133" i="11" a="1"/>
  <c r="Q133" i="11" s="1"/>
  <c r="Q134" i="11" a="1"/>
  <c r="Q134" i="11" s="1"/>
  <c r="Q135" i="11" a="1"/>
  <c r="Q135" i="11" s="1"/>
  <c r="Q136" i="11" a="1"/>
  <c r="Q136" i="11" s="1"/>
  <c r="Q137" i="11" a="1"/>
  <c r="Q137" i="11" s="1"/>
  <c r="Q138" i="11" a="1"/>
  <c r="Q138" i="11" s="1"/>
  <c r="Q139" i="11" a="1"/>
  <c r="Q139" i="11" s="1"/>
  <c r="Q140" i="11" a="1"/>
  <c r="Q140" i="11" s="1"/>
  <c r="Q141" i="11" a="1"/>
  <c r="Q141" i="11" s="1"/>
  <c r="Q142" i="11" a="1"/>
  <c r="Q142" i="11" s="1"/>
  <c r="Q143" i="11" a="1"/>
  <c r="Q143" i="11" s="1"/>
  <c r="Q144" i="11" a="1"/>
  <c r="Q144" i="11" s="1"/>
  <c r="Q145" i="11" a="1"/>
  <c r="Q145" i="11" s="1"/>
  <c r="Q146" i="11" a="1"/>
  <c r="Q146" i="11" s="1"/>
  <c r="Q147" i="11" a="1"/>
  <c r="Q147" i="11" s="1"/>
  <c r="Q148" i="11" a="1"/>
  <c r="Q148" i="11" s="1"/>
  <c r="Q149" i="11" a="1"/>
  <c r="Q149" i="11" s="1"/>
  <c r="Q150" i="11" a="1"/>
  <c r="Q150" i="11" s="1"/>
  <c r="Q151" i="11" a="1"/>
  <c r="Q151" i="11" s="1"/>
  <c r="Q152" i="11" a="1"/>
  <c r="Q152" i="11" s="1"/>
  <c r="Q153" i="11" a="1"/>
  <c r="Q153" i="11" s="1"/>
  <c r="Q154" i="11" a="1"/>
  <c r="Q154" i="11" s="1"/>
  <c r="Q155" i="11" a="1"/>
  <c r="Q155" i="11" s="1"/>
  <c r="Q156" i="11" a="1"/>
  <c r="Q156" i="11" s="1"/>
  <c r="Q157" i="11" a="1"/>
  <c r="Q157" i="11" s="1"/>
  <c r="Q158" i="11" a="1"/>
  <c r="Q158" i="11" s="1"/>
  <c r="Q159" i="11" a="1"/>
  <c r="Q159" i="11" s="1"/>
  <c r="Q160" i="11" a="1"/>
  <c r="Q160" i="11" s="1"/>
  <c r="Q161" i="11" a="1"/>
  <c r="Q161" i="11" s="1"/>
  <c r="Q162" i="11" a="1"/>
  <c r="Q162" i="11" s="1"/>
  <c r="Q163" i="11" a="1"/>
  <c r="Q163" i="11" s="1"/>
  <c r="Q164" i="11" a="1"/>
  <c r="Q164" i="11" s="1"/>
  <c r="Q165" i="11" a="1"/>
  <c r="Q165" i="11" s="1"/>
  <c r="Q166" i="11" a="1"/>
  <c r="Q166" i="11" s="1"/>
  <c r="Q167" i="11" a="1"/>
  <c r="Q167" i="11" s="1"/>
  <c r="Q168" i="11" a="1"/>
  <c r="Q168" i="11" s="1"/>
  <c r="Q169" i="11" a="1"/>
  <c r="Q169" i="11" s="1"/>
  <c r="Q170" i="11" a="1"/>
  <c r="Q170" i="11" s="1"/>
  <c r="Q171" i="11" a="1"/>
  <c r="Q171" i="11" s="1"/>
  <c r="Q172" i="11" a="1"/>
  <c r="Q172" i="11" s="1"/>
  <c r="Q173" i="11" a="1"/>
  <c r="Q173" i="11" s="1"/>
  <c r="Q174" i="11" a="1"/>
  <c r="Q174" i="11" s="1"/>
  <c r="Q175" i="11" a="1"/>
  <c r="Q175" i="11" s="1"/>
  <c r="Q176" i="11" a="1"/>
  <c r="Q176" i="11" s="1"/>
  <c r="Q177" i="11" a="1"/>
  <c r="Q177" i="11" s="1"/>
  <c r="Q178" i="11" a="1"/>
  <c r="Q178" i="11" s="1"/>
  <c r="Q179" i="11" a="1"/>
  <c r="Q179" i="11" s="1"/>
  <c r="Q180" i="11" a="1"/>
  <c r="Q180" i="11" s="1"/>
  <c r="Q181" i="11" a="1"/>
  <c r="Q181" i="11" s="1"/>
  <c r="Q182" i="11" a="1"/>
  <c r="Q182" i="11" s="1"/>
  <c r="Q183" i="11" a="1"/>
  <c r="Q183" i="11" s="1"/>
  <c r="Q184" i="11" a="1"/>
  <c r="Q184" i="11" s="1"/>
  <c r="Q185" i="11" a="1"/>
  <c r="Q185" i="11" s="1"/>
  <c r="Q186" i="11" a="1"/>
  <c r="Q186" i="11" s="1"/>
  <c r="Q187" i="11" a="1"/>
  <c r="Q187" i="11" s="1"/>
  <c r="Q188" i="11" a="1"/>
  <c r="Q188" i="11" s="1"/>
  <c r="Q189" i="11" a="1"/>
  <c r="Q189" i="11" s="1"/>
  <c r="Q190" i="11" a="1"/>
  <c r="Q190" i="11" s="1"/>
  <c r="Q191" i="11" a="1"/>
  <c r="Q191" i="11" s="1"/>
  <c r="Q192" i="11" a="1"/>
  <c r="Q192" i="11" s="1"/>
  <c r="Q193" i="11" a="1"/>
  <c r="Q193" i="11" s="1"/>
  <c r="Q194" i="11" a="1"/>
  <c r="Q194" i="11" s="1"/>
  <c r="Q195" i="11" a="1"/>
  <c r="Q195" i="11" s="1"/>
  <c r="Q196" i="11" a="1"/>
  <c r="Q196" i="11" s="1"/>
  <c r="Q197" i="11" a="1"/>
  <c r="Q197" i="11" s="1"/>
  <c r="Q198" i="11" a="1"/>
  <c r="Q198" i="11" s="1"/>
  <c r="Q199" i="11" a="1"/>
  <c r="Q199" i="11" s="1"/>
  <c r="Q200" i="11" a="1"/>
  <c r="Q200" i="11" s="1"/>
  <c r="Q201" i="11" a="1"/>
  <c r="Q201" i="11" s="1"/>
  <c r="Q202" i="11" a="1"/>
  <c r="Q202" i="11" s="1"/>
  <c r="Q203" i="11" a="1"/>
  <c r="Q203" i="11" s="1"/>
  <c r="Q204" i="11" a="1"/>
  <c r="Q204" i="11" s="1"/>
  <c r="Q205" i="11" a="1"/>
  <c r="Q205" i="11" s="1"/>
  <c r="Q206" i="11" a="1"/>
  <c r="Q206" i="11" s="1"/>
  <c r="Q207" i="11" a="1"/>
  <c r="Q207" i="11" s="1"/>
  <c r="Q208" i="11" a="1"/>
  <c r="Q208" i="11" s="1"/>
  <c r="Q209" i="11" a="1"/>
  <c r="Q209" i="11" s="1"/>
  <c r="Q210" i="11" a="1"/>
  <c r="Q210" i="11" s="1"/>
  <c r="Q211" i="11" a="1"/>
  <c r="Q211" i="11" s="1"/>
  <c r="Q212" i="11" a="1"/>
  <c r="Q212" i="11" s="1"/>
  <c r="Q213" i="11" a="1"/>
  <c r="Q213" i="11" s="1"/>
  <c r="Q214" i="11" a="1"/>
  <c r="Q214" i="11" s="1"/>
  <c r="Q215" i="11" a="1"/>
  <c r="Q215" i="11" s="1"/>
  <c r="Q216" i="11" a="1"/>
  <c r="Q216" i="11" s="1"/>
  <c r="Q217" i="11" a="1"/>
  <c r="Q217" i="11" s="1"/>
  <c r="Q218" i="11" a="1"/>
  <c r="Q218" i="11" s="1"/>
  <c r="Q219" i="11" a="1"/>
  <c r="Q219" i="11" s="1"/>
  <c r="Q220" i="11" a="1"/>
  <c r="Q220" i="11" s="1"/>
  <c r="Q221" i="11" a="1"/>
  <c r="Q221" i="11" s="1"/>
  <c r="Q222" i="11" a="1"/>
  <c r="Q222" i="11" s="1"/>
  <c r="Q223" i="11" a="1"/>
  <c r="Q223" i="11" s="1"/>
  <c r="Q224" i="11" a="1"/>
  <c r="Q224" i="11" s="1"/>
  <c r="Q225" i="11" a="1"/>
  <c r="Q225" i="11" s="1"/>
  <c r="Q226" i="11" a="1"/>
  <c r="Q226" i="11" s="1"/>
  <c r="Q227" i="11" a="1"/>
  <c r="Q227" i="11" s="1"/>
  <c r="Q228" i="11" a="1"/>
  <c r="Q228" i="11" s="1"/>
  <c r="Q229" i="11" a="1"/>
  <c r="Q229" i="11" s="1"/>
  <c r="Q230" i="11" a="1"/>
  <c r="Q230" i="11" s="1"/>
  <c r="Q231" i="11" a="1"/>
  <c r="Q231" i="11" s="1"/>
  <c r="Q232" i="11" a="1"/>
  <c r="Q232" i="11" s="1"/>
  <c r="Q233" i="11" a="1"/>
  <c r="Q233" i="11" s="1"/>
  <c r="Q234" i="11" a="1"/>
  <c r="Q234" i="11" s="1"/>
  <c r="Q235" i="11" a="1"/>
  <c r="Q235" i="11" s="1"/>
  <c r="Q236" i="11" a="1"/>
  <c r="Q236" i="11" s="1"/>
  <c r="Q237" i="11" a="1"/>
  <c r="Q237" i="11" s="1"/>
  <c r="Q238" i="11" a="1"/>
  <c r="Q238" i="11" s="1"/>
  <c r="Q239" i="11" a="1"/>
  <c r="Q239" i="11" s="1"/>
  <c r="Q240" i="11" a="1"/>
  <c r="Q240" i="11" s="1"/>
  <c r="Q241" i="11" a="1"/>
  <c r="Q241" i="11" s="1"/>
  <c r="Q242" i="11" a="1"/>
  <c r="Q242" i="11" s="1"/>
  <c r="Q243" i="11" a="1"/>
  <c r="Q243" i="11" s="1"/>
  <c r="Q244" i="11" a="1"/>
  <c r="Q244" i="11" s="1"/>
  <c r="Q245" i="11" a="1"/>
  <c r="Q245" i="11" s="1"/>
  <c r="Q246" i="11" a="1"/>
  <c r="Q246" i="11" s="1"/>
  <c r="Q247" i="11" a="1"/>
  <c r="Q247" i="11" s="1"/>
  <c r="Q248" i="11" a="1"/>
  <c r="Q248" i="11" s="1"/>
  <c r="Q249" i="11" a="1"/>
  <c r="Q249" i="11" s="1"/>
  <c r="Q250" i="11" a="1"/>
  <c r="Q250" i="11" s="1"/>
  <c r="Q251" i="11" a="1"/>
  <c r="Q251" i="11" s="1"/>
  <c r="Q252" i="11" a="1"/>
  <c r="Q252" i="11" s="1"/>
  <c r="Q253" i="11" a="1"/>
  <c r="Q253" i="11" s="1"/>
  <c r="Q254" i="11" a="1"/>
  <c r="Q254" i="11" s="1"/>
  <c r="Q255" i="11" a="1"/>
  <c r="Q255" i="11" s="1"/>
  <c r="Q256" i="11" a="1"/>
  <c r="Q256" i="11" s="1"/>
  <c r="Q257" i="11" a="1"/>
  <c r="Q257" i="11" s="1"/>
  <c r="Q258" i="11" a="1"/>
  <c r="Q258" i="11" s="1"/>
  <c r="Q259" i="11" a="1"/>
  <c r="Q259" i="11" s="1"/>
  <c r="Q260" i="11" a="1"/>
  <c r="Q260" i="11" s="1"/>
  <c r="Q261" i="11" a="1"/>
  <c r="Q261" i="11" s="1"/>
  <c r="Q262" i="11" a="1"/>
  <c r="Q262" i="11" s="1"/>
  <c r="Q263" i="11" a="1"/>
  <c r="Q263" i="11" s="1"/>
  <c r="Q264" i="11" a="1"/>
  <c r="Q264" i="11" s="1"/>
  <c r="Q265" i="11" a="1"/>
  <c r="Q265" i="11" s="1"/>
  <c r="Q266" i="11" a="1"/>
  <c r="Q266" i="11" s="1"/>
  <c r="Q267" i="11" a="1"/>
  <c r="Q267" i="11" s="1"/>
  <c r="Q268" i="11" a="1"/>
  <c r="Q268" i="11" s="1"/>
  <c r="Q269" i="11" a="1"/>
  <c r="Q269" i="11" s="1"/>
  <c r="Q270" i="11" a="1"/>
  <c r="Q270" i="11" s="1"/>
  <c r="Q271" i="11" a="1"/>
  <c r="Q271" i="11" s="1"/>
  <c r="Q272" i="11" a="1"/>
  <c r="Q272" i="11" s="1"/>
  <c r="Q273" i="11" a="1"/>
  <c r="Q273" i="11" s="1"/>
  <c r="Q274" i="11" a="1"/>
  <c r="Q274" i="11" s="1"/>
  <c r="Q275" i="11" a="1"/>
  <c r="Q275" i="11" s="1"/>
  <c r="Q276" i="11" a="1"/>
  <c r="Q276" i="11" s="1"/>
  <c r="Q277" i="11" a="1"/>
  <c r="Q277" i="11" s="1"/>
  <c r="Q278" i="11" a="1"/>
  <c r="Q278" i="11" s="1"/>
  <c r="Q279" i="11" a="1"/>
  <c r="Q279" i="11" s="1"/>
  <c r="Q280" i="11" a="1"/>
  <c r="Q280" i="11" s="1"/>
  <c r="Q281" i="11" a="1"/>
  <c r="Q281" i="11" s="1"/>
  <c r="Q282" i="11" a="1"/>
  <c r="Q282" i="11" s="1"/>
  <c r="Q283" i="11" a="1"/>
  <c r="Q283" i="11" s="1"/>
  <c r="Q284" i="11" a="1"/>
  <c r="Q284" i="11" s="1"/>
  <c r="Q285" i="11" a="1"/>
  <c r="Q285" i="11" s="1"/>
  <c r="Q286" i="11" a="1"/>
  <c r="Q286" i="11" s="1"/>
  <c r="Q287" i="11" a="1"/>
  <c r="Q287" i="11" s="1"/>
  <c r="Q288" i="11" a="1"/>
  <c r="Q288" i="11" s="1"/>
  <c r="Q289" i="11" a="1"/>
  <c r="Q289" i="11" s="1"/>
  <c r="Q290" i="11" a="1"/>
  <c r="Q290" i="11" s="1"/>
  <c r="Q291" i="11" a="1"/>
  <c r="Q291" i="11" s="1"/>
  <c r="Q292" i="11" a="1"/>
  <c r="Q292" i="11" s="1"/>
  <c r="Q293" i="11" a="1"/>
  <c r="Q293" i="11" s="1"/>
  <c r="Q294" i="11" a="1"/>
  <c r="Q294" i="11" s="1"/>
  <c r="Q295" i="11" a="1"/>
  <c r="Q295" i="11" s="1"/>
  <c r="Q296" i="11" a="1"/>
  <c r="Q296" i="11" s="1"/>
  <c r="Q297" i="11" a="1"/>
  <c r="Q297" i="11" s="1"/>
  <c r="Q298" i="11" a="1"/>
  <c r="Q298" i="11" s="1"/>
  <c r="Q299" i="11" a="1"/>
  <c r="Q299" i="11" s="1"/>
  <c r="Q300" i="11" a="1"/>
  <c r="Q300" i="11" s="1"/>
  <c r="Q301" i="11" a="1"/>
  <c r="Q301" i="11" s="1"/>
  <c r="Q302" i="11" a="1"/>
  <c r="Q302" i="11" s="1"/>
  <c r="Q303" i="11" a="1"/>
  <c r="Q303" i="11" s="1"/>
  <c r="Q304" i="11" a="1"/>
  <c r="Q304" i="11" s="1"/>
  <c r="Q305" i="11" a="1"/>
  <c r="Q305" i="11" s="1"/>
  <c r="Q306" i="11" a="1"/>
  <c r="Q306" i="11" s="1"/>
  <c r="Q307" i="11" a="1"/>
  <c r="Q307" i="11" s="1"/>
  <c r="Q308" i="11" a="1"/>
  <c r="Q308" i="11" s="1"/>
  <c r="Q309" i="11" a="1"/>
  <c r="Q309" i="11" s="1"/>
  <c r="Q310" i="11" a="1"/>
  <c r="Q310" i="11" s="1"/>
  <c r="Q311" i="11" a="1"/>
  <c r="Q311" i="11" s="1"/>
  <c r="Q312" i="11" a="1"/>
  <c r="Q312" i="11" s="1"/>
  <c r="Q313" i="11" a="1"/>
  <c r="Q313" i="11" s="1"/>
  <c r="Q314" i="11" a="1"/>
  <c r="Q314" i="11" s="1"/>
  <c r="Q315" i="11" a="1"/>
  <c r="Q315" i="11" s="1"/>
  <c r="Q316" i="11" a="1"/>
  <c r="Q316" i="11" s="1"/>
  <c r="Q317" i="11" a="1"/>
  <c r="Q317" i="11" s="1"/>
  <c r="Q318" i="11" a="1"/>
  <c r="Q318" i="11" s="1"/>
  <c r="Q319" i="11" a="1"/>
  <c r="Q319" i="11" s="1"/>
  <c r="Q320" i="11" a="1"/>
  <c r="Q320" i="11" s="1"/>
  <c r="Q321" i="11" a="1"/>
  <c r="Q321" i="11" s="1"/>
  <c r="Q322" i="11" a="1"/>
  <c r="Q322" i="11" s="1"/>
  <c r="Q323" i="11" a="1"/>
  <c r="Q323" i="11" s="1"/>
  <c r="Q324" i="11" a="1"/>
  <c r="Q324" i="11" s="1"/>
  <c r="Q325" i="11" a="1"/>
  <c r="Q325" i="11" s="1"/>
  <c r="Q326" i="11" a="1"/>
  <c r="Q326" i="11" s="1"/>
  <c r="Q327" i="11" a="1"/>
  <c r="Q327" i="11" s="1"/>
  <c r="Q328" i="11" a="1"/>
  <c r="Q328" i="11" s="1"/>
  <c r="Q329" i="11" a="1"/>
  <c r="Q329" i="11" s="1"/>
  <c r="Q330" i="11" a="1"/>
  <c r="Q330" i="11" s="1"/>
  <c r="Q331" i="11" a="1"/>
  <c r="Q331" i="11" s="1"/>
  <c r="Q332" i="11" a="1"/>
  <c r="Q332" i="11" s="1"/>
  <c r="Q333" i="11" a="1"/>
  <c r="Q333" i="11" s="1"/>
  <c r="Q334" i="11" a="1"/>
  <c r="Q334" i="11" s="1"/>
  <c r="Q335" i="11" a="1"/>
  <c r="Q335" i="11" s="1"/>
  <c r="Q336" i="11" a="1"/>
  <c r="Q336" i="11" s="1"/>
  <c r="Q337" i="11" a="1"/>
  <c r="Q337" i="11" s="1"/>
  <c r="Q338" i="11" a="1"/>
  <c r="Q338" i="11" s="1"/>
  <c r="Q339" i="11" a="1"/>
  <c r="Q339" i="11" s="1"/>
  <c r="Q340" i="11" a="1"/>
  <c r="Q340" i="11" s="1"/>
  <c r="Q341" i="11" a="1"/>
  <c r="Q341" i="11" s="1"/>
  <c r="Q342" i="11" a="1"/>
  <c r="Q342" i="11" s="1"/>
  <c r="Q343" i="11" a="1"/>
  <c r="Q343" i="11" s="1"/>
  <c r="Q344" i="11" a="1"/>
  <c r="Q344" i="11" s="1"/>
  <c r="Q345" i="11" a="1"/>
  <c r="Q345" i="11" s="1"/>
  <c r="Q346" i="11" a="1"/>
  <c r="Q346" i="11" s="1"/>
  <c r="Q347" i="11" a="1"/>
  <c r="Q347" i="11" s="1"/>
  <c r="Q348" i="11" a="1"/>
  <c r="Q348" i="11" s="1"/>
  <c r="Q349" i="11" a="1"/>
  <c r="Q349" i="11" s="1"/>
  <c r="Q350" i="11" a="1"/>
  <c r="Q350" i="11" s="1"/>
  <c r="Q351" i="11" a="1"/>
  <c r="Q351" i="11" s="1"/>
  <c r="Q352" i="11" a="1"/>
  <c r="Q352" i="11" s="1"/>
  <c r="Q353" i="11" a="1"/>
  <c r="Q353" i="11" s="1"/>
  <c r="Q354" i="11" a="1"/>
  <c r="Q354" i="11" s="1"/>
  <c r="Q355" i="11" a="1"/>
  <c r="Q355" i="11" s="1"/>
  <c r="Q356" i="11" a="1"/>
  <c r="Q356" i="11" s="1"/>
  <c r="Q357" i="11" a="1"/>
  <c r="Q357" i="11" s="1"/>
  <c r="Q358" i="11" a="1"/>
  <c r="Q358" i="11" s="1"/>
  <c r="Q359" i="11" a="1"/>
  <c r="Q359" i="11" s="1"/>
  <c r="Q360" i="11" a="1"/>
  <c r="Q360" i="11" s="1"/>
  <c r="Q361" i="11" a="1"/>
  <c r="Q361" i="11" s="1"/>
  <c r="Q362" i="11" a="1"/>
  <c r="Q362" i="11" s="1"/>
  <c r="Q363" i="11" a="1"/>
  <c r="Q363" i="11" s="1"/>
  <c r="Q364" i="11" a="1"/>
  <c r="Q364" i="11" s="1"/>
  <c r="Q365" i="11" a="1"/>
  <c r="Q365" i="11" s="1"/>
  <c r="Q366" i="11" a="1"/>
  <c r="Q366" i="11" s="1"/>
  <c r="Q367" i="11" a="1"/>
  <c r="Q367" i="11" s="1"/>
  <c r="Q368" i="11" a="1"/>
  <c r="Q368" i="11" s="1"/>
  <c r="Q369" i="11" a="1"/>
  <c r="Q369" i="11" s="1"/>
  <c r="Q370" i="11" a="1"/>
  <c r="Q370" i="11" s="1"/>
  <c r="Q371" i="11" a="1"/>
  <c r="Q371" i="11" s="1"/>
  <c r="Q372" i="11" a="1"/>
  <c r="Q372" i="11" s="1"/>
  <c r="Q373" i="11" a="1"/>
  <c r="Q373" i="11" s="1"/>
  <c r="Q374" i="11" a="1"/>
  <c r="Q374" i="11" s="1"/>
  <c r="Q375" i="11" a="1"/>
  <c r="Q375" i="11" s="1"/>
  <c r="Q376" i="11" a="1"/>
  <c r="Q376" i="11" s="1"/>
  <c r="Q377" i="11" a="1"/>
  <c r="Q377" i="11" s="1"/>
  <c r="Q378" i="11" a="1"/>
  <c r="Q378" i="11" s="1"/>
  <c r="Q379" i="11" a="1"/>
  <c r="Q379" i="11" s="1"/>
  <c r="Q380" i="11" a="1"/>
  <c r="Q380" i="11" s="1"/>
  <c r="Q381" i="11" a="1"/>
  <c r="Q381" i="11" s="1"/>
  <c r="Q382" i="11" a="1"/>
  <c r="Q382" i="11" s="1"/>
  <c r="Q383" i="11" a="1"/>
  <c r="Q383" i="11" s="1"/>
  <c r="Q384" i="11" a="1"/>
  <c r="Q384" i="11" s="1"/>
  <c r="Q385" i="11" a="1"/>
  <c r="Q385" i="11" s="1"/>
  <c r="Q386" i="11" a="1"/>
  <c r="Q386" i="11" s="1"/>
  <c r="Q387" i="11" a="1"/>
  <c r="Q387" i="11" s="1"/>
  <c r="Q388" i="11" a="1"/>
  <c r="Q388" i="11" s="1"/>
  <c r="Q389" i="11" a="1"/>
  <c r="Q389" i="11" s="1"/>
  <c r="Q390" i="11" a="1"/>
  <c r="Q390" i="11" s="1"/>
  <c r="Q391" i="11" a="1"/>
  <c r="Q391" i="11" s="1"/>
  <c r="Q392" i="11" a="1"/>
  <c r="Q392" i="11" s="1"/>
  <c r="Q393" i="11" a="1"/>
  <c r="Q393" i="11" s="1"/>
  <c r="Q394" i="11" a="1"/>
  <c r="Q394" i="11" s="1"/>
  <c r="Q395" i="11" a="1"/>
  <c r="Q395" i="11" s="1"/>
  <c r="Q396" i="11" a="1"/>
  <c r="Q396" i="11" s="1"/>
  <c r="Q397" i="11" a="1"/>
  <c r="Q397" i="11" s="1"/>
  <c r="Q398" i="11" a="1"/>
  <c r="Q398" i="11" s="1"/>
  <c r="Q399" i="11" a="1"/>
  <c r="Q399" i="11" s="1"/>
  <c r="Q400" i="11" a="1"/>
  <c r="Q400" i="11" s="1"/>
  <c r="Q401" i="11" a="1"/>
  <c r="Q401" i="11" s="1"/>
  <c r="Q402" i="11" a="1"/>
  <c r="Q402" i="11" s="1"/>
  <c r="Q403" i="11" a="1"/>
  <c r="Q403" i="11" s="1"/>
  <c r="Q404" i="11" a="1"/>
  <c r="Q404" i="11" s="1"/>
  <c r="Q405" i="11" a="1"/>
  <c r="Q405" i="11" s="1"/>
  <c r="Q406" i="11" a="1"/>
  <c r="Q406" i="11" s="1"/>
  <c r="Q407" i="11" a="1"/>
  <c r="Q407" i="11" s="1"/>
  <c r="Q408" i="11" a="1"/>
  <c r="Q408" i="11" s="1"/>
  <c r="Q409" i="11" a="1"/>
  <c r="Q409" i="11" s="1"/>
  <c r="Q410" i="11" a="1"/>
  <c r="Q410" i="11" s="1"/>
  <c r="Q411" i="11" a="1"/>
  <c r="Q411" i="11" s="1"/>
  <c r="Q412" i="11" a="1"/>
  <c r="Q412" i="11" s="1"/>
  <c r="Q413" i="11" a="1"/>
  <c r="Q413" i="11" s="1"/>
  <c r="Q414" i="11" a="1"/>
  <c r="Q414" i="11" s="1"/>
  <c r="Q415" i="11" a="1"/>
  <c r="Q415" i="11" s="1"/>
  <c r="Q416" i="11" a="1"/>
  <c r="Q416" i="11" s="1"/>
  <c r="Q417" i="11" a="1"/>
  <c r="Q417" i="11" s="1"/>
  <c r="Q418" i="11" a="1"/>
  <c r="Q418" i="11" s="1"/>
  <c r="Q419" i="11" a="1"/>
  <c r="Q419" i="11" s="1"/>
  <c r="Q420" i="11" a="1"/>
  <c r="Q420" i="11" s="1"/>
  <c r="Q421" i="11" a="1"/>
  <c r="Q421" i="11" s="1"/>
  <c r="Q422" i="11" a="1"/>
  <c r="Q422" i="11" s="1"/>
  <c r="Q423" i="11" a="1"/>
  <c r="Q423" i="11" s="1"/>
  <c r="Q424" i="11" a="1"/>
  <c r="Q424" i="11" s="1"/>
  <c r="Q425" i="11" a="1"/>
  <c r="Q425" i="11" s="1"/>
  <c r="Q426" i="11" a="1"/>
  <c r="Q426" i="11" s="1"/>
  <c r="Q427" i="11" a="1"/>
  <c r="Q427" i="11" s="1"/>
  <c r="Q428" i="11" a="1"/>
  <c r="Q428" i="11" s="1"/>
  <c r="Q429" i="11" a="1"/>
  <c r="Q429" i="11" s="1"/>
  <c r="Q430" i="11" a="1"/>
  <c r="Q430" i="11" s="1"/>
  <c r="Q431" i="11" a="1"/>
  <c r="Q431" i="11" s="1"/>
  <c r="Q432" i="11" a="1"/>
  <c r="Q432" i="11" s="1"/>
  <c r="Q433" i="11" a="1"/>
  <c r="Q433" i="11" s="1"/>
  <c r="Q434" i="11" a="1"/>
  <c r="Q434" i="11" s="1"/>
  <c r="Q435" i="11" a="1"/>
  <c r="Q435" i="11" s="1"/>
  <c r="Q436" i="11" a="1"/>
  <c r="Q436" i="11" s="1"/>
  <c r="Q437" i="11" a="1"/>
  <c r="Q437" i="11" s="1"/>
  <c r="Q438" i="11" a="1"/>
  <c r="Q438" i="11" s="1"/>
  <c r="Q439" i="11" a="1"/>
  <c r="Q439" i="11" s="1"/>
  <c r="Q440" i="11" a="1"/>
  <c r="Q440" i="11" s="1"/>
  <c r="Q441" i="11" a="1"/>
  <c r="Q441" i="11" s="1"/>
  <c r="Q442" i="11" a="1"/>
  <c r="Q442" i="11" s="1"/>
  <c r="Q443" i="11" a="1"/>
  <c r="Q443" i="11" s="1"/>
  <c r="Q444" i="11" a="1"/>
  <c r="Q444" i="11" s="1"/>
  <c r="Q445" i="11" a="1"/>
  <c r="Q445" i="11" s="1"/>
  <c r="Q446" i="11" a="1"/>
  <c r="Q446" i="11" s="1"/>
  <c r="Q447" i="11" a="1"/>
  <c r="Q447" i="11" s="1"/>
  <c r="Q448" i="11" a="1"/>
  <c r="Q448" i="11" s="1"/>
  <c r="Q449" i="11" a="1"/>
  <c r="Q449" i="11" s="1"/>
  <c r="Q450" i="11" a="1"/>
  <c r="Q450" i="11" s="1"/>
  <c r="Q451" i="11" a="1"/>
  <c r="Q451" i="11" s="1"/>
  <c r="Q452" i="11" a="1"/>
  <c r="Q452" i="11" s="1"/>
  <c r="Q453" i="11" a="1"/>
  <c r="Q453" i="11" s="1"/>
  <c r="Q454" i="11" a="1"/>
  <c r="Q454" i="11" s="1"/>
  <c r="Q455" i="11" a="1"/>
  <c r="Q455" i="11" s="1"/>
  <c r="Q456" i="11" a="1"/>
  <c r="Q456" i="11" s="1"/>
  <c r="Q457" i="11" a="1"/>
  <c r="Q457" i="11" s="1"/>
  <c r="Q458" i="11" a="1"/>
  <c r="Q458" i="11" s="1"/>
  <c r="Q459" i="11" a="1"/>
  <c r="Q459" i="11" s="1"/>
  <c r="Q460" i="11" a="1"/>
  <c r="Q460" i="11" s="1"/>
  <c r="Q461" i="11" a="1"/>
  <c r="Q461" i="11" s="1"/>
  <c r="Q462" i="11" a="1"/>
  <c r="Q462" i="11" s="1"/>
  <c r="Q463" i="11" a="1"/>
  <c r="Q463" i="11" s="1"/>
  <c r="Q464" i="11" a="1"/>
  <c r="Q464" i="11" s="1"/>
  <c r="Q465" i="11" a="1"/>
  <c r="Q465" i="11" s="1"/>
  <c r="Q466" i="11" a="1"/>
  <c r="Q466" i="11" s="1"/>
  <c r="Q467" i="11" a="1"/>
  <c r="Q467" i="11" s="1"/>
  <c r="Q468" i="11" a="1"/>
  <c r="Q468" i="11" s="1"/>
  <c r="Q469" i="11" a="1"/>
  <c r="Q469" i="11" s="1"/>
  <c r="Q470" i="11" a="1"/>
  <c r="Q470" i="11" s="1"/>
  <c r="Q471" i="11" a="1"/>
  <c r="Q471" i="11" s="1"/>
  <c r="Q472" i="11" a="1"/>
  <c r="Q472" i="11" s="1"/>
  <c r="Q473" i="11" a="1"/>
  <c r="Q473" i="11" s="1"/>
  <c r="Q474" i="11" a="1"/>
  <c r="Q474" i="11" s="1"/>
  <c r="Q475" i="11" a="1"/>
  <c r="Q475" i="11" s="1"/>
  <c r="Q476" i="11" a="1"/>
  <c r="Q476" i="11" s="1"/>
  <c r="Q477" i="11" a="1"/>
  <c r="Q477" i="11" s="1"/>
  <c r="Q478" i="11" a="1"/>
  <c r="Q478" i="11" s="1"/>
  <c r="Q479" i="11" a="1"/>
  <c r="Q479" i="11" s="1"/>
  <c r="Q480" i="11" a="1"/>
  <c r="Q480" i="11" s="1"/>
  <c r="Q481" i="11" a="1"/>
  <c r="Q481" i="11" s="1"/>
  <c r="Q482" i="11" a="1"/>
  <c r="Q482" i="11" s="1"/>
  <c r="Q483" i="11" a="1"/>
  <c r="Q483" i="11" s="1"/>
  <c r="Q484" i="11" a="1"/>
  <c r="Q484" i="11" s="1"/>
  <c r="Q485" i="11" a="1"/>
  <c r="Q485" i="11" s="1"/>
  <c r="Q486" i="11" a="1"/>
  <c r="Q486" i="11" s="1"/>
  <c r="Q487" i="11" a="1"/>
  <c r="Q487" i="11" s="1"/>
  <c r="Q488" i="11" a="1"/>
  <c r="Q488" i="11" s="1"/>
  <c r="Q489" i="11" a="1"/>
  <c r="Q489" i="11" s="1"/>
  <c r="Q490" i="11" a="1"/>
  <c r="Q490" i="11" s="1"/>
  <c r="Q491" i="11" a="1"/>
  <c r="Q491" i="11" s="1"/>
  <c r="Q492" i="11" a="1"/>
  <c r="Q492" i="11" s="1"/>
  <c r="Q493" i="11" a="1"/>
  <c r="Q493" i="11" s="1"/>
  <c r="Q494" i="11" a="1"/>
  <c r="Q494" i="11" s="1"/>
  <c r="Q495" i="11" a="1"/>
  <c r="Q495" i="11" s="1"/>
  <c r="Q496" i="11" a="1"/>
  <c r="Q496" i="11" s="1"/>
  <c r="Q497" i="11" a="1"/>
  <c r="Q497" i="11" s="1"/>
  <c r="Q498" i="11" a="1"/>
  <c r="Q498" i="11" s="1"/>
  <c r="Q499" i="11" a="1"/>
  <c r="Q499" i="11" s="1"/>
  <c r="Q500" i="11" a="1"/>
  <c r="Q500" i="11" s="1"/>
  <c r="Q501" i="11" a="1"/>
  <c r="Q501" i="11" s="1"/>
  <c r="Q502" i="11" a="1"/>
  <c r="Q502" i="11" s="1"/>
  <c r="Q503" i="11" a="1"/>
  <c r="Q503" i="11" s="1"/>
  <c r="Q504" i="11" a="1"/>
  <c r="Q504" i="11" s="1"/>
  <c r="Q505" i="11" a="1"/>
  <c r="Q505" i="11" s="1"/>
  <c r="Q506" i="11" a="1"/>
  <c r="Q506" i="11" s="1"/>
  <c r="Q507" i="11" a="1"/>
  <c r="Q507" i="11" s="1"/>
  <c r="Q508" i="11" a="1"/>
  <c r="Q508" i="11" s="1"/>
  <c r="Q509" i="11" a="1"/>
  <c r="Q509" i="11" s="1"/>
  <c r="Q510" i="11" a="1"/>
  <c r="Q510" i="11" s="1"/>
  <c r="Q511" i="11" a="1"/>
  <c r="Q511" i="11" s="1"/>
  <c r="Q512" i="11" a="1"/>
  <c r="Q512" i="11" s="1"/>
  <c r="Q513" i="11" a="1"/>
  <c r="Q513" i="11" s="1"/>
  <c r="Q514" i="11" a="1"/>
  <c r="Q514" i="11" s="1"/>
  <c r="Q515" i="11" a="1"/>
  <c r="Q515" i="11" s="1"/>
  <c r="Q516" i="11" a="1"/>
  <c r="Q516" i="11" s="1"/>
  <c r="Q517" i="11" a="1"/>
  <c r="Q517" i="11" s="1"/>
  <c r="Q518" i="11" a="1"/>
  <c r="Q518" i="11" s="1"/>
  <c r="Q519" i="11" a="1"/>
  <c r="Q519" i="11" s="1"/>
  <c r="Q520" i="11" a="1"/>
  <c r="Q520" i="11" s="1"/>
  <c r="Q521" i="11" a="1"/>
  <c r="Q521" i="11" s="1"/>
  <c r="Q522" i="11" a="1"/>
  <c r="Q522" i="11" s="1"/>
  <c r="Q523" i="11" a="1"/>
  <c r="Q523" i="11" s="1"/>
  <c r="Q524" i="11" a="1"/>
  <c r="Q524" i="11" s="1"/>
  <c r="Q525" i="11" a="1"/>
  <c r="Q525" i="11" s="1"/>
  <c r="Q526" i="11" a="1"/>
  <c r="Q526" i="11" s="1"/>
  <c r="Q527" i="11" a="1"/>
  <c r="Q527" i="11" s="1"/>
  <c r="Q528" i="11" a="1"/>
  <c r="Q528" i="11" s="1"/>
  <c r="Q529" i="11" a="1"/>
  <c r="Q529" i="11" s="1"/>
  <c r="Q530" i="11" a="1"/>
  <c r="Q530" i="11" s="1"/>
  <c r="Q531" i="11" a="1"/>
  <c r="Q531" i="11" s="1"/>
  <c r="Q532" i="11" a="1"/>
  <c r="Q532" i="11" s="1"/>
  <c r="Q533" i="11" a="1"/>
  <c r="Q533" i="11" s="1"/>
  <c r="Q534" i="11" a="1"/>
  <c r="Q534" i="11" s="1"/>
  <c r="Q535" i="11" a="1"/>
  <c r="Q535" i="11" s="1"/>
  <c r="Q536" i="11" a="1"/>
  <c r="Q536" i="11" s="1"/>
  <c r="Q537" i="11" a="1"/>
  <c r="Q537" i="11" s="1"/>
  <c r="Q538" i="11" a="1"/>
  <c r="Q538" i="11" s="1"/>
  <c r="Q539" i="11" a="1"/>
  <c r="Q539" i="11" s="1"/>
  <c r="Q540" i="11" a="1"/>
  <c r="Q540" i="11" s="1"/>
  <c r="Q541" i="11" a="1"/>
  <c r="Q541" i="11" s="1"/>
  <c r="Q542" i="11" a="1"/>
  <c r="Q542" i="11" s="1"/>
  <c r="Q543" i="11" a="1"/>
  <c r="Q543" i="11" s="1"/>
  <c r="Q544" i="11" a="1"/>
  <c r="Q544" i="11" s="1"/>
  <c r="Q545" i="11" a="1"/>
  <c r="Q545" i="11" s="1"/>
  <c r="Q546" i="11" a="1"/>
  <c r="Q546" i="11" s="1"/>
  <c r="Q547" i="11" a="1"/>
  <c r="Q547" i="11" s="1"/>
  <c r="Q548" i="11" a="1"/>
  <c r="Q548" i="11" s="1"/>
  <c r="Q549" i="11" a="1"/>
  <c r="Q549" i="11" s="1"/>
  <c r="Q550" i="11" a="1"/>
  <c r="Q550" i="11" s="1"/>
  <c r="Q551" i="11" a="1"/>
  <c r="Q551" i="11" s="1"/>
  <c r="Q552" i="11" a="1"/>
  <c r="Q552" i="11" s="1"/>
  <c r="Q553" i="11" a="1"/>
  <c r="Q553" i="11" s="1"/>
  <c r="Q554" i="11" a="1"/>
  <c r="Q554" i="11" s="1"/>
  <c r="Q555" i="11" a="1"/>
  <c r="Q555" i="11" s="1"/>
  <c r="Q556" i="11" a="1"/>
  <c r="Q556" i="11" s="1"/>
  <c r="Q557" i="11" a="1"/>
  <c r="Q557" i="11" s="1"/>
  <c r="Q558" i="11" a="1"/>
  <c r="Q558" i="11" s="1"/>
  <c r="Q559" i="11" a="1"/>
  <c r="Q559" i="11" s="1"/>
  <c r="Q560" i="11" a="1"/>
  <c r="Q560" i="11" s="1"/>
  <c r="Q561" i="11" a="1"/>
  <c r="Q561" i="11" s="1"/>
  <c r="Q562" i="11" a="1"/>
  <c r="Q562" i="11" s="1"/>
  <c r="Q563" i="11" a="1"/>
  <c r="Q563" i="11" s="1"/>
  <c r="Q564" i="11" a="1"/>
  <c r="Q564" i="11" s="1"/>
  <c r="Q565" i="11" a="1"/>
  <c r="Q565" i="11" s="1"/>
  <c r="Q566" i="11" a="1"/>
  <c r="Q566" i="11" s="1"/>
  <c r="Q567" i="11" a="1"/>
  <c r="Q567" i="11" s="1"/>
  <c r="Q568" i="11" a="1"/>
  <c r="Q568" i="11" s="1"/>
  <c r="Q569" i="11" a="1"/>
  <c r="Q569" i="11" s="1"/>
  <c r="Q570" i="11" a="1"/>
  <c r="Q570" i="11" s="1"/>
  <c r="Q571" i="11" a="1"/>
  <c r="Q571" i="11" s="1"/>
  <c r="Q572" i="11" a="1"/>
  <c r="Q572" i="11" s="1"/>
  <c r="Q573" i="11" a="1"/>
  <c r="Q573" i="11" s="1"/>
  <c r="Q574" i="11" a="1"/>
  <c r="Q574" i="11" s="1"/>
  <c r="Q575" i="11" a="1"/>
  <c r="Q575" i="11" s="1"/>
  <c r="Q576" i="11" a="1"/>
  <c r="Q576" i="11" s="1"/>
  <c r="Q577" i="11" a="1"/>
  <c r="Q577" i="11" s="1"/>
  <c r="Q578" i="11" a="1"/>
  <c r="Q578" i="11" s="1"/>
  <c r="Q579" i="11" a="1"/>
  <c r="Q579" i="11" s="1"/>
  <c r="Q580" i="11" a="1"/>
  <c r="Q580" i="11" s="1"/>
  <c r="Q581" i="11" a="1"/>
  <c r="Q581" i="11" s="1"/>
  <c r="Q582" i="11" a="1"/>
  <c r="Q582" i="11" s="1"/>
  <c r="Q583" i="11" a="1"/>
  <c r="Q583" i="11" s="1"/>
  <c r="Q584" i="11" a="1"/>
  <c r="Q584" i="11" s="1"/>
  <c r="Q585" i="11" a="1"/>
  <c r="Q585" i="11" s="1"/>
  <c r="Q586" i="11" a="1"/>
  <c r="Q586" i="11" s="1"/>
  <c r="Q587" i="11" a="1"/>
  <c r="Q587" i="11" s="1"/>
  <c r="Q588" i="11" a="1"/>
  <c r="Q588" i="11" s="1"/>
  <c r="Q589" i="11" a="1"/>
  <c r="Q589" i="11" s="1"/>
  <c r="Q590" i="11" a="1"/>
  <c r="Q590" i="11" s="1"/>
  <c r="Q591" i="11" a="1"/>
  <c r="Q591" i="11" s="1"/>
  <c r="Q592" i="11" a="1"/>
  <c r="Q592" i="11" s="1"/>
  <c r="Q593" i="11" a="1"/>
  <c r="Q593" i="11" s="1"/>
  <c r="Q594" i="11" a="1"/>
  <c r="Q594" i="11" s="1"/>
  <c r="Q595" i="11" a="1"/>
  <c r="Q595" i="11" s="1"/>
  <c r="Q596" i="11" a="1"/>
  <c r="Q596" i="11" s="1"/>
  <c r="Q597" i="11" a="1"/>
  <c r="Q597" i="11" s="1"/>
  <c r="Q598" i="11" a="1"/>
  <c r="Q598" i="11" s="1"/>
  <c r="Q599" i="11" a="1"/>
  <c r="Q599" i="11" s="1"/>
  <c r="Q600" i="11" a="1"/>
  <c r="Q600" i="11" s="1"/>
  <c r="Q601" i="11" a="1"/>
  <c r="Q601" i="11" s="1"/>
  <c r="Q602" i="11" a="1"/>
  <c r="Q602" i="11" s="1"/>
  <c r="Q603" i="11" a="1"/>
  <c r="Q603" i="11" s="1"/>
  <c r="Q604" i="11" a="1"/>
  <c r="Q604" i="11" s="1"/>
  <c r="Q605" i="11" a="1"/>
  <c r="Q605" i="11" s="1"/>
  <c r="Q606" i="11" a="1"/>
  <c r="Q606" i="11" s="1"/>
  <c r="Q607" i="11" a="1"/>
  <c r="Q607" i="11" s="1"/>
  <c r="Q608" i="11" a="1"/>
  <c r="Q608" i="11" s="1"/>
  <c r="Q609" i="11" a="1"/>
  <c r="Q609" i="11" s="1"/>
  <c r="Q610" i="11" a="1"/>
  <c r="Q610" i="11" s="1"/>
  <c r="Q611" i="11" a="1"/>
  <c r="Q611" i="11" s="1"/>
  <c r="Q612" i="11" a="1"/>
  <c r="Q612" i="11" s="1"/>
  <c r="Q613" i="11" a="1"/>
  <c r="Q613" i="11" s="1"/>
  <c r="Q614" i="11" a="1"/>
  <c r="Q614" i="11" s="1"/>
  <c r="Q615" i="11" a="1"/>
  <c r="Q615" i="11" s="1"/>
  <c r="Q616" i="11" a="1"/>
  <c r="Q616" i="11" s="1"/>
  <c r="Q617" i="11" a="1"/>
  <c r="Q617" i="11" s="1"/>
  <c r="Q618" i="11" a="1"/>
  <c r="Q618" i="11" s="1"/>
  <c r="Q619" i="11" a="1"/>
  <c r="Q619" i="11" s="1"/>
  <c r="Q620" i="11" a="1"/>
  <c r="Q620" i="11" s="1"/>
  <c r="Q621" i="11" a="1"/>
  <c r="Q621" i="11" s="1"/>
  <c r="Q622" i="11" a="1"/>
  <c r="Q622" i="11" s="1"/>
  <c r="Q623" i="11" a="1"/>
  <c r="Q623" i="11" s="1"/>
  <c r="Q624" i="11" a="1"/>
  <c r="Q624" i="11" s="1"/>
  <c r="Q625" i="11" a="1"/>
  <c r="Q625" i="11" s="1"/>
  <c r="Q626" i="11" a="1"/>
  <c r="Q626" i="11" s="1"/>
  <c r="Q627" i="11" a="1"/>
  <c r="Q627" i="11" s="1"/>
  <c r="Q628" i="11" a="1"/>
  <c r="Q628" i="11" s="1"/>
  <c r="Q629" i="11" a="1"/>
  <c r="Q629" i="11" s="1"/>
  <c r="Q630" i="11" a="1"/>
  <c r="Q630" i="11" s="1"/>
  <c r="Q632" i="11" a="1"/>
  <c r="Q632" i="11" s="1"/>
  <c r="Q633" i="11" a="1"/>
  <c r="Q633" i="11" s="1"/>
  <c r="Q634" i="11" a="1"/>
  <c r="Q634" i="11" s="1"/>
  <c r="Q635" i="11" a="1"/>
  <c r="Q635" i="11" s="1"/>
  <c r="Q636" i="11" a="1"/>
  <c r="Q636" i="11" s="1"/>
  <c r="Q639" i="11" a="1"/>
  <c r="Q639" i="11" s="1"/>
  <c r="Q640" i="11" a="1"/>
  <c r="Q640" i="11" s="1"/>
  <c r="Q641" i="11" a="1"/>
  <c r="Q641" i="11" s="1"/>
  <c r="Q642" i="11" a="1"/>
  <c r="Q642" i="11" s="1"/>
  <c r="Q643" i="11" a="1"/>
  <c r="Q643" i="11" s="1"/>
  <c r="Q644" i="11" a="1"/>
  <c r="Q644" i="11" s="1"/>
  <c r="Q645" i="11" a="1"/>
  <c r="Q645" i="11" s="1"/>
  <c r="Q646" i="11" a="1"/>
  <c r="Q646" i="11" s="1"/>
  <c r="Q648" i="11" a="1"/>
  <c r="Q648" i="11" s="1"/>
  <c r="Q649" i="11" a="1"/>
  <c r="Q649" i="11" s="1"/>
  <c r="Q650" i="11" a="1"/>
  <c r="Q650" i="11" s="1"/>
  <c r="Q651" i="11" a="1"/>
  <c r="Q651" i="11" s="1"/>
  <c r="Q652" i="11" a="1"/>
  <c r="Q652" i="11" s="1"/>
  <c r="Q653" i="11" a="1"/>
  <c r="Q653" i="11" s="1"/>
  <c r="Q654" i="11" a="1"/>
  <c r="Q654" i="11" s="1"/>
  <c r="Q655" i="11" a="1"/>
  <c r="Q655" i="11" s="1"/>
  <c r="Q656" i="11" a="1"/>
  <c r="Q656" i="11" s="1"/>
  <c r="Q657" i="11" a="1"/>
  <c r="Q657" i="11" s="1"/>
  <c r="Q658" i="11" a="1"/>
  <c r="Q658" i="11" s="1"/>
  <c r="Q659" i="11" a="1"/>
  <c r="Q659" i="11" s="1"/>
  <c r="Q660" i="11" a="1"/>
  <c r="Q660" i="11" s="1"/>
  <c r="Q661" i="11" a="1"/>
  <c r="Q661" i="11" s="1"/>
  <c r="Q662" i="11" a="1"/>
  <c r="Q662" i="11" s="1"/>
  <c r="Q663" i="11" a="1"/>
  <c r="Q663" i="11" s="1"/>
  <c r="Q664" i="11" a="1"/>
  <c r="Q664" i="11" s="1"/>
  <c r="Q665" i="11" a="1"/>
  <c r="Q665" i="11" s="1"/>
  <c r="Q666" i="11" a="1"/>
  <c r="Q666" i="11" s="1"/>
  <c r="Q667" i="11" a="1"/>
  <c r="Q667" i="11" s="1"/>
  <c r="Q668" i="11" a="1"/>
  <c r="Q668" i="11" s="1"/>
  <c r="Q669" i="11" a="1"/>
  <c r="Q669" i="11" s="1"/>
  <c r="Q670" i="11" a="1"/>
  <c r="Q670" i="11" s="1"/>
  <c r="Q671" i="11" a="1"/>
  <c r="Q671" i="11" s="1"/>
  <c r="Q672" i="11" a="1"/>
  <c r="Q672" i="11" s="1"/>
  <c r="Q673" i="11" a="1"/>
  <c r="Q673" i="11" s="1"/>
  <c r="Q674" i="11" a="1"/>
  <c r="Q674" i="11" s="1"/>
  <c r="Q675" i="11" a="1"/>
  <c r="Q675" i="11" s="1"/>
  <c r="Q676" i="11" a="1"/>
  <c r="Q676" i="11" s="1"/>
  <c r="Q677" i="11" a="1"/>
  <c r="Q677" i="11" s="1"/>
  <c r="Q678" i="11" a="1"/>
  <c r="Q678" i="11" s="1"/>
  <c r="Q679" i="11" a="1"/>
  <c r="Q679" i="11" s="1"/>
  <c r="Q680" i="11" a="1"/>
  <c r="Q680" i="11" s="1"/>
  <c r="Q681" i="11" a="1"/>
  <c r="Q681" i="11" s="1"/>
  <c r="Q682" i="11" a="1"/>
  <c r="Q682" i="11" s="1"/>
  <c r="Q683" i="11" a="1"/>
  <c r="Q683" i="11" s="1"/>
  <c r="Q684" i="11" a="1"/>
  <c r="Q684" i="11" s="1"/>
  <c r="Q685" i="11" a="1"/>
  <c r="Q685" i="11" s="1"/>
  <c r="Q686" i="11" a="1"/>
  <c r="Q686" i="11" s="1"/>
  <c r="Q687" i="11" a="1"/>
  <c r="Q687" i="11" s="1"/>
  <c r="Q688" i="11" a="1"/>
  <c r="Q688" i="11" s="1"/>
  <c r="Q689" i="11" a="1"/>
  <c r="Q689" i="11" s="1"/>
  <c r="Q690" i="11" a="1"/>
  <c r="Q690" i="11" s="1"/>
  <c r="Q691" i="11" a="1"/>
  <c r="Q691" i="11" s="1"/>
  <c r="Q692" i="11" a="1"/>
  <c r="Q692" i="11" s="1"/>
  <c r="Q693" i="11" a="1"/>
  <c r="Q693" i="11" s="1"/>
  <c r="Q694" i="11" a="1"/>
  <c r="Q694" i="11" s="1"/>
  <c r="Q695" i="11" a="1"/>
  <c r="Q695" i="11" s="1"/>
  <c r="Q696" i="11" a="1"/>
  <c r="Q696" i="11" s="1"/>
  <c r="Q697" i="11" a="1"/>
  <c r="Q697" i="11" s="1"/>
  <c r="Q698" i="11" a="1"/>
  <c r="Q698" i="11" s="1"/>
  <c r="Q699" i="11" a="1"/>
  <c r="Q699" i="11" s="1"/>
  <c r="Q700" i="11" a="1"/>
  <c r="Q700" i="11" s="1"/>
  <c r="Q701" i="11" a="1"/>
  <c r="Q701" i="11" s="1"/>
  <c r="Q702" i="11" a="1"/>
  <c r="Q702" i="11" s="1"/>
  <c r="Q703" i="11" a="1"/>
  <c r="Q703" i="11" s="1"/>
  <c r="Q704" i="11" a="1"/>
  <c r="Q704" i="11" s="1"/>
  <c r="Q705" i="11" a="1"/>
  <c r="Q705" i="11" s="1"/>
  <c r="Q706" i="11" a="1"/>
  <c r="Q706" i="11" s="1"/>
  <c r="Q707" i="11" a="1"/>
  <c r="Q707" i="11" s="1"/>
  <c r="Q708" i="11" a="1"/>
  <c r="Q708" i="11" s="1"/>
  <c r="Q709" i="11" a="1"/>
  <c r="Q709" i="11" s="1"/>
  <c r="Q710" i="11" a="1"/>
  <c r="Q710" i="11" s="1"/>
  <c r="Q711" i="11" a="1"/>
  <c r="Q711" i="11" s="1"/>
  <c r="Q712" i="11" a="1"/>
  <c r="Q712" i="11" s="1"/>
  <c r="Q713" i="11" a="1"/>
  <c r="Q713" i="11" s="1"/>
  <c r="Q714" i="11" a="1"/>
  <c r="Q714" i="11" s="1"/>
  <c r="Q715" i="11" a="1"/>
  <c r="Q715" i="11" s="1"/>
  <c r="Q716" i="11" a="1"/>
  <c r="Q716" i="11" s="1"/>
  <c r="Q717" i="11" a="1"/>
  <c r="Q717" i="11" s="1"/>
  <c r="Q718" i="11" a="1"/>
  <c r="Q718" i="11" s="1"/>
  <c r="Q719" i="11" a="1"/>
  <c r="Q719" i="11" s="1"/>
  <c r="Q720" i="11" a="1"/>
  <c r="Q720" i="11" s="1"/>
  <c r="Q721" i="11" a="1"/>
  <c r="Q721" i="11" s="1"/>
  <c r="Q722" i="11" a="1"/>
  <c r="Q722" i="11" s="1"/>
  <c r="Q723" i="11" a="1"/>
  <c r="Q723" i="11" s="1"/>
  <c r="Q724" i="11" a="1"/>
  <c r="Q724" i="11" s="1"/>
  <c r="Q725" i="11" a="1"/>
  <c r="Q725" i="11" s="1"/>
  <c r="Q726" i="11" a="1"/>
  <c r="Q726" i="11" s="1"/>
  <c r="Q727" i="11" a="1"/>
  <c r="Q727" i="11" s="1"/>
  <c r="Q728" i="11" a="1"/>
  <c r="Q728" i="11" s="1"/>
  <c r="Q729" i="11" a="1"/>
  <c r="Q729" i="11" s="1"/>
  <c r="Q730" i="11" a="1"/>
  <c r="Q730" i="11" s="1"/>
  <c r="Q731" i="11" a="1"/>
  <c r="Q731" i="11" s="1"/>
  <c r="Q732" i="11" a="1"/>
  <c r="Q732" i="11" s="1"/>
  <c r="Q735" i="11" a="1"/>
  <c r="Q735" i="11" s="1"/>
  <c r="Q736" i="11" a="1"/>
  <c r="Q736" i="11" s="1"/>
  <c r="Q737" i="11" a="1"/>
  <c r="Q737" i="11" s="1"/>
  <c r="Q738" i="11" a="1"/>
  <c r="Q738" i="11" s="1"/>
  <c r="Q739" i="11" a="1"/>
  <c r="Q739" i="11" s="1"/>
  <c r="Q740" i="11" a="1"/>
  <c r="Q740" i="11" s="1"/>
  <c r="Q741" i="11" a="1"/>
  <c r="Q741" i="11" s="1"/>
  <c r="Q742" i="11" a="1"/>
  <c r="Q742" i="11" s="1"/>
  <c r="Q743" i="11" a="1"/>
  <c r="Q743" i="11" s="1"/>
  <c r="Q744" i="11" a="1"/>
  <c r="Q744" i="11" s="1"/>
  <c r="Q745" i="11" a="1"/>
  <c r="Q745" i="11" s="1"/>
  <c r="Q746" i="11" a="1"/>
  <c r="Q746" i="11" s="1"/>
  <c r="Q747" i="11" a="1"/>
  <c r="Q747" i="11" s="1"/>
  <c r="Q748" i="11" a="1"/>
  <c r="Q748" i="11" s="1"/>
  <c r="Q749" i="11" a="1"/>
  <c r="Q749" i="11" s="1"/>
  <c r="Q750" i="11" a="1"/>
  <c r="Q750" i="11" s="1"/>
  <c r="Q751" i="11" a="1"/>
  <c r="Q751" i="11" s="1"/>
  <c r="Q752" i="11" a="1"/>
  <c r="Q752" i="11" s="1"/>
  <c r="Q753" i="11" a="1"/>
  <c r="Q753" i="11" s="1"/>
  <c r="Q754" i="11" a="1"/>
  <c r="Q754" i="11" s="1"/>
  <c r="Q755" i="11" a="1"/>
  <c r="Q755" i="11" s="1"/>
  <c r="Q756" i="11" a="1"/>
  <c r="Q756" i="11" s="1"/>
  <c r="Q757" i="11" a="1"/>
  <c r="Q757" i="11" s="1"/>
  <c r="Q758" i="11" a="1"/>
  <c r="Q758" i="11" s="1"/>
  <c r="Q759" i="11" a="1"/>
  <c r="Q759" i="11" s="1"/>
  <c r="Q760" i="11" a="1"/>
  <c r="Q760" i="11" s="1"/>
  <c r="Q763" i="11" a="1"/>
  <c r="Q763" i="11" s="1"/>
  <c r="Q764" i="11" a="1"/>
  <c r="Q764" i="11" s="1"/>
  <c r="Q765" i="11" a="1"/>
  <c r="Q765" i="11" s="1"/>
  <c r="Q766" i="11" a="1"/>
  <c r="Q766" i="11" s="1"/>
  <c r="Q767" i="11" a="1"/>
  <c r="Q767" i="11" s="1"/>
  <c r="Q768" i="11" a="1"/>
  <c r="Q768" i="11" s="1"/>
  <c r="Q769" i="11" a="1"/>
  <c r="Q769" i="11" s="1"/>
  <c r="Q770" i="11" a="1"/>
  <c r="Q770" i="11" s="1"/>
  <c r="Q771" i="11" a="1"/>
  <c r="Q771" i="11" s="1"/>
  <c r="Q772" i="11" a="1"/>
  <c r="Q772" i="11" s="1"/>
  <c r="Q773" i="11" a="1"/>
  <c r="Q773" i="11" s="1"/>
  <c r="Q774" i="11" a="1"/>
  <c r="Q774" i="11" s="1"/>
  <c r="Q775" i="11" a="1"/>
  <c r="Q775" i="11" s="1"/>
  <c r="Q776" i="11" a="1"/>
  <c r="Q776" i="11" s="1"/>
  <c r="Q777" i="11" a="1"/>
  <c r="Q777" i="11" s="1"/>
  <c r="Q778" i="11" a="1"/>
  <c r="Q778" i="11" s="1"/>
  <c r="Q779" i="11" a="1"/>
  <c r="Q779" i="11" s="1"/>
  <c r="Q780" i="11" a="1"/>
  <c r="Q780" i="11" s="1"/>
  <c r="Q781" i="11" a="1"/>
  <c r="Q781" i="11" s="1"/>
  <c r="Q782" i="11" a="1"/>
  <c r="Q782" i="11" s="1"/>
  <c r="Q783" i="11" a="1"/>
  <c r="Q783" i="11" s="1"/>
  <c r="Q784" i="11" a="1"/>
  <c r="Q784" i="11" s="1"/>
  <c r="Q785" i="11" a="1"/>
  <c r="Q785" i="11" s="1"/>
  <c r="Q786" i="11" a="1"/>
  <c r="Q786" i="11" s="1"/>
  <c r="Q787" i="11" a="1"/>
  <c r="Q787" i="11" s="1"/>
  <c r="Q788" i="11" a="1"/>
  <c r="Q788" i="11" s="1"/>
  <c r="Q789" i="11" a="1"/>
  <c r="Q789" i="11" s="1"/>
  <c r="Q790" i="11" a="1"/>
  <c r="Q790" i="11" s="1"/>
  <c r="Q791" i="11" a="1"/>
  <c r="Q791" i="11" s="1"/>
  <c r="Q792" i="11" a="1"/>
  <c r="Q792" i="11" s="1"/>
  <c r="Q793" i="11" a="1"/>
  <c r="Q793" i="11" s="1"/>
  <c r="Q794" i="11" a="1"/>
  <c r="Q794" i="11" s="1"/>
  <c r="Q795" i="11" a="1"/>
  <c r="Q795" i="11" s="1"/>
  <c r="Q796" i="11" a="1"/>
  <c r="Q796" i="11" s="1"/>
  <c r="Q797" i="11" a="1"/>
  <c r="Q797" i="11" s="1"/>
  <c r="Q798" i="11" a="1"/>
  <c r="Q798" i="11" s="1"/>
  <c r="Q799" i="11" a="1"/>
  <c r="Q799" i="11" s="1"/>
  <c r="Q800" i="11" a="1"/>
  <c r="Q800" i="11" s="1"/>
  <c r="Q801" i="11" a="1"/>
  <c r="Q801" i="11" s="1"/>
  <c r="Q802" i="11" a="1"/>
  <c r="Q802" i="11" s="1"/>
  <c r="Q804" i="11" a="1"/>
  <c r="Q804" i="11" s="1"/>
  <c r="Q805" i="11" a="1"/>
  <c r="Q805" i="11" s="1"/>
  <c r="Q806" i="11" a="1"/>
  <c r="Q806" i="11" s="1"/>
  <c r="Q807" i="11" a="1"/>
  <c r="Q807" i="11" s="1"/>
  <c r="Q808" i="11" a="1"/>
  <c r="Q808" i="11" s="1"/>
  <c r="Q809" i="11" a="1"/>
  <c r="Q809" i="11" s="1"/>
  <c r="Q810" i="11" a="1"/>
  <c r="Q810" i="11" s="1"/>
  <c r="Q811" i="11" a="1"/>
  <c r="Q811" i="11" s="1"/>
  <c r="Q812" i="11" a="1"/>
  <c r="Q812" i="11" s="1"/>
  <c r="Q813" i="11" a="1"/>
  <c r="Q813" i="11" s="1"/>
  <c r="Q814" i="11" a="1"/>
  <c r="Q814" i="11" s="1"/>
  <c r="Q815" i="11" a="1"/>
  <c r="Q815" i="11" s="1"/>
  <c r="Q816" i="11" a="1"/>
  <c r="Q816" i="11" s="1"/>
  <c r="Q817" i="11" a="1"/>
  <c r="Q817" i="11" s="1"/>
  <c r="Q1148" i="11" a="1"/>
  <c r="Q1148" i="11" s="1"/>
  <c r="Q1226" i="11" a="1"/>
  <c r="Q1226" i="11" s="1"/>
  <c r="L485" i="11"/>
  <c r="L4" i="11"/>
  <c r="L5" i="11"/>
  <c r="L6" i="11"/>
  <c r="L7" i="11"/>
  <c r="L8" i="11"/>
  <c r="L9" i="11"/>
  <c r="O1221" i="11" s="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6" i="11"/>
  <c r="L47" i="11"/>
  <c r="L48" i="11"/>
  <c r="L49" i="11"/>
  <c r="L50" i="11"/>
  <c r="L51" i="11"/>
  <c r="L52" i="11"/>
  <c r="L53" i="11"/>
  <c r="L54" i="11"/>
  <c r="L55"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O100" i="11" s="1"/>
  <c r="L101" i="11"/>
  <c r="L102" i="11"/>
  <c r="L103" i="11"/>
  <c r="L104" i="11"/>
  <c r="L105" i="11"/>
  <c r="L106" i="11"/>
  <c r="L107" i="11"/>
  <c r="L108" i="11"/>
  <c r="L109" i="11"/>
  <c r="O1118" i="11" s="1"/>
  <c r="L110" i="11"/>
  <c r="L111" i="11"/>
  <c r="L112" i="11"/>
  <c r="L113" i="11"/>
  <c r="L114" i="11"/>
  <c r="L115" i="11"/>
  <c r="L116" i="11"/>
  <c r="L117" i="11"/>
  <c r="O117" i="11" s="1"/>
  <c r="L118" i="11"/>
  <c r="O118" i="11" s="1"/>
  <c r="L119" i="11"/>
  <c r="O119" i="11" s="1"/>
  <c r="L120" i="11"/>
  <c r="L121" i="11"/>
  <c r="L122" i="11"/>
  <c r="L123" i="11"/>
  <c r="L124" i="11"/>
  <c r="L125" i="11"/>
  <c r="L126" i="11"/>
  <c r="L127" i="11"/>
  <c r="L128" i="11"/>
  <c r="O128" i="11" s="1"/>
  <c r="L129" i="11"/>
  <c r="O129" i="11" s="1"/>
  <c r="L130" i="11"/>
  <c r="L131" i="11"/>
  <c r="L132" i="11"/>
  <c r="L133" i="11"/>
  <c r="O133" i="11" s="1"/>
  <c r="L134" i="11"/>
  <c r="L135" i="11"/>
  <c r="O135" i="11" s="1"/>
  <c r="L136" i="11"/>
  <c r="L137" i="11"/>
  <c r="O137" i="11" s="1"/>
  <c r="L138" i="11"/>
  <c r="L139" i="11"/>
  <c r="L140" i="11"/>
  <c r="L141" i="11"/>
  <c r="L142" i="11"/>
  <c r="L143" i="11"/>
  <c r="L144" i="11"/>
  <c r="L145" i="11"/>
  <c r="L146" i="11"/>
  <c r="L147" i="11"/>
  <c r="O147" i="11" s="1"/>
  <c r="L148" i="11"/>
  <c r="L149" i="11"/>
  <c r="L150" i="11"/>
  <c r="L151" i="11"/>
  <c r="O151" i="11" s="1"/>
  <c r="L152" i="11"/>
  <c r="O152" i="11" s="1"/>
  <c r="L153" i="11"/>
  <c r="L154" i="11"/>
  <c r="L155" i="11"/>
  <c r="L156" i="11"/>
  <c r="L157" i="11"/>
  <c r="O157" i="11" s="1"/>
  <c r="L158" i="11"/>
  <c r="L159" i="11"/>
  <c r="L160" i="11"/>
  <c r="L161" i="11"/>
  <c r="L162" i="11"/>
  <c r="L163" i="11"/>
  <c r="L164" i="11"/>
  <c r="O1136" i="11" s="1"/>
  <c r="L165" i="11"/>
  <c r="L166" i="11"/>
  <c r="L167" i="11"/>
  <c r="L168" i="11"/>
  <c r="L169" i="11"/>
  <c r="L170" i="11"/>
  <c r="L171" i="11"/>
  <c r="L172" i="11"/>
  <c r="L173" i="11"/>
  <c r="L174" i="11"/>
  <c r="L175" i="11"/>
  <c r="L176" i="11"/>
  <c r="L177" i="11"/>
  <c r="L178" i="11"/>
  <c r="L179" i="11"/>
  <c r="L180" i="11"/>
  <c r="L181" i="11"/>
  <c r="L182" i="11"/>
  <c r="L184" i="11"/>
  <c r="L185" i="11"/>
  <c r="L186" i="11"/>
  <c r="L187" i="11"/>
  <c r="L188" i="11"/>
  <c r="L189" i="11"/>
  <c r="L190" i="11"/>
  <c r="L191" i="11"/>
  <c r="L192" i="11"/>
  <c r="L193" i="11"/>
  <c r="L194" i="11"/>
  <c r="L195" i="11"/>
  <c r="L196" i="11"/>
  <c r="L197" i="11"/>
  <c r="O880" i="11" s="1"/>
  <c r="L198" i="11"/>
  <c r="L199" i="11"/>
  <c r="L200" i="11"/>
  <c r="L201" i="11"/>
  <c r="L202" i="11"/>
  <c r="L203" i="11"/>
  <c r="L204" i="11"/>
  <c r="L205" i="11"/>
  <c r="L206" i="11"/>
  <c r="L207" i="11"/>
  <c r="L208" i="11"/>
  <c r="O1166" i="11" s="1"/>
  <c r="L209" i="11"/>
  <c r="O1102" i="11" s="1"/>
  <c r="L210" i="11"/>
  <c r="L211" i="11"/>
  <c r="L212" i="11"/>
  <c r="O1177" i="11" s="1"/>
  <c r="L213" i="11"/>
  <c r="L214" i="11"/>
  <c r="L215" i="11"/>
  <c r="L216" i="11"/>
  <c r="O888" i="11" s="1"/>
  <c r="L217" i="11"/>
  <c r="L218" i="11"/>
  <c r="O950" i="11" s="1"/>
  <c r="L219" i="11"/>
  <c r="L220" i="11"/>
  <c r="L221" i="11"/>
  <c r="L222" i="11"/>
  <c r="L223" i="11"/>
  <c r="O956" i="11" s="1"/>
  <c r="L224" i="11"/>
  <c r="L225" i="11"/>
  <c r="L226" i="11"/>
  <c r="L227" i="11"/>
  <c r="O227" i="11" s="1"/>
  <c r="L228" i="11"/>
  <c r="L229" i="11"/>
  <c r="L230" i="11"/>
  <c r="L231" i="11"/>
  <c r="L232" i="11"/>
  <c r="L233" i="11"/>
  <c r="L234" i="11"/>
  <c r="O234" i="11" s="1"/>
  <c r="L235" i="11"/>
  <c r="L236" i="11"/>
  <c r="L237" i="11"/>
  <c r="O237" i="11" s="1"/>
  <c r="L238" i="11"/>
  <c r="O238" i="11" s="1"/>
  <c r="L239" i="11"/>
  <c r="L240" i="11"/>
  <c r="L241" i="11"/>
  <c r="L242" i="11"/>
  <c r="L243" i="11"/>
  <c r="L244" i="11"/>
  <c r="L246" i="11"/>
  <c r="L247" i="11"/>
  <c r="L248" i="11"/>
  <c r="L249" i="11"/>
  <c r="L250" i="11"/>
  <c r="L251" i="11"/>
  <c r="L252" i="11"/>
  <c r="O252" i="11" s="1"/>
  <c r="L253" i="11"/>
  <c r="O253" i="11" s="1"/>
  <c r="L254" i="11"/>
  <c r="L255" i="11"/>
  <c r="L256" i="11"/>
  <c r="O256" i="11" s="1"/>
  <c r="L257" i="11"/>
  <c r="L258" i="11"/>
  <c r="L259" i="11"/>
  <c r="O259" i="11" s="1"/>
  <c r="L260" i="11"/>
  <c r="O260" i="11" s="1"/>
  <c r="L261" i="11"/>
  <c r="L262" i="11"/>
  <c r="O1220" i="11" s="1"/>
  <c r="L263" i="11"/>
  <c r="O911" i="11" s="1"/>
  <c r="L264" i="11"/>
  <c r="L265" i="11"/>
  <c r="L266" i="11"/>
  <c r="O894" i="11" s="1"/>
  <c r="L267" i="11"/>
  <c r="L268" i="11"/>
  <c r="L270" i="11"/>
  <c r="L271" i="11"/>
  <c r="L272" i="11"/>
  <c r="O272" i="11" s="1"/>
  <c r="L273" i="11"/>
  <c r="L274" i="11"/>
  <c r="O274" i="11" s="1"/>
  <c r="L275" i="11"/>
  <c r="O275" i="11" s="1"/>
  <c r="L276" i="11"/>
  <c r="L280" i="11"/>
  <c r="L281" i="11"/>
  <c r="L282" i="11"/>
  <c r="O1159" i="11" s="1"/>
  <c r="L283" i="11"/>
  <c r="L285" i="11"/>
  <c r="L286" i="11"/>
  <c r="L287" i="11"/>
  <c r="O823" i="11" s="1"/>
  <c r="L288" i="11"/>
  <c r="L289" i="11"/>
  <c r="L290" i="11"/>
  <c r="L291" i="11"/>
  <c r="L293" i="11"/>
  <c r="L294" i="11"/>
  <c r="L295" i="11"/>
  <c r="O295" i="11" s="1"/>
  <c r="L296" i="11"/>
  <c r="L297" i="11"/>
  <c r="O1178" i="11" s="1"/>
  <c r="L298" i="11"/>
  <c r="L299" i="11"/>
  <c r="L300" i="11"/>
  <c r="O1054" i="11" s="1"/>
  <c r="L301" i="11"/>
  <c r="L302" i="11"/>
  <c r="L303" i="11"/>
  <c r="L304" i="11"/>
  <c r="L305" i="11"/>
  <c r="O305" i="11" s="1"/>
  <c r="L306" i="11"/>
  <c r="L307" i="11"/>
  <c r="O307" i="11" s="1"/>
  <c r="L308" i="11"/>
  <c r="L309" i="11"/>
  <c r="O309" i="11" s="1"/>
  <c r="L311" i="11"/>
  <c r="O311" i="11" s="1"/>
  <c r="L312" i="11"/>
  <c r="L313" i="11"/>
  <c r="L314" i="11"/>
  <c r="L315" i="11"/>
  <c r="L316" i="11"/>
  <c r="O316" i="11" s="1"/>
  <c r="L317" i="11"/>
  <c r="O317" i="11" s="1"/>
  <c r="L318" i="11"/>
  <c r="L319" i="11"/>
  <c r="L320" i="11"/>
  <c r="O320" i="11" s="1"/>
  <c r="L321" i="11"/>
  <c r="L322" i="11"/>
  <c r="O322" i="11" s="1"/>
  <c r="L324" i="11"/>
  <c r="L325" i="11"/>
  <c r="L326" i="11"/>
  <c r="L327" i="11"/>
  <c r="L328" i="11"/>
  <c r="L329" i="11"/>
  <c r="L330" i="11"/>
  <c r="L332" i="11"/>
  <c r="O332" i="11" s="1"/>
  <c r="L333" i="11"/>
  <c r="L334" i="11"/>
  <c r="L335" i="11"/>
  <c r="L336" i="11"/>
  <c r="L337" i="11"/>
  <c r="L338" i="11"/>
  <c r="L339" i="11"/>
  <c r="L341" i="11"/>
  <c r="L342" i="11"/>
  <c r="O1019" i="11" s="1"/>
  <c r="L343" i="11"/>
  <c r="O876" i="11" s="1"/>
  <c r="L344" i="11"/>
  <c r="L345" i="11"/>
  <c r="L346" i="11"/>
  <c r="L347" i="11"/>
  <c r="L348" i="11"/>
  <c r="L349" i="11"/>
  <c r="L350" i="11"/>
  <c r="L351" i="11"/>
  <c r="L353" i="11"/>
  <c r="L354" i="11"/>
  <c r="L355" i="11"/>
  <c r="L357" i="11"/>
  <c r="L358" i="11"/>
  <c r="L359" i="11"/>
  <c r="L360" i="11"/>
  <c r="O360" i="11" s="1"/>
  <c r="L361" i="11"/>
  <c r="L363" i="11"/>
  <c r="L364" i="11"/>
  <c r="L365" i="11"/>
  <c r="L366" i="11"/>
  <c r="O366" i="11" s="1"/>
  <c r="L367" i="11"/>
  <c r="L368" i="11"/>
  <c r="L370" i="11"/>
  <c r="L372" i="11"/>
  <c r="O372" i="11" s="1"/>
  <c r="L373" i="11"/>
  <c r="L374" i="11"/>
  <c r="O374" i="11" s="1"/>
  <c r="L377" i="11"/>
  <c r="L378" i="11"/>
  <c r="L379" i="11"/>
  <c r="L384" i="11"/>
  <c r="L385" i="11"/>
  <c r="L386" i="11"/>
  <c r="L387" i="11"/>
  <c r="L388" i="11"/>
  <c r="O388" i="11" s="1"/>
  <c r="L389" i="11"/>
  <c r="L390" i="11"/>
  <c r="L391" i="11"/>
  <c r="L392" i="11"/>
  <c r="L393" i="11"/>
  <c r="L394" i="11"/>
  <c r="L395" i="11"/>
  <c r="L396" i="11"/>
  <c r="O396" i="11" s="1"/>
  <c r="L397" i="11"/>
  <c r="L398" i="11"/>
  <c r="L399" i="11"/>
  <c r="L400" i="11"/>
  <c r="L401" i="11"/>
  <c r="L402" i="11"/>
  <c r="L403" i="11"/>
  <c r="L404" i="11"/>
  <c r="O1141" i="11" s="1"/>
  <c r="L405" i="11"/>
  <c r="O951" i="11" s="1"/>
  <c r="L406" i="11"/>
  <c r="O976" i="11" s="1"/>
  <c r="L407" i="11"/>
  <c r="L408" i="11"/>
  <c r="L409" i="11"/>
  <c r="L410" i="11"/>
  <c r="O1114" i="11" s="1"/>
  <c r="L411" i="11"/>
  <c r="L412" i="11"/>
  <c r="O864" i="11" s="1"/>
  <c r="L413" i="11"/>
  <c r="O867" i="11" s="1"/>
  <c r="L414" i="11"/>
  <c r="O855" i="11" s="1"/>
  <c r="L415" i="11"/>
  <c r="L417" i="11"/>
  <c r="L418" i="11"/>
  <c r="L419" i="11"/>
  <c r="O419" i="11" s="1"/>
  <c r="L420" i="11"/>
  <c r="L421" i="11"/>
  <c r="L422" i="11"/>
  <c r="L423" i="11"/>
  <c r="L424" i="11"/>
  <c r="L425" i="11"/>
  <c r="L426" i="11"/>
  <c r="L427" i="11"/>
  <c r="O427" i="11" s="1"/>
  <c r="L428" i="11"/>
  <c r="L429" i="11"/>
  <c r="L430" i="11"/>
  <c r="L431" i="11"/>
  <c r="L432" i="11"/>
  <c r="L433" i="11"/>
  <c r="L434" i="11"/>
  <c r="L435" i="11"/>
  <c r="O435" i="11" s="1"/>
  <c r="L436" i="11"/>
  <c r="L437" i="11"/>
  <c r="L438" i="11"/>
  <c r="L439" i="11"/>
  <c r="L440" i="11"/>
  <c r="L441" i="11"/>
  <c r="L442" i="11"/>
  <c r="L443" i="11"/>
  <c r="L444" i="11"/>
  <c r="L445" i="11"/>
  <c r="L446" i="11"/>
  <c r="L447" i="11"/>
  <c r="L448" i="11"/>
  <c r="L449" i="11"/>
  <c r="L450" i="11"/>
  <c r="L451" i="11"/>
  <c r="L452" i="11"/>
  <c r="L453" i="11"/>
  <c r="L454" i="11"/>
  <c r="L455" i="11"/>
  <c r="L456" i="11"/>
  <c r="L457" i="11"/>
  <c r="L458" i="11"/>
  <c r="L459" i="11"/>
  <c r="L460" i="11"/>
  <c r="L461" i="11"/>
  <c r="L462" i="11"/>
  <c r="L463" i="11"/>
  <c r="L464" i="11"/>
  <c r="O1119" i="11" s="1"/>
  <c r="L465" i="11"/>
  <c r="L466" i="11"/>
  <c r="L468" i="11"/>
  <c r="O1095" i="11" s="1"/>
  <c r="L469" i="11"/>
  <c r="L470" i="11"/>
  <c r="L471" i="11"/>
  <c r="L472" i="11"/>
  <c r="L473" i="11"/>
  <c r="L474" i="11"/>
  <c r="O474" i="11" s="1"/>
  <c r="L475" i="11"/>
  <c r="L476" i="11"/>
  <c r="L477" i="11"/>
  <c r="L478" i="11"/>
  <c r="L479" i="11"/>
  <c r="L480" i="11"/>
  <c r="L481" i="11"/>
  <c r="L482" i="11"/>
  <c r="L483" i="11"/>
  <c r="L484" i="11"/>
  <c r="L486" i="11"/>
  <c r="L487" i="11"/>
  <c r="L488" i="11"/>
  <c r="L489" i="11"/>
  <c r="L490" i="11"/>
  <c r="L491" i="11"/>
  <c r="L492" i="11"/>
  <c r="L493" i="11"/>
  <c r="L494" i="11"/>
  <c r="O494" i="11" s="1"/>
  <c r="L495" i="11"/>
  <c r="L496" i="11"/>
  <c r="O496" i="11" s="1"/>
  <c r="L497" i="11"/>
  <c r="L498" i="11"/>
  <c r="L499" i="11"/>
  <c r="L500" i="11"/>
  <c r="L501" i="11"/>
  <c r="L502" i="11"/>
  <c r="L503" i="11"/>
  <c r="L504" i="11"/>
  <c r="L505" i="11"/>
  <c r="O1017" i="11" s="1"/>
  <c r="L506" i="11"/>
  <c r="L507" i="11"/>
  <c r="L508" i="11"/>
  <c r="L509" i="11"/>
  <c r="L510" i="11"/>
  <c r="L511" i="11"/>
  <c r="L512" i="11"/>
  <c r="L514" i="11"/>
  <c r="L515" i="11"/>
  <c r="L516" i="11"/>
  <c r="L517" i="11"/>
  <c r="L518" i="11"/>
  <c r="L519" i="11"/>
  <c r="L520" i="11"/>
  <c r="L521" i="11"/>
  <c r="L522" i="11"/>
  <c r="L523" i="11"/>
  <c r="L524" i="11"/>
  <c r="O524" i="11" s="1"/>
  <c r="L525" i="11"/>
  <c r="L526" i="11"/>
  <c r="L527" i="11"/>
  <c r="L528" i="11"/>
  <c r="L529" i="11"/>
  <c r="O529" i="11" s="1"/>
  <c r="L530" i="11"/>
  <c r="O530" i="11" s="1"/>
  <c r="L531" i="11"/>
  <c r="L532" i="11"/>
  <c r="L533" i="11"/>
  <c r="L534" i="11"/>
  <c r="L535" i="11"/>
  <c r="L536" i="11"/>
  <c r="O536" i="11" s="1"/>
  <c r="L537" i="11"/>
  <c r="L538" i="11"/>
  <c r="L539" i="11"/>
  <c r="L540" i="11"/>
  <c r="L541" i="11"/>
  <c r="L542" i="11"/>
  <c r="L543" i="11"/>
  <c r="L544" i="11"/>
  <c r="O544" i="11" s="1"/>
  <c r="L545" i="11"/>
  <c r="L546" i="11"/>
  <c r="L547" i="11"/>
  <c r="L548" i="11"/>
  <c r="L549" i="11"/>
  <c r="L550" i="11"/>
  <c r="L551" i="11"/>
  <c r="O551" i="11" s="1"/>
  <c r="L552" i="11"/>
  <c r="L553" i="11"/>
  <c r="O553" i="11" s="1"/>
  <c r="L554" i="11"/>
  <c r="L555" i="11"/>
  <c r="L556" i="11"/>
  <c r="L557" i="11"/>
  <c r="L558" i="11"/>
  <c r="L559" i="11"/>
  <c r="O559" i="11" s="1"/>
  <c r="L560" i="11"/>
  <c r="L561" i="11"/>
  <c r="L562" i="11"/>
  <c r="O562" i="11" s="1"/>
  <c r="L563" i="11"/>
  <c r="O563" i="11" s="1"/>
  <c r="L564" i="11"/>
  <c r="L565" i="11"/>
  <c r="L566" i="11"/>
  <c r="L567" i="11"/>
  <c r="L568" i="11"/>
  <c r="L569" i="11"/>
  <c r="L570" i="11"/>
  <c r="L571" i="11"/>
  <c r="O571" i="11" s="1"/>
  <c r="L572" i="11"/>
  <c r="L573" i="11"/>
  <c r="L574" i="11"/>
  <c r="L575" i="11"/>
  <c r="L576" i="11"/>
  <c r="L577" i="11"/>
  <c r="L578" i="11"/>
  <c r="L579" i="11"/>
  <c r="L580" i="11"/>
  <c r="L581" i="11"/>
  <c r="L582" i="11"/>
  <c r="L583" i="11"/>
  <c r="L584" i="11"/>
  <c r="L585" i="11"/>
  <c r="L586" i="11"/>
  <c r="L587" i="11"/>
  <c r="O587" i="11" s="1"/>
  <c r="L588" i="11"/>
  <c r="O588" i="11" s="1"/>
  <c r="L589" i="11"/>
  <c r="L590" i="11"/>
  <c r="L591" i="11"/>
  <c r="L592" i="11"/>
  <c r="O592" i="11" s="1"/>
  <c r="L593" i="11"/>
  <c r="L594" i="11"/>
  <c r="L595" i="11"/>
  <c r="L596" i="11"/>
  <c r="L597" i="11"/>
  <c r="O834" i="11" s="1"/>
  <c r="L598" i="11"/>
  <c r="O1149" i="11" s="1"/>
  <c r="L599" i="11"/>
  <c r="L600" i="11"/>
  <c r="L601" i="11"/>
  <c r="L602" i="11"/>
  <c r="L603" i="11"/>
  <c r="L604" i="11"/>
  <c r="L605" i="11"/>
  <c r="L606" i="11"/>
  <c r="L607" i="11"/>
  <c r="L608" i="11"/>
  <c r="L609" i="11"/>
  <c r="L610" i="11"/>
  <c r="L611" i="11"/>
  <c r="L612" i="11"/>
  <c r="L613" i="11"/>
  <c r="L614" i="11"/>
  <c r="L616" i="11"/>
  <c r="O966" i="11" s="1"/>
  <c r="L617" i="11"/>
  <c r="L618" i="11"/>
  <c r="L619" i="11"/>
  <c r="L620" i="11"/>
  <c r="L621" i="11"/>
  <c r="L622" i="11"/>
  <c r="L623" i="11"/>
  <c r="L624" i="11"/>
  <c r="O1210" i="11" s="1"/>
  <c r="L625" i="11"/>
  <c r="L626" i="11"/>
  <c r="L627" i="11"/>
  <c r="O1211" i="11" s="1"/>
  <c r="L628" i="11"/>
  <c r="L629" i="11"/>
  <c r="L630" i="11"/>
  <c r="L632" i="11"/>
  <c r="L633" i="11"/>
  <c r="O633" i="11" s="1"/>
  <c r="L634" i="11"/>
  <c r="L635" i="11"/>
  <c r="L636" i="11"/>
  <c r="L639" i="11"/>
  <c r="L640" i="11"/>
  <c r="L641" i="11"/>
  <c r="L642" i="11"/>
  <c r="L643" i="11"/>
  <c r="L644" i="11"/>
  <c r="L645" i="11"/>
  <c r="L646" i="11"/>
  <c r="L648" i="11"/>
  <c r="L649" i="11"/>
  <c r="L650" i="11"/>
  <c r="L651" i="11"/>
  <c r="L652" i="11"/>
  <c r="L653" i="11"/>
  <c r="L654" i="11"/>
  <c r="L655" i="11"/>
  <c r="L656" i="11"/>
  <c r="L657" i="11"/>
  <c r="L658" i="11"/>
  <c r="L659" i="11"/>
  <c r="L660" i="11"/>
  <c r="L661" i="11"/>
  <c r="L662" i="11"/>
  <c r="L663" i="11"/>
  <c r="L664" i="11"/>
  <c r="L665" i="11"/>
  <c r="L666" i="11"/>
  <c r="L667" i="11"/>
  <c r="L668" i="11"/>
  <c r="L669" i="11"/>
  <c r="L670" i="11"/>
  <c r="L671" i="11"/>
  <c r="L672" i="11"/>
  <c r="O672" i="11" s="1"/>
  <c r="L673" i="11"/>
  <c r="L674" i="11"/>
  <c r="L675" i="11"/>
  <c r="L676" i="11"/>
  <c r="L677" i="11"/>
  <c r="L678" i="11"/>
  <c r="O678" i="11" s="1"/>
  <c r="L679" i="11"/>
  <c r="L680" i="11"/>
  <c r="O680" i="11" s="1"/>
  <c r="L681" i="11"/>
  <c r="O681" i="11" s="1"/>
  <c r="L682" i="11"/>
  <c r="L683" i="11"/>
  <c r="L684" i="11"/>
  <c r="O684" i="11" s="1"/>
  <c r="L685" i="11"/>
  <c r="L686" i="11"/>
  <c r="L687" i="11"/>
  <c r="L688" i="11"/>
  <c r="L689" i="11"/>
  <c r="L690" i="11"/>
  <c r="L691" i="11"/>
  <c r="L692" i="11"/>
  <c r="L693" i="11"/>
  <c r="L694" i="11"/>
  <c r="L695" i="11"/>
  <c r="L696" i="11"/>
  <c r="L697" i="11"/>
  <c r="L698" i="11"/>
  <c r="O698" i="11" s="1"/>
  <c r="L699" i="11"/>
  <c r="L700" i="11"/>
  <c r="L701" i="11"/>
  <c r="L702" i="11"/>
  <c r="L704" i="11"/>
  <c r="L705" i="11"/>
  <c r="L706" i="11"/>
  <c r="L707" i="11"/>
  <c r="L708" i="11"/>
  <c r="O708" i="11" s="1"/>
  <c r="L709" i="11"/>
  <c r="L710" i="11"/>
  <c r="L711" i="11"/>
  <c r="L712" i="11"/>
  <c r="L713" i="11"/>
  <c r="L714" i="11"/>
  <c r="L715" i="11"/>
  <c r="O715" i="11" s="1"/>
  <c r="L716" i="11"/>
  <c r="L717" i="11"/>
  <c r="L718" i="11"/>
  <c r="O718" i="11" s="1"/>
  <c r="L719" i="11"/>
  <c r="L720" i="11"/>
  <c r="L721" i="11"/>
  <c r="L722" i="11"/>
  <c r="O722" i="11" s="1"/>
  <c r="L723" i="11"/>
  <c r="O723" i="11" s="1"/>
  <c r="L724" i="11"/>
  <c r="L725" i="11"/>
  <c r="L726" i="11"/>
  <c r="L727" i="11"/>
  <c r="O727" i="11" s="1"/>
  <c r="L728" i="11"/>
  <c r="L729" i="11"/>
  <c r="L730" i="11"/>
  <c r="L731" i="11"/>
  <c r="L732" i="11"/>
  <c r="L735" i="11"/>
  <c r="O735" i="11" s="1"/>
  <c r="L736" i="11"/>
  <c r="O736" i="11" s="1"/>
  <c r="L737" i="11"/>
  <c r="L738" i="11"/>
  <c r="L739" i="11"/>
  <c r="O739" i="11" s="1"/>
  <c r="L740" i="11"/>
  <c r="L741" i="11"/>
  <c r="O741" i="11" s="1"/>
  <c r="L742" i="11"/>
  <c r="L743" i="11"/>
  <c r="L744" i="11"/>
  <c r="O824" i="11" s="1"/>
  <c r="L745" i="11"/>
  <c r="L746" i="11"/>
  <c r="L747" i="11"/>
  <c r="L748" i="11"/>
  <c r="L749" i="11"/>
  <c r="O818" i="11" s="1"/>
  <c r="L750" i="11"/>
  <c r="O1164" i="11" s="1"/>
  <c r="L751" i="11"/>
  <c r="O1012" i="11" s="1"/>
  <c r="L752" i="11"/>
  <c r="L753" i="11"/>
  <c r="L754" i="11"/>
  <c r="L755" i="11"/>
  <c r="L756" i="11"/>
  <c r="O756" i="11" s="1"/>
  <c r="L757" i="11"/>
  <c r="O757" i="11" s="1"/>
  <c r="L758" i="11"/>
  <c r="L759" i="11"/>
  <c r="L763" i="11"/>
  <c r="L764" i="11"/>
  <c r="L765" i="11"/>
  <c r="L766" i="11"/>
  <c r="L767" i="11"/>
  <c r="O767" i="11" s="1"/>
  <c r="L768" i="11"/>
  <c r="L769" i="11"/>
  <c r="L770" i="11"/>
  <c r="L771" i="11"/>
  <c r="O771" i="11" s="1"/>
  <c r="L772" i="11"/>
  <c r="O772" i="11" s="1"/>
  <c r="L773" i="11"/>
  <c r="L774" i="11"/>
  <c r="L775" i="11"/>
  <c r="L776" i="11"/>
  <c r="L777" i="11"/>
  <c r="L778" i="11"/>
  <c r="L779" i="11"/>
  <c r="L780" i="11"/>
  <c r="O780" i="11" s="1"/>
  <c r="L781" i="11"/>
  <c r="L782" i="11"/>
  <c r="L783" i="11"/>
  <c r="L784" i="11"/>
  <c r="L785" i="11"/>
  <c r="L786" i="11"/>
  <c r="L787" i="11"/>
  <c r="L788" i="11"/>
  <c r="L789" i="11"/>
  <c r="L790" i="11"/>
  <c r="O790" i="11" s="1"/>
  <c r="L791" i="11"/>
  <c r="L792" i="11"/>
  <c r="L793" i="11"/>
  <c r="L794" i="11"/>
  <c r="L795" i="11"/>
  <c r="L796" i="11"/>
  <c r="L797" i="11"/>
  <c r="L798" i="11"/>
  <c r="L799" i="11"/>
  <c r="L800" i="11"/>
  <c r="L801" i="11"/>
  <c r="L802" i="11"/>
  <c r="L804" i="11"/>
  <c r="L805" i="11"/>
  <c r="O805" i="11" s="1"/>
  <c r="L806" i="11"/>
  <c r="L807" i="11"/>
  <c r="L808" i="11"/>
  <c r="L809" i="11"/>
  <c r="L810" i="11"/>
  <c r="L811" i="11"/>
  <c r="L812" i="11"/>
  <c r="L813" i="11"/>
  <c r="L814" i="11"/>
  <c r="L815" i="11"/>
  <c r="L816" i="11"/>
  <c r="O816" i="11" s="1"/>
  <c r="L817" i="11"/>
  <c r="L1148" i="11"/>
  <c r="O1148" i="11" s="1"/>
  <c r="L1226" i="11"/>
  <c r="E760" i="11"/>
  <c r="E639" i="11"/>
  <c r="E810" i="11"/>
  <c r="E809" i="11"/>
  <c r="E393" i="11"/>
  <c r="E793" i="11"/>
  <c r="E792" i="11"/>
  <c r="E791" i="11"/>
  <c r="E790" i="11"/>
  <c r="E789" i="11"/>
  <c r="E788" i="11"/>
  <c r="E787" i="11"/>
  <c r="E786" i="11"/>
  <c r="E785" i="11"/>
  <c r="E784" i="11"/>
  <c r="E783" i="11"/>
  <c r="E782" i="11"/>
  <c r="E781" i="11"/>
  <c r="E780" i="11"/>
  <c r="E779" i="11"/>
  <c r="E778" i="11"/>
  <c r="E777" i="11"/>
  <c r="E776" i="11"/>
  <c r="E775" i="11"/>
  <c r="E774" i="11"/>
  <c r="E744" i="11"/>
  <c r="E745" i="11"/>
  <c r="E773" i="11"/>
  <c r="E772" i="11"/>
  <c r="E771" i="11"/>
  <c r="E770" i="11"/>
  <c r="E769" i="11"/>
  <c r="E768" i="11"/>
  <c r="E767" i="11"/>
  <c r="E766" i="11"/>
  <c r="E794" i="11"/>
  <c r="E765" i="11"/>
  <c r="E764" i="11"/>
  <c r="E763" i="11"/>
  <c r="E755" i="11"/>
  <c r="E759" i="11"/>
  <c r="E758" i="11"/>
  <c r="E757" i="11"/>
  <c r="E756" i="11"/>
  <c r="E754" i="11"/>
  <c r="E753" i="11"/>
  <c r="E752" i="11"/>
  <c r="E751" i="11"/>
  <c r="E750" i="11"/>
  <c r="E807" i="11"/>
  <c r="E806" i="11"/>
  <c r="E805" i="11"/>
  <c r="E804" i="11"/>
  <c r="E802" i="11"/>
  <c r="E801" i="11"/>
  <c r="E800" i="11"/>
  <c r="E799" i="11"/>
  <c r="E798" i="11"/>
  <c r="E797" i="11"/>
  <c r="E796" i="11"/>
  <c r="E795" i="11"/>
  <c r="E749" i="11"/>
  <c r="E748" i="11"/>
  <c r="E747" i="11"/>
  <c r="E746" i="11"/>
  <c r="E743" i="11"/>
  <c r="E298" i="11"/>
  <c r="E299" i="11"/>
  <c r="E808" i="11"/>
  <c r="E742" i="11"/>
  <c r="E741" i="11"/>
  <c r="E740" i="11"/>
  <c r="E739" i="11"/>
  <c r="E738" i="11"/>
  <c r="E737" i="11"/>
  <c r="E736" i="11"/>
  <c r="E735" i="11"/>
  <c r="E732" i="11"/>
  <c r="E731" i="11"/>
  <c r="E730" i="11"/>
  <c r="E729" i="11"/>
  <c r="E728" i="11"/>
  <c r="E727" i="11"/>
  <c r="E726" i="11"/>
  <c r="E725" i="11"/>
  <c r="E724" i="11"/>
  <c r="E723" i="11"/>
  <c r="E722" i="11"/>
  <c r="E721" i="11"/>
  <c r="E720" i="11"/>
  <c r="E719" i="11"/>
  <c r="E718" i="11"/>
  <c r="E717" i="11"/>
  <c r="E716" i="11"/>
  <c r="E55" i="11"/>
  <c r="E83" i="11"/>
  <c r="E82" i="11"/>
  <c r="E53" i="11"/>
  <c r="E64" i="11"/>
  <c r="E63" i="11"/>
  <c r="E68" i="11"/>
  <c r="E67" i="11"/>
  <c r="E66" i="11"/>
  <c r="E65" i="11"/>
  <c r="E54" i="11"/>
  <c r="E81" i="11"/>
  <c r="E52" i="11"/>
  <c r="E80" i="11"/>
  <c r="E79" i="11"/>
  <c r="E78" i="11"/>
  <c r="E77" i="11"/>
  <c r="E76" i="11"/>
  <c r="E75" i="11"/>
  <c r="E74" i="11"/>
  <c r="E62" i="11"/>
  <c r="E61" i="11"/>
  <c r="E51" i="11"/>
  <c r="E50" i="11"/>
  <c r="E714" i="11"/>
  <c r="E713" i="11"/>
  <c r="E712" i="11"/>
  <c r="E711" i="11"/>
  <c r="E710" i="11"/>
  <c r="E709" i="11"/>
  <c r="E708" i="11"/>
  <c r="E707" i="11"/>
  <c r="E706" i="11"/>
  <c r="E3" i="15"/>
  <c r="E168" i="11"/>
  <c r="E88" i="11"/>
  <c r="E178" i="11"/>
  <c r="E177" i="11"/>
  <c r="E176" i="11"/>
  <c r="E175" i="11"/>
  <c r="E174" i="11"/>
  <c r="E173" i="11"/>
  <c r="E172" i="11"/>
  <c r="E171" i="11"/>
  <c r="E187" i="11"/>
  <c r="E188" i="11"/>
  <c r="E189" i="11"/>
  <c r="E190" i="11"/>
  <c r="E192" i="11"/>
  <c r="E191" i="11"/>
  <c r="E193" i="11"/>
  <c r="E196" i="11"/>
  <c r="E197" i="11"/>
  <c r="E198" i="11"/>
  <c r="E199" i="11"/>
  <c r="E200" i="11"/>
  <c r="E201" i="11"/>
  <c r="E202" i="11"/>
  <c r="E203" i="11"/>
  <c r="E261" i="11"/>
  <c r="E205" i="11"/>
  <c r="E204" i="11"/>
  <c r="E260" i="11"/>
  <c r="E206" i="11"/>
  <c r="E207" i="11"/>
  <c r="E208" i="11"/>
  <c r="E209" i="11"/>
  <c r="E715" i="11"/>
  <c r="E705" i="11"/>
  <c r="E704" i="11"/>
  <c r="E703" i="11"/>
  <c r="E547" i="11"/>
  <c r="E694" i="11"/>
  <c r="E695" i="11"/>
  <c r="E696" i="11"/>
  <c r="E697" i="11"/>
  <c r="E698" i="11"/>
  <c r="E699" i="11"/>
  <c r="E700" i="11"/>
  <c r="E701" i="11"/>
  <c r="E692" i="11"/>
  <c r="E693" i="11"/>
  <c r="E702" i="11"/>
  <c r="E627" i="11"/>
  <c r="E628" i="11"/>
  <c r="E629" i="11"/>
  <c r="E630" i="11"/>
  <c r="E690" i="11"/>
  <c r="E689" i="11"/>
  <c r="E688" i="11"/>
  <c r="E687" i="11"/>
  <c r="E686" i="11"/>
  <c r="E685" i="11"/>
  <c r="E684" i="11"/>
  <c r="E683" i="11"/>
  <c r="E679" i="11"/>
  <c r="E678" i="11"/>
  <c r="E677" i="11"/>
  <c r="E676" i="11"/>
  <c r="E675" i="11"/>
  <c r="E674" i="11"/>
  <c r="E673" i="11"/>
  <c r="E672" i="11"/>
  <c r="E671" i="11"/>
  <c r="E669" i="11"/>
  <c r="E670" i="11"/>
  <c r="E680" i="11"/>
  <c r="E681" i="11"/>
  <c r="E682" i="11"/>
  <c r="E660" i="11"/>
  <c r="E661" i="11"/>
  <c r="E662" i="11"/>
  <c r="E663" i="11"/>
  <c r="E664" i="11"/>
  <c r="E665" i="11"/>
  <c r="E666" i="11"/>
  <c r="E667" i="11"/>
  <c r="E653" i="11"/>
  <c r="E654" i="11"/>
  <c r="E655" i="11"/>
  <c r="E656" i="11"/>
  <c r="E657" i="11"/>
  <c r="E658" i="11"/>
  <c r="E659" i="11"/>
  <c r="E617" i="11"/>
  <c r="E618" i="11"/>
  <c r="E619" i="11"/>
  <c r="E620" i="11"/>
  <c r="E621" i="11"/>
  <c r="E622" i="11"/>
  <c r="E623" i="11"/>
  <c r="E624" i="11"/>
  <c r="E625" i="11"/>
  <c r="E626" i="11"/>
  <c r="E633" i="11"/>
  <c r="E634" i="11"/>
  <c r="E635" i="11"/>
  <c r="E636" i="11"/>
  <c r="E640" i="11"/>
  <c r="E641" i="11"/>
  <c r="E642" i="11"/>
  <c r="E643" i="11"/>
  <c r="E644" i="11"/>
  <c r="E645" i="11"/>
  <c r="E646" i="11"/>
  <c r="E648" i="11"/>
  <c r="E649" i="11"/>
  <c r="E650" i="11"/>
  <c r="B4" i="15" a="1"/>
  <c r="B4" i="15" s="1"/>
  <c r="E4" i="15" s="1"/>
  <c r="E612" i="11"/>
  <c r="E613" i="11"/>
  <c r="E614" i="11"/>
  <c r="E615" i="11"/>
  <c r="E616" i="11"/>
  <c r="E632" i="11"/>
  <c r="E651" i="11"/>
  <c r="E652" i="11"/>
  <c r="E668" i="11"/>
  <c r="E691" i="11"/>
  <c r="E593" i="11"/>
  <c r="E594" i="11"/>
  <c r="E595" i="11"/>
  <c r="E596" i="11"/>
  <c r="E597" i="11"/>
  <c r="E598" i="11"/>
  <c r="E599" i="11"/>
  <c r="E600" i="11"/>
  <c r="E601" i="11"/>
  <c r="E602" i="11"/>
  <c r="E603" i="11"/>
  <c r="E591" i="11"/>
  <c r="E592" i="11"/>
  <c r="E604" i="11"/>
  <c r="E605" i="11"/>
  <c r="E606" i="11"/>
  <c r="E607" i="11"/>
  <c r="E608" i="11"/>
  <c r="E609" i="11"/>
  <c r="E578" i="11"/>
  <c r="E579" i="11"/>
  <c r="E580" i="11"/>
  <c r="E581" i="11"/>
  <c r="E582" i="11"/>
  <c r="E583" i="11"/>
  <c r="E584" i="11"/>
  <c r="E585" i="11"/>
  <c r="E586" i="11"/>
  <c r="E587" i="11"/>
  <c r="E588" i="11"/>
  <c r="E589" i="11"/>
  <c r="O817" i="11" l="1"/>
  <c r="O764" i="11"/>
  <c r="O731" i="11"/>
  <c r="O719" i="11"/>
  <c r="O674" i="11"/>
  <c r="O581" i="11"/>
  <c r="O549" i="11"/>
  <c r="O533" i="11"/>
  <c r="O508" i="11"/>
  <c r="O488" i="11"/>
  <c r="O475" i="11"/>
  <c r="O450" i="11"/>
  <c r="O446" i="11"/>
  <c r="O442" i="11"/>
  <c r="O426" i="11"/>
  <c r="O422" i="11"/>
  <c r="O385" i="11"/>
  <c r="O328" i="11"/>
  <c r="O315" i="11"/>
  <c r="O243" i="11"/>
  <c r="O239" i="11"/>
  <c r="O231" i="11"/>
  <c r="O150" i="11"/>
  <c r="O146" i="11"/>
  <c r="O102" i="11"/>
  <c r="O725" i="11"/>
  <c r="O670" i="11"/>
  <c r="O561" i="11"/>
  <c r="O434" i="11"/>
  <c r="O393" i="11"/>
  <c r="O377" i="11"/>
  <c r="O370" i="11"/>
  <c r="O365" i="11"/>
  <c r="O355" i="11"/>
  <c r="O333" i="11"/>
  <c r="O324" i="11"/>
  <c r="O306" i="11"/>
  <c r="O294" i="11"/>
  <c r="O273" i="11"/>
  <c r="O248" i="11"/>
  <c r="O126" i="11"/>
  <c r="O114" i="11"/>
  <c r="O106" i="11"/>
  <c r="O98" i="11"/>
  <c r="O90" i="11"/>
  <c r="O44" i="11"/>
  <c r="O737" i="11"/>
  <c r="O707" i="11"/>
  <c r="O783" i="11"/>
  <c r="O740" i="11"/>
  <c r="O701" i="11"/>
  <c r="O572" i="11"/>
  <c r="O556" i="11"/>
  <c r="O520" i="11"/>
  <c r="O487" i="11"/>
  <c r="O453" i="11"/>
  <c r="O429" i="11"/>
  <c r="O314" i="11"/>
  <c r="O251" i="11"/>
  <c r="O242" i="11"/>
  <c r="O145" i="11"/>
  <c r="O125" i="11"/>
  <c r="O774" i="11"/>
  <c r="O743" i="11"/>
  <c r="O652" i="11"/>
  <c r="O648" i="11"/>
  <c r="O583" i="11"/>
  <c r="O575" i="11"/>
  <c r="O555" i="11"/>
  <c r="O519" i="11"/>
  <c r="O515" i="11"/>
  <c r="O510" i="11"/>
  <c r="O477" i="11"/>
  <c r="O448" i="11"/>
  <c r="O424" i="11"/>
  <c r="O395" i="11"/>
  <c r="O387" i="11"/>
  <c r="O358" i="11"/>
  <c r="O254" i="11"/>
  <c r="O250" i="11"/>
  <c r="O156" i="11"/>
  <c r="O124" i="11"/>
  <c r="O116" i="11"/>
  <c r="O112" i="11"/>
  <c r="O768" i="11"/>
  <c r="O682" i="11"/>
  <c r="O662" i="11"/>
  <c r="O658" i="11"/>
  <c r="O654" i="11"/>
  <c r="O645" i="11"/>
  <c r="O593" i="11"/>
  <c r="O585" i="11"/>
  <c r="O525" i="11"/>
  <c r="O483" i="11"/>
  <c r="O479" i="11"/>
  <c r="O458" i="11"/>
  <c r="O430" i="11"/>
  <c r="O418" i="11"/>
  <c r="O809" i="11"/>
  <c r="O788" i="11"/>
  <c r="O784" i="11"/>
  <c r="O702" i="11"/>
  <c r="O694" i="11"/>
  <c r="O650" i="11"/>
  <c r="O635" i="11"/>
  <c r="O573" i="11"/>
  <c r="O557" i="11"/>
  <c r="O545" i="11"/>
  <c r="O512" i="11"/>
  <c r="O454" i="11"/>
  <c r="O319" i="11"/>
  <c r="O235" i="11"/>
  <c r="O138" i="11"/>
  <c r="O134" i="11"/>
  <c r="O130" i="11"/>
  <c r="O122" i="11"/>
  <c r="O110" i="11"/>
  <c r="O94" i="11"/>
  <c r="O714" i="11"/>
  <c r="O101" i="11"/>
  <c r="O913" i="11"/>
  <c r="O815" i="11"/>
  <c r="O778" i="11"/>
  <c r="O770" i="11"/>
  <c r="O729" i="11"/>
  <c r="O696" i="11"/>
  <c r="O692" i="11"/>
  <c r="O664" i="11"/>
  <c r="O656" i="11"/>
  <c r="O498" i="11"/>
  <c r="O490" i="11"/>
  <c r="O481" i="11"/>
  <c r="O379" i="11"/>
  <c r="O367" i="11"/>
  <c r="O353" i="11"/>
  <c r="O330" i="11"/>
  <c r="O321" i="11"/>
  <c r="O700" i="11"/>
  <c r="O486" i="11"/>
  <c r="O313" i="11"/>
  <c r="O296" i="11"/>
  <c r="O258" i="11"/>
  <c r="O241" i="11"/>
  <c r="O233" i="11"/>
  <c r="O229" i="11"/>
  <c r="O140" i="11"/>
  <c r="O136" i="11"/>
  <c r="O132" i="11"/>
  <c r="O108" i="11"/>
  <c r="O104" i="11"/>
  <c r="O92" i="11"/>
  <c r="O574" i="11"/>
  <c r="O534" i="11"/>
  <c r="O1145" i="11"/>
  <c r="O949" i="11"/>
  <c r="O1120" i="11"/>
  <c r="O841" i="11"/>
  <c r="O965" i="11"/>
  <c r="O896" i="11"/>
  <c r="O923" i="11"/>
  <c r="O892" i="11"/>
  <c r="O986" i="11"/>
  <c r="O1122" i="11"/>
  <c r="O919" i="11"/>
  <c r="O1146" i="11"/>
  <c r="O873" i="11"/>
  <c r="O807" i="11"/>
  <c r="O798" i="11"/>
  <c r="O786" i="11"/>
  <c r="O782" i="11"/>
  <c r="O759" i="11"/>
  <c r="O877" i="11"/>
  <c r="O947" i="11"/>
  <c r="O1147" i="11"/>
  <c r="O721" i="11"/>
  <c r="O676" i="11"/>
  <c r="O660" i="11"/>
  <c r="O643" i="11"/>
  <c r="O833" i="11"/>
  <c r="O969" i="11"/>
  <c r="O1171" i="11"/>
  <c r="O821" i="11"/>
  <c r="O1018" i="11"/>
  <c r="O543" i="11"/>
  <c r="O531" i="11"/>
  <c r="O523" i="11"/>
  <c r="O436" i="11"/>
  <c r="O420" i="11"/>
  <c r="O513" i="11"/>
  <c r="O1193" i="11"/>
  <c r="O1155" i="11"/>
  <c r="O1093" i="11"/>
  <c r="O858" i="11"/>
  <c r="O977" i="11"/>
  <c r="O860" i="11"/>
  <c r="O920" i="11"/>
  <c r="O1086" i="11"/>
  <c r="O868" i="11"/>
  <c r="O859" i="11"/>
  <c r="O871" i="11"/>
  <c r="O980" i="11"/>
  <c r="O921" i="11"/>
  <c r="O335" i="11"/>
  <c r="O1190" i="11"/>
  <c r="O915" i="11"/>
  <c r="O914" i="11"/>
  <c r="O120" i="11"/>
  <c r="O96" i="11"/>
  <c r="O766" i="11"/>
  <c r="O755" i="11"/>
  <c r="O717" i="11"/>
  <c r="O709" i="11"/>
  <c r="O668" i="11"/>
  <c r="O967" i="11"/>
  <c r="O1020" i="11"/>
  <c r="O829" i="11"/>
  <c r="O916" i="11"/>
  <c r="O1057" i="11"/>
  <c r="O1124" i="11"/>
  <c r="O953" i="11"/>
  <c r="O974" i="11"/>
  <c r="O1081" i="11"/>
  <c r="O591" i="11"/>
  <c r="O579" i="11"/>
  <c r="O535" i="11"/>
  <c r="O527" i="11"/>
  <c r="O456" i="11"/>
  <c r="O452" i="11"/>
  <c r="O444" i="11"/>
  <c r="O432" i="11"/>
  <c r="O428" i="11"/>
  <c r="O373" i="11"/>
  <c r="O326" i="11"/>
  <c r="O308" i="11"/>
  <c r="O304" i="11"/>
  <c r="O271" i="11"/>
  <c r="O148" i="11"/>
  <c r="O144" i="11"/>
  <c r="O814" i="11"/>
  <c r="O810" i="11"/>
  <c r="O806" i="11"/>
  <c r="O789" i="11"/>
  <c r="O785" i="11"/>
  <c r="O781" i="11"/>
  <c r="O777" i="11"/>
  <c r="O773" i="11"/>
  <c r="O769" i="11"/>
  <c r="O765" i="11"/>
  <c r="O758" i="11"/>
  <c r="O754" i="11"/>
  <c r="O742" i="11"/>
  <c r="O738" i="11"/>
  <c r="O732" i="11"/>
  <c r="O728" i="11"/>
  <c r="O724" i="11"/>
  <c r="O720" i="11"/>
  <c r="O716" i="11"/>
  <c r="O704" i="11"/>
  <c r="O695" i="11"/>
  <c r="O683" i="11"/>
  <c r="O679" i="11"/>
  <c r="O675" i="11"/>
  <c r="O671" i="11"/>
  <c r="O667" i="11"/>
  <c r="O663" i="11"/>
  <c r="O659" i="11"/>
  <c r="O655" i="11"/>
  <c r="O651" i="11"/>
  <c r="O636" i="11"/>
  <c r="O1150" i="11"/>
  <c r="O1199" i="11"/>
  <c r="O1153" i="11"/>
  <c r="O918" i="11"/>
  <c r="O906" i="11"/>
  <c r="O955" i="11"/>
  <c r="O985" i="11"/>
  <c r="O835" i="11"/>
  <c r="O820" i="11"/>
  <c r="O590" i="11"/>
  <c r="O586" i="11"/>
  <c r="O582" i="11"/>
  <c r="O1174" i="11"/>
  <c r="O1044" i="11"/>
  <c r="O863" i="11"/>
  <c r="O862" i="11"/>
  <c r="O912" i="11"/>
  <c r="O924" i="11"/>
  <c r="O1182" i="11"/>
  <c r="O1103" i="11"/>
  <c r="O902" i="11"/>
  <c r="O1094" i="11"/>
  <c r="O875" i="11"/>
  <c r="O1167" i="11"/>
  <c r="O1173" i="11"/>
  <c r="O1195" i="11"/>
  <c r="O1180" i="11"/>
  <c r="O819" i="11"/>
  <c r="O942" i="11"/>
  <c r="O1156" i="11"/>
  <c r="O968" i="11"/>
  <c r="O761" i="11"/>
  <c r="O1121" i="11"/>
  <c r="O854" i="11"/>
  <c r="O900" i="11"/>
  <c r="O851" i="11"/>
  <c r="O907" i="11"/>
  <c r="O861" i="11"/>
  <c r="O1117" i="11"/>
  <c r="O964" i="11"/>
  <c r="O1112" i="11"/>
  <c r="O958" i="11"/>
  <c r="O893" i="11"/>
  <c r="O856" i="11"/>
  <c r="O874" i="11"/>
  <c r="O901" i="11"/>
  <c r="O898" i="11"/>
  <c r="O1079" i="11"/>
  <c r="O589" i="11"/>
  <c r="O808" i="11"/>
  <c r="O791" i="11"/>
  <c r="O787" i="11"/>
  <c r="O779" i="11"/>
  <c r="O775" i="11"/>
  <c r="O763" i="11"/>
  <c r="O1184" i="11"/>
  <c r="O952" i="11"/>
  <c r="O730" i="11"/>
  <c r="O726" i="11"/>
  <c r="O710" i="11"/>
  <c r="O697" i="11"/>
  <c r="O693" i="11"/>
  <c r="O677" i="11"/>
  <c r="O673" i="11"/>
  <c r="O665" i="11"/>
  <c r="O661" i="11"/>
  <c r="O657" i="11"/>
  <c r="O653" i="11"/>
  <c r="O644" i="11"/>
  <c r="O634" i="11"/>
  <c r="O1172" i="11"/>
  <c r="O1040" i="11"/>
  <c r="O983" i="11"/>
  <c r="O1162" i="11"/>
  <c r="O982" i="11"/>
  <c r="O1055" i="11"/>
  <c r="O954" i="11"/>
  <c r="O938" i="11"/>
  <c r="O866" i="11"/>
  <c r="O827" i="11"/>
  <c r="O836" i="11"/>
  <c r="O1056" i="11"/>
  <c r="O1126" i="11"/>
  <c r="O903" i="11"/>
  <c r="O957" i="11"/>
  <c r="O922" i="11"/>
  <c r="O869" i="11"/>
  <c r="O822" i="11"/>
  <c r="O1116" i="11"/>
  <c r="O937" i="11"/>
  <c r="O973" i="11"/>
  <c r="O972" i="11"/>
  <c r="O961" i="11"/>
  <c r="O1021" i="11"/>
  <c r="O1043" i="11"/>
  <c r="O580" i="11"/>
  <c r="O576" i="11"/>
  <c r="O560" i="11"/>
  <c r="O552" i="11"/>
  <c r="O532" i="11"/>
  <c r="O528" i="11"/>
  <c r="O516" i="11"/>
  <c r="O507" i="11"/>
  <c r="O495" i="11"/>
  <c r="O491" i="11"/>
  <c r="O482" i="11"/>
  <c r="O478" i="11"/>
  <c r="O908" i="11"/>
  <c r="O1088" i="11"/>
  <c r="O857" i="11"/>
  <c r="O891" i="11"/>
  <c r="O917" i="11"/>
  <c r="O940" i="11"/>
  <c r="O1096" i="11"/>
  <c r="O457" i="11"/>
  <c r="O445" i="11"/>
  <c r="O441" i="11"/>
  <c r="O433" i="11"/>
  <c r="O421" i="11"/>
  <c r="O392" i="11"/>
  <c r="O384" i="11"/>
  <c r="O368" i="11"/>
  <c r="O359" i="11"/>
  <c r="O354" i="11"/>
  <c r="O336" i="11"/>
  <c r="O327" i="11"/>
  <c r="O318" i="11"/>
  <c r="O293" i="11"/>
  <c r="O276" i="11"/>
  <c r="O255" i="11"/>
  <c r="O578" i="11"/>
  <c r="O570" i="11"/>
  <c r="O554" i="11"/>
  <c r="O550" i="11"/>
  <c r="O546" i="11"/>
  <c r="O526" i="11"/>
  <c r="O522" i="11"/>
  <c r="O514" i="11"/>
  <c r="O509" i="11"/>
  <c r="O497" i="11"/>
  <c r="O493" i="11"/>
  <c r="O489" i="11"/>
  <c r="O484" i="11"/>
  <c r="O480" i="11"/>
  <c r="O476" i="11"/>
  <c r="O472" i="11"/>
  <c r="O451" i="11"/>
  <c r="O447" i="11"/>
  <c r="O443" i="11"/>
  <c r="O431" i="11"/>
  <c r="O423" i="11"/>
  <c r="O398" i="11"/>
  <c r="O386" i="11"/>
  <c r="O378" i="11"/>
  <c r="O361" i="11"/>
  <c r="O357" i="11"/>
  <c r="O334" i="11"/>
  <c r="O329" i="11"/>
  <c r="O325" i="11"/>
  <c r="O312" i="11"/>
  <c r="O303" i="11"/>
  <c r="O261" i="11"/>
  <c r="O257" i="11"/>
  <c r="O249" i="11"/>
  <c r="O244" i="11"/>
  <c r="O240" i="11"/>
  <c r="O236" i="11"/>
  <c r="O232" i="11"/>
  <c r="O228" i="11"/>
  <c r="O155" i="11"/>
  <c r="O143" i="11"/>
  <c r="O139" i="11"/>
  <c r="O131" i="11"/>
  <c r="O127" i="11"/>
  <c r="O123" i="11"/>
  <c r="O115" i="11"/>
  <c r="O111" i="11"/>
  <c r="O107" i="11"/>
  <c r="O103" i="11"/>
  <c r="O99" i="11"/>
  <c r="O95" i="11"/>
  <c r="O91" i="11"/>
  <c r="O5" i="11"/>
  <c r="O895" i="11"/>
  <c r="O865" i="11"/>
  <c r="O1083" i="11"/>
  <c r="O987" i="11"/>
  <c r="O247" i="11"/>
  <c r="O230" i="11"/>
  <c r="O226" i="11"/>
  <c r="O910" i="11"/>
  <c r="O1154" i="11"/>
  <c r="O1196" i="11"/>
  <c r="O153" i="11"/>
  <c r="O149" i="11"/>
  <c r="O141" i="11"/>
  <c r="O121" i="11"/>
  <c r="O113" i="11"/>
  <c r="O105" i="11"/>
  <c r="O97" i="11"/>
  <c r="O93" i="11"/>
  <c r="O89" i="11"/>
  <c r="O485" i="11"/>
  <c r="O734" i="11"/>
  <c r="O1041" i="11"/>
  <c r="O1015" i="11"/>
  <c r="O978" i="11"/>
  <c r="O828" i="11"/>
  <c r="O960" i="11"/>
  <c r="E13" i="15"/>
  <c r="E10" i="15"/>
  <c r="E11" i="15"/>
  <c r="E12" i="15"/>
  <c r="E5" i="15"/>
  <c r="E9" i="15"/>
  <c r="E575" i="11"/>
  <c r="E576" i="11"/>
  <c r="E577" i="11"/>
  <c r="E590" i="11"/>
  <c r="E610" i="11"/>
  <c r="E543" i="11"/>
  <c r="E558" i="11"/>
  <c r="E568" i="11"/>
  <c r="E569" i="11"/>
  <c r="E570" i="11"/>
  <c r="E571" i="11"/>
  <c r="E572" i="11"/>
  <c r="E573" i="11"/>
  <c r="E574" i="11"/>
  <c r="E542" i="11"/>
  <c r="E541" i="11"/>
  <c r="E540" i="11"/>
  <c r="E539" i="11"/>
  <c r="E538" i="11"/>
  <c r="E537" i="11"/>
  <c r="E556" i="11"/>
  <c r="E557" i="11"/>
  <c r="E559" i="11"/>
  <c r="E548" i="11"/>
  <c r="E549" i="11"/>
  <c r="E550" i="11"/>
  <c r="E551" i="11"/>
  <c r="E552" i="11"/>
  <c r="E553" i="11"/>
  <c r="E554" i="11"/>
  <c r="E555" i="11"/>
  <c r="E567" i="11"/>
  <c r="E469" i="11"/>
  <c r="M500" i="11"/>
  <c r="E500" i="11"/>
  <c r="E499" i="11"/>
  <c r="E545" i="11"/>
  <c r="E544" i="11"/>
  <c r="E536" i="11"/>
  <c r="E535" i="11"/>
  <c r="E534" i="11"/>
  <c r="E533" i="11"/>
  <c r="E532" i="11"/>
  <c r="E531" i="11"/>
  <c r="E530" i="11"/>
  <c r="E529" i="11"/>
  <c r="E528" i="11"/>
  <c r="E370" i="11"/>
  <c r="E527" i="11"/>
  <c r="E526" i="11"/>
  <c r="E525" i="11"/>
  <c r="E524" i="11"/>
  <c r="E523" i="11"/>
  <c r="E522" i="11"/>
  <c r="E521" i="11"/>
  <c r="E520" i="11"/>
  <c r="E519" i="11"/>
  <c r="E518" i="11"/>
  <c r="E498" i="11"/>
  <c r="E517" i="11"/>
  <c r="E516" i="11"/>
  <c r="E515" i="11"/>
  <c r="E514" i="11"/>
  <c r="E513" i="11"/>
  <c r="E512" i="11"/>
  <c r="E511" i="11"/>
  <c r="E510" i="11"/>
  <c r="E509" i="11"/>
  <c r="E508" i="11"/>
  <c r="E507" i="11"/>
  <c r="E506" i="11"/>
  <c r="E505" i="11"/>
  <c r="E504" i="11"/>
  <c r="E503" i="11"/>
  <c r="E502" i="11"/>
  <c r="E501" i="11"/>
  <c r="E497" i="11"/>
  <c r="E493" i="11"/>
  <c r="E494" i="11"/>
  <c r="E495" i="11"/>
  <c r="E496" i="11"/>
  <c r="E546" i="11"/>
  <c r="E467" i="11"/>
  <c r="E350" i="11"/>
  <c r="E349" i="11"/>
  <c r="E479" i="11"/>
  <c r="E480" i="11"/>
  <c r="E481" i="11"/>
  <c r="E482" i="11"/>
  <c r="E483" i="11"/>
  <c r="E484" i="11"/>
  <c r="E485" i="11"/>
  <c r="E486" i="11"/>
  <c r="E487" i="11"/>
  <c r="E488" i="11"/>
  <c r="E489" i="11"/>
  <c r="E490" i="11"/>
  <c r="E491" i="11"/>
  <c r="E58" i="11"/>
  <c r="E439" i="11"/>
  <c r="B4" i="5" a="1"/>
  <c r="B4" i="5" s="1"/>
  <c r="E157" i="11"/>
  <c r="E476" i="11" l="1"/>
  <c r="E475" i="11"/>
  <c r="E474" i="11"/>
  <c r="E473" i="11"/>
  <c r="G24" i="16"/>
  <c r="E472" i="11"/>
  <c r="E471" i="11"/>
  <c r="E470" i="11"/>
  <c r="E468" i="11"/>
  <c r="E466" i="11"/>
  <c r="O3" i="16"/>
  <c r="M3" i="16"/>
  <c r="K3" i="16"/>
  <c r="I3" i="16"/>
  <c r="G3" i="16"/>
  <c r="E3" i="16"/>
  <c r="C3" i="16"/>
  <c r="O35" i="16"/>
  <c r="M35" i="16"/>
  <c r="K35" i="16"/>
  <c r="I35" i="16"/>
  <c r="G35" i="16"/>
  <c r="C35" i="16"/>
  <c r="O34" i="16"/>
  <c r="M34" i="16"/>
  <c r="K34" i="16"/>
  <c r="I34" i="16"/>
  <c r="G34" i="16"/>
  <c r="C34" i="16"/>
  <c r="O33" i="16"/>
  <c r="M33" i="16"/>
  <c r="K33" i="16"/>
  <c r="I33" i="16"/>
  <c r="G33" i="16"/>
  <c r="E33" i="16"/>
  <c r="O32" i="16"/>
  <c r="M32" i="16"/>
  <c r="K32" i="16"/>
  <c r="I32" i="16"/>
  <c r="E32" i="16"/>
  <c r="O31" i="16"/>
  <c r="M31" i="16"/>
  <c r="K31" i="16"/>
  <c r="I31" i="16"/>
  <c r="G31" i="16"/>
  <c r="O30" i="16"/>
  <c r="M30" i="16"/>
  <c r="K30" i="16"/>
  <c r="I30" i="16"/>
  <c r="G30" i="16"/>
  <c r="E30" i="16"/>
  <c r="O29" i="16"/>
  <c r="M29" i="16"/>
  <c r="K29" i="16"/>
  <c r="I29" i="16"/>
  <c r="G29" i="16"/>
  <c r="O28" i="16"/>
  <c r="M28" i="16"/>
  <c r="K28" i="16"/>
  <c r="I28" i="16"/>
  <c r="G28" i="16"/>
  <c r="E28" i="16"/>
  <c r="O27" i="16"/>
  <c r="M27" i="16"/>
  <c r="K27" i="16"/>
  <c r="I27" i="16"/>
  <c r="G27" i="16"/>
  <c r="E27" i="16"/>
  <c r="O26" i="16"/>
  <c r="M26" i="16"/>
  <c r="K26" i="16"/>
  <c r="I26" i="16"/>
  <c r="G26" i="16"/>
  <c r="O25" i="16"/>
  <c r="M25" i="16"/>
  <c r="K25" i="16"/>
  <c r="I25" i="16"/>
  <c r="O24" i="16"/>
  <c r="M24" i="16"/>
  <c r="K24" i="16"/>
  <c r="I24" i="16"/>
  <c r="O23" i="16"/>
  <c r="M23" i="16"/>
  <c r="K23" i="16"/>
  <c r="I23" i="16"/>
  <c r="G23" i="16"/>
  <c r="E23" i="16"/>
  <c r="C23" i="16"/>
  <c r="O22" i="16"/>
  <c r="M22" i="16"/>
  <c r="K22" i="16"/>
  <c r="I22" i="16"/>
  <c r="O21" i="16"/>
  <c r="M21" i="16"/>
  <c r="K21" i="16"/>
  <c r="I21" i="16"/>
  <c r="E21" i="16"/>
  <c r="C21" i="16"/>
  <c r="O20" i="16"/>
  <c r="M20" i="16"/>
  <c r="K20" i="16"/>
  <c r="I20" i="16"/>
  <c r="C20" i="16"/>
  <c r="O19" i="16"/>
  <c r="M19" i="16"/>
  <c r="K19" i="16"/>
  <c r="I19" i="16"/>
  <c r="C19" i="16"/>
  <c r="O18" i="16"/>
  <c r="M18" i="16"/>
  <c r="K18" i="16"/>
  <c r="I18" i="16"/>
  <c r="G18" i="16"/>
  <c r="E18" i="16"/>
  <c r="C18" i="16"/>
  <c r="O17" i="16"/>
  <c r="M17" i="16"/>
  <c r="K17" i="16"/>
  <c r="I17" i="16"/>
  <c r="G17" i="16"/>
  <c r="E17" i="16"/>
  <c r="C17" i="16"/>
  <c r="O16" i="16"/>
  <c r="M16" i="16"/>
  <c r="K16" i="16"/>
  <c r="I16" i="16"/>
  <c r="E16" i="16"/>
  <c r="C16" i="16"/>
  <c r="O15" i="16"/>
  <c r="M15" i="16"/>
  <c r="K15" i="16"/>
  <c r="I15" i="16"/>
  <c r="E15" i="16"/>
  <c r="C15" i="16"/>
  <c r="O14" i="16"/>
  <c r="M14" i="16"/>
  <c r="K14" i="16"/>
  <c r="I14" i="16"/>
  <c r="C14" i="16"/>
  <c r="O13" i="16"/>
  <c r="M13" i="16"/>
  <c r="K13" i="16"/>
  <c r="I13" i="16"/>
  <c r="E13" i="16"/>
  <c r="C13" i="16"/>
  <c r="O12" i="16"/>
  <c r="M12" i="16"/>
  <c r="K12" i="16"/>
  <c r="I12" i="16"/>
  <c r="G12" i="16"/>
  <c r="E12" i="16"/>
  <c r="C12" i="16"/>
  <c r="O11" i="16"/>
  <c r="M11" i="16"/>
  <c r="K11" i="16"/>
  <c r="I11" i="16"/>
  <c r="G11" i="16"/>
  <c r="C11" i="16"/>
  <c r="O10" i="16"/>
  <c r="M10" i="16"/>
  <c r="K10" i="16"/>
  <c r="I10" i="16"/>
  <c r="E10" i="16"/>
  <c r="C10" i="16"/>
  <c r="O9" i="16"/>
  <c r="M9" i="16"/>
  <c r="K9" i="16"/>
  <c r="I9" i="16"/>
  <c r="C9" i="16"/>
  <c r="O8" i="16"/>
  <c r="M8" i="16"/>
  <c r="K8" i="16"/>
  <c r="I8" i="16"/>
  <c r="G8" i="16"/>
  <c r="E8" i="16"/>
  <c r="C8" i="16"/>
  <c r="O7" i="16"/>
  <c r="M7" i="16"/>
  <c r="K7" i="16"/>
  <c r="I7" i="16"/>
  <c r="G7" i="16"/>
  <c r="E7" i="16"/>
  <c r="C7" i="16"/>
  <c r="O6" i="16"/>
  <c r="M6" i="16"/>
  <c r="K6" i="16"/>
  <c r="I6" i="16"/>
  <c r="C6" i="16"/>
  <c r="O5" i="16"/>
  <c r="M5" i="16"/>
  <c r="K5" i="16"/>
  <c r="I5" i="16"/>
  <c r="G5" i="16"/>
  <c r="E5" i="16"/>
  <c r="C5" i="16"/>
  <c r="B3" i="14" a="1"/>
  <c r="E456" i="11"/>
  <c r="E457" i="11"/>
  <c r="E458" i="11"/>
  <c r="E459" i="11"/>
  <c r="E460" i="11"/>
  <c r="E461" i="11"/>
  <c r="E463" i="11"/>
  <c r="E464" i="11"/>
  <c r="E465" i="11"/>
  <c r="E477" i="11"/>
  <c r="E452" i="11"/>
  <c r="E453" i="11"/>
  <c r="E454" i="11"/>
  <c r="E455" i="11"/>
  <c r="E478" i="11"/>
  <c r="E492" i="11"/>
  <c r="E438" i="11"/>
  <c r="E462" i="11"/>
  <c r="E611" i="11"/>
  <c r="E451" i="11"/>
  <c r="E450" i="11"/>
  <c r="E449" i="11"/>
  <c r="E448" i="11"/>
  <c r="E447" i="11"/>
  <c r="E446" i="11"/>
  <c r="E445" i="11"/>
  <c r="E444" i="11"/>
  <c r="E443" i="11"/>
  <c r="E442" i="11"/>
  <c r="E441" i="11"/>
  <c r="E425" i="11"/>
  <c r="E422" i="11"/>
  <c r="E436" i="11"/>
  <c r="E435" i="11"/>
  <c r="E434" i="11"/>
  <c r="E433" i="11"/>
  <c r="E432" i="11"/>
  <c r="E431" i="11"/>
  <c r="E427" i="11"/>
  <c r="E428" i="11"/>
  <c r="E429" i="11"/>
  <c r="E430" i="11"/>
  <c r="E418" i="11"/>
  <c r="E419" i="11"/>
  <c r="E420" i="11"/>
  <c r="E421" i="11"/>
  <c r="E423" i="11"/>
  <c r="E424" i="11"/>
  <c r="E426" i="11"/>
  <c r="E417" i="11"/>
  <c r="E416" i="11"/>
  <c r="E415" i="11"/>
  <c r="E414" i="11"/>
  <c r="E413" i="11"/>
  <c r="E412" i="11"/>
  <c r="E411" i="11"/>
  <c r="E410" i="11"/>
  <c r="E409" i="11"/>
  <c r="E408" i="11"/>
  <c r="E407" i="11"/>
  <c r="E406" i="11"/>
  <c r="E405" i="11"/>
  <c r="E404" i="11"/>
  <c r="E403" i="11"/>
  <c r="E402" i="11"/>
  <c r="E246" i="11"/>
  <c r="E363" i="11"/>
  <c r="E394" i="11"/>
  <c r="E395" i="11"/>
  <c r="G15" i="16"/>
  <c r="E396" i="11"/>
  <c r="E397" i="11"/>
  <c r="E398" i="11"/>
  <c r="E399" i="11"/>
  <c r="E364" i="11"/>
  <c r="E400" i="11"/>
  <c r="E401" i="11"/>
  <c r="E437" i="11"/>
  <c r="E440" i="11"/>
  <c r="E390" i="11"/>
  <c r="E391" i="11"/>
  <c r="D13" i="15"/>
  <c r="D3" i="15"/>
  <c r="E331" i="11"/>
  <c r="D84" i="6"/>
  <c r="D85" i="6"/>
  <c r="D86" i="6"/>
  <c r="D87" i="6"/>
  <c r="D88" i="6"/>
  <c r="D89" i="6"/>
  <c r="D90" i="6"/>
  <c r="D91" i="6"/>
  <c r="D92" i="6"/>
  <c r="D93" i="6"/>
  <c r="D94" i="6"/>
  <c r="D95" i="6"/>
  <c r="D96" i="6"/>
  <c r="D97" i="6"/>
  <c r="D98" i="6"/>
  <c r="E384" i="11"/>
  <c r="E385" i="11"/>
  <c r="E386" i="11"/>
  <c r="E387" i="11"/>
  <c r="E388" i="11"/>
  <c r="E389" i="11"/>
  <c r="E225" i="11"/>
  <c r="E123" i="11"/>
  <c r="E381" i="11"/>
  <c r="E382" i="11"/>
  <c r="E383" i="11"/>
  <c r="E392" i="11"/>
  <c r="C98" i="6"/>
  <c r="C97" i="6"/>
  <c r="C96" i="6"/>
  <c r="C95" i="6"/>
  <c r="C94" i="6"/>
  <c r="C93" i="6"/>
  <c r="C92" i="6"/>
  <c r="C91" i="6"/>
  <c r="C90" i="6"/>
  <c r="C89" i="6"/>
  <c r="C88" i="6"/>
  <c r="C87" i="6"/>
  <c r="C86" i="6"/>
  <c r="C85" i="6"/>
  <c r="C84" i="6"/>
  <c r="B3" i="6" a="1"/>
  <c r="E375" i="11"/>
  <c r="E371" i="11"/>
  <c r="E379" i="11"/>
  <c r="E380" i="11"/>
  <c r="E374" i="11"/>
  <c r="E377" i="11"/>
  <c r="E378" i="11"/>
  <c r="E292" i="11"/>
  <c r="E372" i="11"/>
  <c r="E373" i="11"/>
  <c r="E49" i="11"/>
  <c r="E131" i="11"/>
  <c r="E310" i="11"/>
  <c r="E45" i="11"/>
  <c r="E245" i="11"/>
  <c r="E5" i="11"/>
  <c r="C22" i="16"/>
  <c r="E44" i="11"/>
  <c r="C24" i="16"/>
  <c r="E43" i="11"/>
  <c r="E4" i="11"/>
  <c r="E293" i="11"/>
  <c r="E294" i="11"/>
  <c r="E295" i="11"/>
  <c r="E296" i="11"/>
  <c r="E352" i="11"/>
  <c r="E277" i="11"/>
  <c r="E323" i="11"/>
  <c r="E278" i="11"/>
  <c r="E356" i="11"/>
  <c r="E362" i="11"/>
  <c r="D82" i="6" l="1"/>
  <c r="D83" i="6"/>
  <c r="C83" i="6"/>
  <c r="C82" i="6"/>
  <c r="D79" i="6"/>
  <c r="D81" i="6"/>
  <c r="C81" i="6"/>
  <c r="C80" i="6"/>
  <c r="D80" i="6"/>
  <c r="C79" i="6"/>
  <c r="D74" i="6"/>
  <c r="D78" i="6"/>
  <c r="C78" i="6"/>
  <c r="C77" i="6"/>
  <c r="D77" i="6"/>
  <c r="C76" i="6"/>
  <c r="D76" i="6"/>
  <c r="C75" i="6"/>
  <c r="D75" i="6"/>
  <c r="C74" i="6"/>
  <c r="G279" i="14"/>
  <c r="C279" i="14"/>
  <c r="K279" i="14"/>
  <c r="F279" i="14"/>
  <c r="E279" i="14"/>
  <c r="L279" i="14"/>
  <c r="M279" i="14" s="1"/>
  <c r="C278" i="14"/>
  <c r="F278" i="14"/>
  <c r="K278" i="14"/>
  <c r="E278" i="14"/>
  <c r="G278" i="14"/>
  <c r="L278" i="14"/>
  <c r="M278" i="14" s="1"/>
  <c r="F277" i="14"/>
  <c r="E277" i="14"/>
  <c r="L277" i="14"/>
  <c r="M277" i="14" s="1"/>
  <c r="C277" i="14"/>
  <c r="K277" i="14"/>
  <c r="G277" i="14"/>
  <c r="C276" i="14"/>
  <c r="E276" i="14"/>
  <c r="F276" i="14"/>
  <c r="G276" i="14"/>
  <c r="K276" i="14"/>
  <c r="L276" i="14"/>
  <c r="M276" i="14" s="1"/>
  <c r="F275" i="14"/>
  <c r="G275" i="14"/>
  <c r="E275" i="14"/>
  <c r="L275" i="14"/>
  <c r="M275" i="14" s="1"/>
  <c r="C275" i="14"/>
  <c r="K275" i="14"/>
  <c r="C274" i="14"/>
  <c r="F274" i="14"/>
  <c r="K274" i="14"/>
  <c r="E274" i="14"/>
  <c r="G274" i="14"/>
  <c r="L274" i="14"/>
  <c r="M274" i="14" s="1"/>
  <c r="E273" i="14"/>
  <c r="L273" i="14"/>
  <c r="M273" i="14" s="1"/>
  <c r="F273" i="14"/>
  <c r="C273" i="14"/>
  <c r="K273" i="14"/>
  <c r="G273" i="14"/>
  <c r="C272" i="14"/>
  <c r="E272" i="14"/>
  <c r="F272" i="14"/>
  <c r="G272" i="14"/>
  <c r="K272" i="14"/>
  <c r="L272" i="14"/>
  <c r="M272" i="14" s="1"/>
  <c r="D72" i="6"/>
  <c r="C73" i="6"/>
  <c r="D73" i="6"/>
  <c r="C72" i="6"/>
  <c r="E271" i="14"/>
  <c r="L271" i="14"/>
  <c r="M271" i="14" s="1"/>
  <c r="C271" i="14"/>
  <c r="K271" i="14"/>
  <c r="F271" i="14"/>
  <c r="G271" i="14"/>
  <c r="D69" i="6"/>
  <c r="D71" i="6"/>
  <c r="C71" i="6"/>
  <c r="C70" i="6"/>
  <c r="D70" i="6"/>
  <c r="C69" i="6"/>
  <c r="D68" i="6"/>
  <c r="C68" i="6"/>
  <c r="C65" i="6"/>
  <c r="C67" i="6"/>
  <c r="D67" i="6"/>
  <c r="C66" i="6"/>
  <c r="D66" i="6"/>
  <c r="C270" i="14"/>
  <c r="F270" i="14"/>
  <c r="K270" i="14"/>
  <c r="E270" i="14"/>
  <c r="G270" i="14"/>
  <c r="L270" i="14"/>
  <c r="M270" i="14" s="1"/>
  <c r="G269" i="14"/>
  <c r="F269" i="14"/>
  <c r="E269" i="14"/>
  <c r="L269" i="14"/>
  <c r="M269" i="14" s="1"/>
  <c r="C269" i="14"/>
  <c r="K269" i="14"/>
  <c r="C268" i="14"/>
  <c r="E268" i="14"/>
  <c r="F268" i="14"/>
  <c r="G268" i="14"/>
  <c r="K268" i="14"/>
  <c r="L268" i="14"/>
  <c r="M268" i="14" s="1"/>
  <c r="D65" i="6"/>
  <c r="D64" i="6"/>
  <c r="C64" i="6"/>
  <c r="K37" i="16"/>
  <c r="H7" i="9" s="1"/>
  <c r="M37" i="16"/>
  <c r="H8" i="9" s="1"/>
  <c r="I37" i="16"/>
  <c r="H6" i="9" s="1"/>
  <c r="O37" i="16"/>
  <c r="H9" i="9" s="1"/>
  <c r="F267" i="14"/>
  <c r="G267" i="14"/>
  <c r="K267" i="14"/>
  <c r="C267" i="14"/>
  <c r="L267" i="14"/>
  <c r="M267" i="14" s="1"/>
  <c r="E267" i="14"/>
  <c r="C266" i="14"/>
  <c r="G266" i="14"/>
  <c r="L266" i="14"/>
  <c r="M266" i="14" s="1"/>
  <c r="F266" i="14"/>
  <c r="K266" i="14"/>
  <c r="E266" i="14"/>
  <c r="K265" i="14"/>
  <c r="F265" i="14"/>
  <c r="L265" i="14"/>
  <c r="M265" i="14" s="1"/>
  <c r="C265" i="14"/>
  <c r="G265" i="14"/>
  <c r="E265" i="14"/>
  <c r="F264" i="14"/>
  <c r="G264" i="14"/>
  <c r="K264" i="14"/>
  <c r="L264" i="14"/>
  <c r="M264" i="14" s="1"/>
  <c r="C264" i="14"/>
  <c r="E264" i="14"/>
  <c r="F263" i="14"/>
  <c r="G263" i="14"/>
  <c r="K263" i="14"/>
  <c r="C263" i="14"/>
  <c r="L263" i="14"/>
  <c r="M263" i="14" s="1"/>
  <c r="E263" i="14"/>
  <c r="E262" i="14"/>
  <c r="G262" i="14"/>
  <c r="L262" i="14"/>
  <c r="M262" i="14" s="1"/>
  <c r="C262" i="14"/>
  <c r="F262" i="14"/>
  <c r="K262" i="14"/>
  <c r="D63" i="6"/>
  <c r="C63" i="6"/>
  <c r="E261" i="14"/>
  <c r="L261" i="14"/>
  <c r="M261" i="14" s="1"/>
  <c r="C261" i="14"/>
  <c r="K261" i="14"/>
  <c r="G261" i="14"/>
  <c r="F261" i="14"/>
  <c r="D61" i="6"/>
  <c r="D62" i="6"/>
  <c r="C62" i="6"/>
  <c r="C61" i="6"/>
  <c r="C260" i="14"/>
  <c r="E260" i="14"/>
  <c r="F260" i="14"/>
  <c r="G260" i="14"/>
  <c r="K260" i="14"/>
  <c r="L260" i="14"/>
  <c r="M260" i="14" s="1"/>
  <c r="C59" i="6"/>
  <c r="D60" i="6"/>
  <c r="C60" i="6"/>
  <c r="D59" i="6"/>
  <c r="C242" i="14"/>
  <c r="C246" i="14"/>
  <c r="C250" i="14"/>
  <c r="C254" i="14"/>
  <c r="C258" i="14"/>
  <c r="E246" i="14"/>
  <c r="E250" i="14"/>
  <c r="E254" i="14"/>
  <c r="E258" i="14"/>
  <c r="F244" i="14"/>
  <c r="F248" i="14"/>
  <c r="F252" i="14"/>
  <c r="F256" i="14"/>
  <c r="G242" i="14"/>
  <c r="G246" i="14"/>
  <c r="G250" i="14"/>
  <c r="G254" i="14"/>
  <c r="G258" i="14"/>
  <c r="K242" i="14"/>
  <c r="K246" i="14"/>
  <c r="K250" i="14"/>
  <c r="K254" i="14"/>
  <c r="K258" i="14"/>
  <c r="L244" i="14"/>
  <c r="M244" i="14" s="1"/>
  <c r="L248" i="14"/>
  <c r="M248" i="14" s="1"/>
  <c r="L252" i="14"/>
  <c r="M252" i="14" s="1"/>
  <c r="L256" i="14"/>
  <c r="M256" i="14" s="1"/>
  <c r="C243" i="14"/>
  <c r="C247" i="14"/>
  <c r="C251" i="14"/>
  <c r="C255" i="14"/>
  <c r="C259" i="14"/>
  <c r="E243" i="14"/>
  <c r="E247" i="14"/>
  <c r="E251" i="14"/>
  <c r="E255" i="14"/>
  <c r="E259" i="14"/>
  <c r="F245" i="14"/>
  <c r="F249" i="14"/>
  <c r="F253" i="14"/>
  <c r="F257" i="14"/>
  <c r="G243" i="14"/>
  <c r="G247" i="14"/>
  <c r="G251" i="14"/>
  <c r="G255" i="14"/>
  <c r="G259" i="14"/>
  <c r="K243" i="14"/>
  <c r="K247" i="14"/>
  <c r="K251" i="14"/>
  <c r="K255" i="14"/>
  <c r="K259" i="14"/>
  <c r="L245" i="14"/>
  <c r="M245" i="14" s="1"/>
  <c r="L249" i="14"/>
  <c r="M249" i="14" s="1"/>
  <c r="L253" i="14"/>
  <c r="M253" i="14" s="1"/>
  <c r="L257" i="14"/>
  <c r="M257" i="14" s="1"/>
  <c r="C244" i="14"/>
  <c r="C248" i="14"/>
  <c r="C252" i="14"/>
  <c r="C256" i="14"/>
  <c r="E248" i="14"/>
  <c r="E252" i="14"/>
  <c r="E256" i="14"/>
  <c r="F242" i="14"/>
  <c r="F246" i="14"/>
  <c r="F250" i="14"/>
  <c r="F254" i="14"/>
  <c r="F258" i="14"/>
  <c r="G244" i="14"/>
  <c r="G248" i="14"/>
  <c r="G252" i="14"/>
  <c r="G256" i="14"/>
  <c r="K244" i="14"/>
  <c r="K248" i="14"/>
  <c r="K252" i="14"/>
  <c r="K256" i="14"/>
  <c r="L242" i="14"/>
  <c r="M242" i="14" s="1"/>
  <c r="L246" i="14"/>
  <c r="M246" i="14" s="1"/>
  <c r="L250" i="14"/>
  <c r="M250" i="14" s="1"/>
  <c r="L254" i="14"/>
  <c r="M254" i="14" s="1"/>
  <c r="L258" i="14"/>
  <c r="M258" i="14" s="1"/>
  <c r="C245" i="14"/>
  <c r="C249" i="14"/>
  <c r="C253" i="14"/>
  <c r="C257" i="14"/>
  <c r="E245" i="14"/>
  <c r="E249" i="14"/>
  <c r="E253" i="14"/>
  <c r="E257" i="14"/>
  <c r="F243" i="14"/>
  <c r="F247" i="14"/>
  <c r="F251" i="14"/>
  <c r="F255" i="14"/>
  <c r="F259" i="14"/>
  <c r="G245" i="14"/>
  <c r="G249" i="14"/>
  <c r="G253" i="14"/>
  <c r="G257" i="14"/>
  <c r="K245" i="14"/>
  <c r="K249" i="14"/>
  <c r="K253" i="14"/>
  <c r="K257" i="14"/>
  <c r="L243" i="14"/>
  <c r="M243" i="14" s="1"/>
  <c r="L247" i="14"/>
  <c r="M247" i="14" s="1"/>
  <c r="L251" i="14"/>
  <c r="M251" i="14" s="1"/>
  <c r="L255" i="14"/>
  <c r="M255" i="14" s="1"/>
  <c r="L259" i="14"/>
  <c r="M259" i="14" s="1"/>
  <c r="C224" i="14"/>
  <c r="C228" i="14"/>
  <c r="C232" i="14"/>
  <c r="C236" i="14"/>
  <c r="C240" i="14"/>
  <c r="E226" i="14"/>
  <c r="E230" i="14"/>
  <c r="E234" i="14"/>
  <c r="E238" i="14"/>
  <c r="F224" i="14"/>
  <c r="F228" i="14"/>
  <c r="F232" i="14"/>
  <c r="F236" i="14"/>
  <c r="F240" i="14"/>
  <c r="G226" i="14"/>
  <c r="G230" i="14"/>
  <c r="G234" i="14"/>
  <c r="G238" i="14"/>
  <c r="K224" i="14"/>
  <c r="K228" i="14"/>
  <c r="K232" i="14"/>
  <c r="K236" i="14"/>
  <c r="K240" i="14"/>
  <c r="L226" i="14"/>
  <c r="M226" i="14" s="1"/>
  <c r="L230" i="14"/>
  <c r="M230" i="14" s="1"/>
  <c r="L234" i="14"/>
  <c r="M234" i="14" s="1"/>
  <c r="L238" i="14"/>
  <c r="M238" i="14" s="1"/>
  <c r="C225" i="14"/>
  <c r="C229" i="14"/>
  <c r="C233" i="14"/>
  <c r="C237" i="14"/>
  <c r="C241" i="14"/>
  <c r="E227" i="14"/>
  <c r="E231" i="14"/>
  <c r="E235" i="14"/>
  <c r="E239" i="14"/>
  <c r="F225" i="14"/>
  <c r="F229" i="14"/>
  <c r="F233" i="14"/>
  <c r="F237" i="14"/>
  <c r="F241" i="14"/>
  <c r="G227" i="14"/>
  <c r="G231" i="14"/>
  <c r="G235" i="14"/>
  <c r="G239" i="14"/>
  <c r="K225" i="14"/>
  <c r="K229" i="14"/>
  <c r="K233" i="14"/>
  <c r="K237" i="14"/>
  <c r="K241" i="14"/>
  <c r="L227" i="14"/>
  <c r="M227" i="14" s="1"/>
  <c r="L231" i="14"/>
  <c r="M231" i="14" s="1"/>
  <c r="L235" i="14"/>
  <c r="M235" i="14" s="1"/>
  <c r="L239" i="14"/>
  <c r="M239" i="14" s="1"/>
  <c r="C226" i="14"/>
  <c r="C230" i="14"/>
  <c r="C234" i="14"/>
  <c r="C238" i="14"/>
  <c r="E224" i="14"/>
  <c r="E228" i="14"/>
  <c r="E232" i="14"/>
  <c r="E236" i="14"/>
  <c r="E240" i="14"/>
  <c r="F226" i="14"/>
  <c r="F230" i="14"/>
  <c r="F234" i="14"/>
  <c r="F238" i="14"/>
  <c r="G224" i="14"/>
  <c r="G228" i="14"/>
  <c r="G232" i="14"/>
  <c r="G236" i="14"/>
  <c r="G240" i="14"/>
  <c r="K226" i="14"/>
  <c r="K230" i="14"/>
  <c r="K234" i="14"/>
  <c r="K238" i="14"/>
  <c r="L224" i="14"/>
  <c r="M224" i="14" s="1"/>
  <c r="L228" i="14"/>
  <c r="M228" i="14" s="1"/>
  <c r="L232" i="14"/>
  <c r="M232" i="14" s="1"/>
  <c r="L236" i="14"/>
  <c r="M236" i="14" s="1"/>
  <c r="L240" i="14"/>
  <c r="M240" i="14" s="1"/>
  <c r="C227" i="14"/>
  <c r="C231" i="14"/>
  <c r="C235" i="14"/>
  <c r="C239" i="14"/>
  <c r="E225" i="14"/>
  <c r="E229" i="14"/>
  <c r="E233" i="14"/>
  <c r="E237" i="14"/>
  <c r="E241" i="14"/>
  <c r="F227" i="14"/>
  <c r="F231" i="14"/>
  <c r="F235" i="14"/>
  <c r="F239" i="14"/>
  <c r="G225" i="14"/>
  <c r="G229" i="14"/>
  <c r="G233" i="14"/>
  <c r="G237" i="14"/>
  <c r="G241" i="14"/>
  <c r="K227" i="14"/>
  <c r="K231" i="14"/>
  <c r="K235" i="14"/>
  <c r="K239" i="14"/>
  <c r="L225" i="14"/>
  <c r="M225" i="14" s="1"/>
  <c r="L229" i="14"/>
  <c r="M229" i="14" s="1"/>
  <c r="L233" i="14"/>
  <c r="M233" i="14" s="1"/>
  <c r="L237" i="14"/>
  <c r="M237" i="14" s="1"/>
  <c r="L241" i="14"/>
  <c r="M241" i="14" s="1"/>
  <c r="E218" i="14"/>
  <c r="C221" i="14"/>
  <c r="E221" i="14"/>
  <c r="F222" i="14"/>
  <c r="G223" i="14"/>
  <c r="K222" i="14"/>
  <c r="L223" i="14"/>
  <c r="M223" i="14" s="1"/>
  <c r="C222" i="14"/>
  <c r="E222" i="14"/>
  <c r="F223" i="14"/>
  <c r="K223" i="14"/>
  <c r="C223" i="14"/>
  <c r="E223" i="14"/>
  <c r="G221" i="14"/>
  <c r="L221" i="14"/>
  <c r="M221" i="14" s="1"/>
  <c r="F221" i="14"/>
  <c r="G222" i="14"/>
  <c r="K221" i="14"/>
  <c r="L222" i="14"/>
  <c r="M222" i="14" s="1"/>
  <c r="C57" i="6"/>
  <c r="D58" i="6"/>
  <c r="C58" i="6"/>
  <c r="D57" i="6"/>
  <c r="C54" i="6"/>
  <c r="C56" i="6"/>
  <c r="D56" i="6"/>
  <c r="F220" i="14"/>
  <c r="G220" i="14"/>
  <c r="L220" i="14"/>
  <c r="M220" i="14" s="1"/>
  <c r="E220" i="14"/>
  <c r="K220" i="14"/>
  <c r="C220" i="14"/>
  <c r="C218" i="14"/>
  <c r="E219" i="14"/>
  <c r="G219" i="14"/>
  <c r="C219" i="14"/>
  <c r="L218" i="14"/>
  <c r="M218" i="14" s="1"/>
  <c r="F219" i="14"/>
  <c r="K218" i="14"/>
  <c r="L219" i="14"/>
  <c r="M219" i="14" s="1"/>
  <c r="K219" i="14"/>
  <c r="G218" i="14"/>
  <c r="F218" i="14"/>
  <c r="E215" i="14"/>
  <c r="C217" i="14"/>
  <c r="E217" i="14"/>
  <c r="F217" i="14"/>
  <c r="G217" i="14"/>
  <c r="K217" i="14"/>
  <c r="L217" i="14"/>
  <c r="M217" i="14" s="1"/>
  <c r="C216" i="14"/>
  <c r="K216" i="14"/>
  <c r="G216" i="14"/>
  <c r="F216" i="14"/>
  <c r="L216" i="14"/>
  <c r="M216" i="14" s="1"/>
  <c r="E216" i="14"/>
  <c r="F215" i="14"/>
  <c r="C215" i="14"/>
  <c r="K215" i="14"/>
  <c r="L215" i="14"/>
  <c r="M215" i="14" s="1"/>
  <c r="G215" i="14"/>
  <c r="F211" i="14"/>
  <c r="G214" i="14"/>
  <c r="F214" i="14"/>
  <c r="K214" i="14"/>
  <c r="C214" i="14"/>
  <c r="L214" i="14"/>
  <c r="M214" i="14" s="1"/>
  <c r="E214" i="14"/>
  <c r="L213" i="14"/>
  <c r="M213" i="14" s="1"/>
  <c r="K213" i="14"/>
  <c r="G213" i="14"/>
  <c r="F213" i="14"/>
  <c r="E213" i="14"/>
  <c r="C213" i="14"/>
  <c r="D55" i="6"/>
  <c r="C55" i="6"/>
  <c r="D54" i="6"/>
  <c r="C49" i="6"/>
  <c r="C53" i="6"/>
  <c r="D53" i="6"/>
  <c r="C52" i="6"/>
  <c r="D52" i="6"/>
  <c r="D51" i="6"/>
  <c r="C51" i="6"/>
  <c r="E211" i="14"/>
  <c r="C212" i="14"/>
  <c r="G212" i="14"/>
  <c r="E212" i="14"/>
  <c r="K212" i="14"/>
  <c r="F212" i="14"/>
  <c r="C211" i="14"/>
  <c r="L212" i="14"/>
  <c r="M212" i="14" s="1"/>
  <c r="K211" i="14"/>
  <c r="L211" i="14"/>
  <c r="M211" i="14" s="1"/>
  <c r="G211" i="14"/>
  <c r="G210" i="14"/>
  <c r="C210" i="14"/>
  <c r="K210" i="14"/>
  <c r="F210" i="14"/>
  <c r="L210" i="14"/>
  <c r="M210" i="14" s="1"/>
  <c r="E210" i="14"/>
  <c r="D50" i="6"/>
  <c r="C50" i="6"/>
  <c r="D49" i="6"/>
  <c r="D48" i="6"/>
  <c r="C48" i="6"/>
  <c r="C209" i="14"/>
  <c r="F209" i="14"/>
  <c r="K209" i="14"/>
  <c r="L209" i="14"/>
  <c r="M209" i="14" s="1"/>
  <c r="G209" i="14"/>
  <c r="E208" i="14"/>
  <c r="L208" i="14"/>
  <c r="M208" i="14" s="1"/>
  <c r="C208" i="14"/>
  <c r="K208" i="14"/>
  <c r="F208" i="14"/>
  <c r="G208" i="14"/>
  <c r="C47" i="6"/>
  <c r="D47" i="6"/>
  <c r="E206" i="14"/>
  <c r="C207" i="14"/>
  <c r="E207" i="14"/>
  <c r="F207" i="14"/>
  <c r="G207" i="14"/>
  <c r="K207" i="14"/>
  <c r="L207" i="14"/>
  <c r="M207" i="14" s="1"/>
  <c r="K206" i="14"/>
  <c r="C206" i="14"/>
  <c r="G206" i="14"/>
  <c r="F206" i="14"/>
  <c r="L206" i="14"/>
  <c r="M206" i="14" s="1"/>
  <c r="G25" i="16"/>
  <c r="B3" i="14"/>
  <c r="E205" i="14"/>
  <c r="G205" i="14"/>
  <c r="L205" i="14"/>
  <c r="M205" i="14" s="1"/>
  <c r="C205" i="14"/>
  <c r="F205" i="14"/>
  <c r="K205" i="14"/>
  <c r="G21" i="16"/>
  <c r="G16" i="16"/>
  <c r="G22" i="16"/>
  <c r="G10" i="16"/>
  <c r="E14" i="16"/>
  <c r="G19" i="16"/>
  <c r="G20" i="16"/>
  <c r="G9" i="16"/>
  <c r="G14" i="16"/>
  <c r="G13" i="16"/>
  <c r="K36" i="16"/>
  <c r="I36" i="16"/>
  <c r="M36" i="16"/>
  <c r="O36" i="16"/>
  <c r="D45" i="6"/>
  <c r="D46" i="6"/>
  <c r="C46" i="6"/>
  <c r="C45" i="6"/>
  <c r="D44" i="6"/>
  <c r="C44" i="6"/>
  <c r="C43" i="6"/>
  <c r="D43" i="6"/>
  <c r="C42" i="6"/>
  <c r="D42" i="6"/>
  <c r="D41" i="6"/>
  <c r="C41" i="6"/>
  <c r="D8" i="6"/>
  <c r="D40" i="6"/>
  <c r="D38" i="6"/>
  <c r="D34" i="6"/>
  <c r="D30" i="6"/>
  <c r="D22" i="6"/>
  <c r="D18" i="6"/>
  <c r="D14" i="6"/>
  <c r="D5" i="6"/>
  <c r="D10" i="6"/>
  <c r="D37" i="6"/>
  <c r="D33" i="6"/>
  <c r="D29" i="6"/>
  <c r="D25" i="6"/>
  <c r="D21" i="6"/>
  <c r="D17" i="6"/>
  <c r="D13" i="6"/>
  <c r="D9" i="6"/>
  <c r="D4" i="6"/>
  <c r="D36" i="6"/>
  <c r="D32" i="6"/>
  <c r="D28" i="6"/>
  <c r="D24" i="6"/>
  <c r="D20" i="6"/>
  <c r="D16" i="6"/>
  <c r="D12" i="6"/>
  <c r="D7" i="6"/>
  <c r="D26" i="6"/>
  <c r="D39" i="6"/>
  <c r="D35" i="6"/>
  <c r="D31" i="6"/>
  <c r="D27" i="6"/>
  <c r="D23" i="6"/>
  <c r="D19" i="6"/>
  <c r="D15" i="6"/>
  <c r="D11" i="6"/>
  <c r="D6" i="6"/>
  <c r="B3" i="6"/>
  <c r="D3" i="6" s="1"/>
  <c r="C40" i="6"/>
  <c r="C39" i="6"/>
  <c r="I275" i="14" l="1"/>
  <c r="D279" i="14"/>
  <c r="H279" i="14" s="1"/>
  <c r="I279" i="14"/>
  <c r="D278" i="14"/>
  <c r="H278" i="14" s="1"/>
  <c r="I278" i="14"/>
  <c r="I277" i="14"/>
  <c r="D277" i="14"/>
  <c r="N277" i="14" s="1"/>
  <c r="D276" i="14"/>
  <c r="H276" i="14" s="1"/>
  <c r="I276" i="14"/>
  <c r="D275" i="14"/>
  <c r="N275" i="14" s="1"/>
  <c r="D274" i="14"/>
  <c r="H274" i="14" s="1"/>
  <c r="I274" i="14"/>
  <c r="D273" i="14"/>
  <c r="H273" i="14" s="1"/>
  <c r="I273" i="14"/>
  <c r="D272" i="14"/>
  <c r="N272" i="14" s="1"/>
  <c r="I272" i="14"/>
  <c r="D271" i="14"/>
  <c r="H271" i="14" s="1"/>
  <c r="I271" i="14"/>
  <c r="I245" i="14"/>
  <c r="D256" i="14"/>
  <c r="N256" i="14" s="1"/>
  <c r="I257" i="14"/>
  <c r="D248" i="14"/>
  <c r="N248" i="14" s="1"/>
  <c r="D257" i="14"/>
  <c r="H257" i="14" s="1"/>
  <c r="I264" i="14"/>
  <c r="D249" i="14"/>
  <c r="H249" i="14" s="1"/>
  <c r="D270" i="14"/>
  <c r="H270" i="14" s="1"/>
  <c r="I270" i="14"/>
  <c r="D268" i="14"/>
  <c r="N268" i="14" s="1"/>
  <c r="D269" i="14"/>
  <c r="H269" i="14" s="1"/>
  <c r="I269" i="14"/>
  <c r="I268" i="14"/>
  <c r="I267" i="14"/>
  <c r="D267" i="14"/>
  <c r="N267" i="14" s="1"/>
  <c r="D266" i="14"/>
  <c r="H266" i="14" s="1"/>
  <c r="I266" i="14"/>
  <c r="I265" i="14"/>
  <c r="D265" i="14"/>
  <c r="H265" i="14" s="1"/>
  <c r="D264" i="14"/>
  <c r="D263" i="14"/>
  <c r="N263" i="14" s="1"/>
  <c r="I263" i="14"/>
  <c r="D262" i="14"/>
  <c r="N262" i="14" s="1"/>
  <c r="I262" i="14"/>
  <c r="I261" i="14"/>
  <c r="D261" i="14"/>
  <c r="N261" i="14" s="1"/>
  <c r="D252" i="14"/>
  <c r="H252" i="14" s="1"/>
  <c r="D253" i="14"/>
  <c r="N253" i="14" s="1"/>
  <c r="I260" i="14"/>
  <c r="D260" i="14"/>
  <c r="N260" i="14" s="1"/>
  <c r="D245" i="14"/>
  <c r="H245" i="14" s="1"/>
  <c r="I256" i="14"/>
  <c r="D246" i="14"/>
  <c r="N246" i="14" s="1"/>
  <c r="D258" i="14"/>
  <c r="N258" i="14" s="1"/>
  <c r="D237" i="14"/>
  <c r="H237" i="14" s="1"/>
  <c r="D241" i="14"/>
  <c r="H241" i="14" s="1"/>
  <c r="D225" i="14"/>
  <c r="N225" i="14" s="1"/>
  <c r="D233" i="14"/>
  <c r="H233" i="14" s="1"/>
  <c r="D229" i="14"/>
  <c r="N229" i="14" s="1"/>
  <c r="D218" i="14"/>
  <c r="H218" i="14" s="1"/>
  <c r="I244" i="14"/>
  <c r="D240" i="14"/>
  <c r="N240" i="14" s="1"/>
  <c r="D224" i="14"/>
  <c r="N224" i="14" s="1"/>
  <c r="D236" i="14"/>
  <c r="H236" i="14" s="1"/>
  <c r="D250" i="14"/>
  <c r="H250" i="14" s="1"/>
  <c r="D232" i="14"/>
  <c r="N232" i="14" s="1"/>
  <c r="I248" i="14"/>
  <c r="I253" i="14"/>
  <c r="D259" i="14"/>
  <c r="N259" i="14" s="1"/>
  <c r="D243" i="14"/>
  <c r="N243" i="14" s="1"/>
  <c r="D254" i="14"/>
  <c r="H254" i="14" s="1"/>
  <c r="I249" i="14"/>
  <c r="D247" i="14"/>
  <c r="N247" i="14" s="1"/>
  <c r="I222" i="14"/>
  <c r="D255" i="14"/>
  <c r="H255" i="14" s="1"/>
  <c r="D223" i="14"/>
  <c r="H223" i="14" s="1"/>
  <c r="I255" i="14"/>
  <c r="I254" i="14"/>
  <c r="D228" i="14"/>
  <c r="N228" i="14" s="1"/>
  <c r="I251" i="14"/>
  <c r="I250" i="14"/>
  <c r="I252" i="14"/>
  <c r="I247" i="14"/>
  <c r="I246" i="14"/>
  <c r="D251" i="14"/>
  <c r="N251" i="14" s="1"/>
  <c r="I259" i="14"/>
  <c r="I243" i="14"/>
  <c r="I258" i="14"/>
  <c r="I242" i="14"/>
  <c r="D235" i="14"/>
  <c r="H235" i="14" s="1"/>
  <c r="I227" i="14"/>
  <c r="I239" i="14"/>
  <c r="I230" i="14"/>
  <c r="I234" i="14"/>
  <c r="I237" i="14"/>
  <c r="D239" i="14"/>
  <c r="H239" i="14" s="1"/>
  <c r="D234" i="14"/>
  <c r="H234" i="14" s="1"/>
  <c r="I236" i="14"/>
  <c r="I233" i="14"/>
  <c r="D230" i="14"/>
  <c r="H230" i="14" s="1"/>
  <c r="I232" i="14"/>
  <c r="I235" i="14"/>
  <c r="I226" i="14"/>
  <c r="I229" i="14"/>
  <c r="D231" i="14"/>
  <c r="N231" i="14" s="1"/>
  <c r="D226" i="14"/>
  <c r="N226" i="14" s="1"/>
  <c r="I228" i="14"/>
  <c r="I223" i="14"/>
  <c r="I231" i="14"/>
  <c r="I238" i="14"/>
  <c r="I241" i="14"/>
  <c r="I225" i="14"/>
  <c r="D227" i="14"/>
  <c r="N227" i="14" s="1"/>
  <c r="D238" i="14"/>
  <c r="N238" i="14" s="1"/>
  <c r="I240" i="14"/>
  <c r="I224" i="14"/>
  <c r="D221" i="14"/>
  <c r="N221" i="14" s="1"/>
  <c r="I221" i="14"/>
  <c r="D222" i="14"/>
  <c r="I220" i="14"/>
  <c r="I218" i="14"/>
  <c r="D220" i="14"/>
  <c r="N220" i="14" s="1"/>
  <c r="I219" i="14"/>
  <c r="D219" i="14"/>
  <c r="N219" i="14" s="1"/>
  <c r="D216" i="14"/>
  <c r="N216" i="14" s="1"/>
  <c r="D215" i="14"/>
  <c r="N215" i="14" s="1"/>
  <c r="I216" i="14"/>
  <c r="D217" i="14"/>
  <c r="H217" i="14" s="1"/>
  <c r="I217" i="14"/>
  <c r="I215" i="14"/>
  <c r="I211" i="14"/>
  <c r="I214" i="14"/>
  <c r="D214" i="14"/>
  <c r="H214" i="14" s="1"/>
  <c r="I213" i="14"/>
  <c r="D213" i="14"/>
  <c r="H213" i="14" s="1"/>
  <c r="D210" i="14"/>
  <c r="H210" i="14" s="1"/>
  <c r="I212" i="14"/>
  <c r="D212" i="14"/>
  <c r="N212" i="14" s="1"/>
  <c r="D211" i="14"/>
  <c r="I210" i="14"/>
  <c r="I209" i="14"/>
  <c r="D208" i="14"/>
  <c r="H208" i="14" s="1"/>
  <c r="D206" i="14"/>
  <c r="H206" i="14" s="1"/>
  <c r="I208" i="14"/>
  <c r="D207" i="14"/>
  <c r="N207" i="14" s="1"/>
  <c r="I207" i="14"/>
  <c r="I206" i="14"/>
  <c r="I205" i="14"/>
  <c r="D205" i="14"/>
  <c r="N205" i="14" s="1"/>
  <c r="E367" i="11"/>
  <c r="E368" i="11"/>
  <c r="E369" i="11"/>
  <c r="N279" i="14" l="1"/>
  <c r="O279" i="14" s="1"/>
  <c r="J279" i="14"/>
  <c r="J278" i="14"/>
  <c r="N278" i="14"/>
  <c r="O278" i="14" s="1"/>
  <c r="H277" i="14"/>
  <c r="O277" i="14" s="1"/>
  <c r="J277" i="14"/>
  <c r="J276" i="14"/>
  <c r="N276" i="14"/>
  <c r="O276" i="14" s="1"/>
  <c r="J274" i="14"/>
  <c r="H275" i="14"/>
  <c r="O275" i="14" s="1"/>
  <c r="J275" i="14"/>
  <c r="N274" i="14"/>
  <c r="O274" i="14" s="1"/>
  <c r="N273" i="14"/>
  <c r="O273" i="14" s="1"/>
  <c r="J273" i="14"/>
  <c r="J272" i="14"/>
  <c r="H272" i="14"/>
  <c r="O272" i="14" s="1"/>
  <c r="N271" i="14"/>
  <c r="O271" i="14" s="1"/>
  <c r="J271" i="14"/>
  <c r="J256" i="14"/>
  <c r="H256" i="14"/>
  <c r="O256" i="14" s="1"/>
  <c r="H248" i="14"/>
  <c r="O248" i="14" s="1"/>
  <c r="J248" i="14"/>
  <c r="J264" i="14"/>
  <c r="J257" i="14"/>
  <c r="N257" i="14"/>
  <c r="O257" i="14" s="1"/>
  <c r="J253" i="14"/>
  <c r="N252" i="14"/>
  <c r="O252" i="14" s="1"/>
  <c r="J249" i="14"/>
  <c r="N249" i="14"/>
  <c r="O249" i="14" s="1"/>
  <c r="J270" i="14"/>
  <c r="N270" i="14"/>
  <c r="O270" i="14" s="1"/>
  <c r="H268" i="14"/>
  <c r="O268" i="14" s="1"/>
  <c r="N269" i="14"/>
  <c r="O269" i="14" s="1"/>
  <c r="J268" i="14"/>
  <c r="J269" i="14"/>
  <c r="H267" i="14"/>
  <c r="O267" i="14" s="1"/>
  <c r="J266" i="14"/>
  <c r="N266" i="14"/>
  <c r="O266" i="14" s="1"/>
  <c r="J267" i="14"/>
  <c r="N265" i="14"/>
  <c r="O265" i="14" s="1"/>
  <c r="H264" i="14"/>
  <c r="N264" i="14"/>
  <c r="J265" i="14"/>
  <c r="J263" i="14"/>
  <c r="H263" i="14"/>
  <c r="O263" i="14" s="1"/>
  <c r="H262" i="14"/>
  <c r="O262" i="14" s="1"/>
  <c r="J262" i="14"/>
  <c r="H261" i="14"/>
  <c r="O261" i="14" s="1"/>
  <c r="J261" i="14"/>
  <c r="J252" i="14"/>
  <c r="H253" i="14"/>
  <c r="O253" i="14" s="1"/>
  <c r="H260" i="14"/>
  <c r="O260" i="14" s="1"/>
  <c r="J260" i="14"/>
  <c r="J245" i="14"/>
  <c r="N245" i="14"/>
  <c r="O245" i="14" s="1"/>
  <c r="J258" i="14"/>
  <c r="N237" i="14"/>
  <c r="O237" i="14" s="1"/>
  <c r="J237" i="14"/>
  <c r="J247" i="14"/>
  <c r="H225" i="14"/>
  <c r="O225" i="14" s="1"/>
  <c r="H258" i="14"/>
  <c r="O258" i="14" s="1"/>
  <c r="H246" i="14"/>
  <c r="O246" i="14" s="1"/>
  <c r="N241" i="14"/>
  <c r="O241" i="14" s="1"/>
  <c r="J232" i="14"/>
  <c r="J218" i="14"/>
  <c r="J241" i="14"/>
  <c r="H232" i="14"/>
  <c r="O232" i="14" s="1"/>
  <c r="J246" i="14"/>
  <c r="N218" i="14"/>
  <c r="O218" i="14" s="1"/>
  <c r="J236" i="14"/>
  <c r="N236" i="14"/>
  <c r="O236" i="14" s="1"/>
  <c r="J225" i="14"/>
  <c r="J228" i="14"/>
  <c r="H228" i="14"/>
  <c r="O228" i="14" s="1"/>
  <c r="N254" i="14"/>
  <c r="O254" i="14" s="1"/>
  <c r="J250" i="14"/>
  <c r="J231" i="14"/>
  <c r="H229" i="14"/>
  <c r="O229" i="14" s="1"/>
  <c r="N255" i="14"/>
  <c r="O255" i="14" s="1"/>
  <c r="J255" i="14"/>
  <c r="J229" i="14"/>
  <c r="J224" i="14"/>
  <c r="H224" i="14"/>
  <c r="O224" i="14" s="1"/>
  <c r="H259" i="14"/>
  <c r="O259" i="14" s="1"/>
  <c r="J240" i="14"/>
  <c r="J223" i="14"/>
  <c r="H240" i="14"/>
  <c r="O240" i="14" s="1"/>
  <c r="N233" i="14"/>
  <c r="O233" i="14" s="1"/>
  <c r="N250" i="14"/>
  <c r="O250" i="14" s="1"/>
  <c r="J233" i="14"/>
  <c r="H221" i="14"/>
  <c r="O221" i="14" s="1"/>
  <c r="N239" i="14"/>
  <c r="O239" i="14" s="1"/>
  <c r="H243" i="14"/>
  <c r="O243" i="14" s="1"/>
  <c r="J221" i="14"/>
  <c r="J243" i="14"/>
  <c r="H247" i="14"/>
  <c r="O247" i="14" s="1"/>
  <c r="J222" i="14"/>
  <c r="N223" i="14"/>
  <c r="O223" i="14" s="1"/>
  <c r="J239" i="14"/>
  <c r="J259" i="14"/>
  <c r="J254" i="14"/>
  <c r="J251" i="14"/>
  <c r="N234" i="14"/>
  <c r="O234" i="14" s="1"/>
  <c r="J235" i="14"/>
  <c r="N235" i="14"/>
  <c r="O235" i="14" s="1"/>
  <c r="H251" i="14"/>
  <c r="O251" i="14" s="1"/>
  <c r="H238" i="14"/>
  <c r="O238" i="14" s="1"/>
  <c r="H226" i="14"/>
  <c r="O226" i="14" s="1"/>
  <c r="N230" i="14"/>
  <c r="O230" i="14" s="1"/>
  <c r="J227" i="14"/>
  <c r="H227" i="14"/>
  <c r="O227" i="14" s="1"/>
  <c r="H231" i="14"/>
  <c r="O231" i="14" s="1"/>
  <c r="J234" i="14"/>
  <c r="J238" i="14"/>
  <c r="J226" i="14"/>
  <c r="J230" i="14"/>
  <c r="N222" i="14"/>
  <c r="H222" i="14"/>
  <c r="J215" i="14"/>
  <c r="H219" i="14"/>
  <c r="O219" i="14" s="1"/>
  <c r="H220" i="14"/>
  <c r="O220" i="14" s="1"/>
  <c r="J220" i="14"/>
  <c r="J217" i="14"/>
  <c r="H216" i="14"/>
  <c r="O216" i="14" s="1"/>
  <c r="H215" i="14"/>
  <c r="O215" i="14" s="1"/>
  <c r="N217" i="14"/>
  <c r="O217" i="14" s="1"/>
  <c r="J216" i="14"/>
  <c r="J219" i="14"/>
  <c r="N214" i="14"/>
  <c r="O214" i="14" s="1"/>
  <c r="J211" i="14"/>
  <c r="J214" i="14"/>
  <c r="J213" i="14"/>
  <c r="N213" i="14"/>
  <c r="O213" i="14" s="1"/>
  <c r="J210" i="14"/>
  <c r="N210" i="14"/>
  <c r="O210" i="14" s="1"/>
  <c r="J212" i="14"/>
  <c r="N211" i="14"/>
  <c r="H211" i="14"/>
  <c r="H212" i="14"/>
  <c r="O212" i="14" s="1"/>
  <c r="N206" i="14"/>
  <c r="O206" i="14" s="1"/>
  <c r="J206" i="14"/>
  <c r="N208" i="14"/>
  <c r="O208" i="14" s="1"/>
  <c r="J208" i="14"/>
  <c r="J207" i="14"/>
  <c r="H207" i="14"/>
  <c r="O207" i="14" s="1"/>
  <c r="H205" i="14"/>
  <c r="O205" i="14" s="1"/>
  <c r="J205" i="14"/>
  <c r="E224" i="11"/>
  <c r="E16" i="9"/>
  <c r="E15" i="9"/>
  <c r="E14" i="9"/>
  <c r="E13" i="9"/>
  <c r="E12" i="9"/>
  <c r="E11" i="9"/>
  <c r="E10" i="9"/>
  <c r="E9" i="9"/>
  <c r="E8" i="9"/>
  <c r="E7" i="9"/>
  <c r="E6" i="9"/>
  <c r="D16" i="9"/>
  <c r="D15" i="9"/>
  <c r="D14" i="9"/>
  <c r="D13" i="9"/>
  <c r="D12" i="9"/>
  <c r="D11" i="9"/>
  <c r="D10" i="9"/>
  <c r="D9" i="9"/>
  <c r="D8" i="9"/>
  <c r="D7" i="9"/>
  <c r="D6" i="9"/>
  <c r="D5" i="9"/>
  <c r="D4" i="9"/>
  <c r="D3" i="9"/>
  <c r="E305" i="11"/>
  <c r="E304" i="11"/>
  <c r="E303" i="11"/>
  <c r="E357" i="11"/>
  <c r="E358" i="11"/>
  <c r="E359" i="11"/>
  <c r="E360" i="11"/>
  <c r="E361" i="11"/>
  <c r="E365" i="11"/>
  <c r="E366" i="11"/>
  <c r="E354" i="11"/>
  <c r="E351" i="11"/>
  <c r="E336" i="11"/>
  <c r="E335" i="11"/>
  <c r="E334" i="11"/>
  <c r="E328" i="11"/>
  <c r="E329" i="11"/>
  <c r="E330" i="11"/>
  <c r="E332" i="11"/>
  <c r="E333" i="11"/>
  <c r="E325" i="11"/>
  <c r="E324" i="11"/>
  <c r="E322" i="11"/>
  <c r="E321" i="11"/>
  <c r="E320" i="11"/>
  <c r="E319" i="11"/>
  <c r="E318" i="11"/>
  <c r="E317" i="11"/>
  <c r="E316" i="11"/>
  <c r="E315" i="11"/>
  <c r="E326" i="11"/>
  <c r="E25" i="16"/>
  <c r="E307" i="11"/>
  <c r="E308" i="11"/>
  <c r="E309" i="11"/>
  <c r="E311" i="11"/>
  <c r="E312" i="11"/>
  <c r="E313" i="11"/>
  <c r="E314" i="11"/>
  <c r="E327" i="11"/>
  <c r="E355" i="11"/>
  <c r="E353" i="11"/>
  <c r="E348" i="11"/>
  <c r="E347" i="11"/>
  <c r="E346" i="11"/>
  <c r="E345" i="11"/>
  <c r="E344" i="11"/>
  <c r="E343" i="11"/>
  <c r="E342" i="11"/>
  <c r="E341" i="11"/>
  <c r="E340" i="11"/>
  <c r="E339" i="11"/>
  <c r="E72" i="11"/>
  <c r="E73" i="11"/>
  <c r="E71" i="11"/>
  <c r="E70" i="11"/>
  <c r="E69" i="11"/>
  <c r="E142" i="11"/>
  <c r="E143" i="11"/>
  <c r="E60" i="11"/>
  <c r="E59" i="11"/>
  <c r="E138" i="11"/>
  <c r="E134" i="11"/>
  <c r="E57" i="11"/>
  <c r="E48" i="11"/>
  <c r="E47" i="11"/>
  <c r="E46" i="11"/>
  <c r="E116" i="11"/>
  <c r="C9" i="6"/>
  <c r="C14" i="6"/>
  <c r="E6" i="16"/>
  <c r="F49" i="5"/>
  <c r="F48" i="5"/>
  <c r="F47" i="5"/>
  <c r="F46" i="5"/>
  <c r="F45" i="5"/>
  <c r="F44" i="5"/>
  <c r="F43" i="5"/>
  <c r="F42" i="5"/>
  <c r="F41" i="5"/>
  <c r="F40" i="5"/>
  <c r="F39" i="5"/>
  <c r="F38" i="5"/>
  <c r="F37" i="5"/>
  <c r="F36" i="5"/>
  <c r="F35" i="5"/>
  <c r="F34" i="5"/>
  <c r="F33" i="5"/>
  <c r="F32" i="5"/>
  <c r="F31" i="5"/>
  <c r="F30" i="5"/>
  <c r="F29" i="5"/>
  <c r="F28" i="5"/>
  <c r="F27" i="5"/>
  <c r="F26" i="5"/>
  <c r="F25" i="5"/>
  <c r="F24" i="5"/>
  <c r="F23" i="5"/>
  <c r="F22" i="5"/>
  <c r="F21" i="5"/>
  <c r="F20" i="5"/>
  <c r="F19" i="5"/>
  <c r="F18" i="5"/>
  <c r="F3"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3" i="5"/>
  <c r="E297" i="11"/>
  <c r="E300" i="11"/>
  <c r="E301" i="11"/>
  <c r="E302" i="11"/>
  <c r="E306" i="11"/>
  <c r="O211" i="14" l="1"/>
  <c r="O222" i="14"/>
  <c r="O264" i="14"/>
  <c r="E19" i="16"/>
  <c r="E11" i="16"/>
  <c r="E34" i="16"/>
  <c r="E20" i="16"/>
  <c r="E26" i="16"/>
  <c r="E9" i="16"/>
  <c r="C32" i="16"/>
  <c r="C31" i="16"/>
  <c r="C28" i="16"/>
  <c r="C26" i="16"/>
  <c r="C25" i="16"/>
  <c r="C29" i="16"/>
  <c r="E24" i="16"/>
  <c r="C33" i="16"/>
  <c r="C30" i="16"/>
  <c r="E31" i="16"/>
  <c r="C27" i="16"/>
  <c r="E22" i="16"/>
  <c r="E29" i="16"/>
  <c r="E35" i="16"/>
  <c r="C38" i="6"/>
  <c r="G6" i="16"/>
  <c r="C202" i="14"/>
  <c r="F204" i="14"/>
  <c r="G203" i="14"/>
  <c r="L204" i="14"/>
  <c r="M204" i="14" s="1"/>
  <c r="K202" i="14"/>
  <c r="K203" i="14"/>
  <c r="L202" i="14"/>
  <c r="M202" i="14" s="1"/>
  <c r="K204" i="14"/>
  <c r="L203" i="14"/>
  <c r="M203" i="14" s="1"/>
  <c r="C203" i="14"/>
  <c r="G204" i="14"/>
  <c r="C204" i="14"/>
  <c r="E203" i="14"/>
  <c r="F202" i="14"/>
  <c r="E204" i="14"/>
  <c r="F203" i="14"/>
  <c r="G202" i="14"/>
  <c r="F7" i="14"/>
  <c r="F11" i="14"/>
  <c r="F15" i="14"/>
  <c r="F19" i="14"/>
  <c r="F23" i="14"/>
  <c r="F27" i="14"/>
  <c r="F31" i="14"/>
  <c r="F35" i="14"/>
  <c r="F39" i="14"/>
  <c r="F43" i="14"/>
  <c r="F47" i="14"/>
  <c r="F51" i="14"/>
  <c r="F55" i="14"/>
  <c r="F59" i="14"/>
  <c r="F63" i="14"/>
  <c r="F67" i="14"/>
  <c r="F71" i="14"/>
  <c r="F75" i="14"/>
  <c r="F79" i="14"/>
  <c r="F83" i="14"/>
  <c r="F87" i="14"/>
  <c r="F91" i="14"/>
  <c r="F95" i="14"/>
  <c r="F99" i="14"/>
  <c r="F103" i="14"/>
  <c r="F107" i="14"/>
  <c r="F111" i="14"/>
  <c r="F115" i="14"/>
  <c r="F119" i="14"/>
  <c r="F123" i="14"/>
  <c r="F127" i="14"/>
  <c r="F131" i="14"/>
  <c r="F135" i="14"/>
  <c r="F139" i="14"/>
  <c r="F143" i="14"/>
  <c r="F147" i="14"/>
  <c r="F151" i="14"/>
  <c r="F155" i="14"/>
  <c r="F159" i="14"/>
  <c r="F163" i="14"/>
  <c r="F167" i="14"/>
  <c r="F171" i="14"/>
  <c r="F175" i="14"/>
  <c r="F179" i="14"/>
  <c r="F183" i="14"/>
  <c r="F187" i="14"/>
  <c r="F191" i="14"/>
  <c r="F195" i="14"/>
  <c r="F199" i="14"/>
  <c r="F4" i="14"/>
  <c r="F8" i="14"/>
  <c r="F12" i="14"/>
  <c r="F16" i="14"/>
  <c r="F20" i="14"/>
  <c r="F24" i="14"/>
  <c r="F28" i="14"/>
  <c r="F32" i="14"/>
  <c r="F36" i="14"/>
  <c r="F40" i="14"/>
  <c r="F44" i="14"/>
  <c r="F48" i="14"/>
  <c r="F52" i="14"/>
  <c r="F56" i="14"/>
  <c r="F60" i="14"/>
  <c r="F64" i="14"/>
  <c r="F68" i="14"/>
  <c r="F72" i="14"/>
  <c r="F76" i="14"/>
  <c r="F80" i="14"/>
  <c r="F84" i="14"/>
  <c r="F88" i="14"/>
  <c r="F92" i="14"/>
  <c r="F96" i="14"/>
  <c r="F100" i="14"/>
  <c r="F104" i="14"/>
  <c r="F108" i="14"/>
  <c r="F112" i="14"/>
  <c r="F116" i="14"/>
  <c r="F120" i="14"/>
  <c r="F124" i="14"/>
  <c r="F128" i="14"/>
  <c r="F132" i="14"/>
  <c r="F136" i="14"/>
  <c r="F140" i="14"/>
  <c r="F144" i="14"/>
  <c r="F148" i="14"/>
  <c r="F152" i="14"/>
  <c r="F156" i="14"/>
  <c r="F160" i="14"/>
  <c r="F164" i="14"/>
  <c r="F168" i="14"/>
  <c r="F172" i="14"/>
  <c r="F176" i="14"/>
  <c r="F180" i="14"/>
  <c r="F184" i="14"/>
  <c r="F188" i="14"/>
  <c r="F192" i="14"/>
  <c r="F196" i="14"/>
  <c r="F200" i="14"/>
  <c r="F5" i="14"/>
  <c r="F9" i="14"/>
  <c r="F13" i="14"/>
  <c r="F17" i="14"/>
  <c r="F21" i="14"/>
  <c r="F25" i="14"/>
  <c r="F29" i="14"/>
  <c r="F33" i="14"/>
  <c r="F37" i="14"/>
  <c r="F41" i="14"/>
  <c r="F45" i="14"/>
  <c r="F49" i="14"/>
  <c r="F53" i="14"/>
  <c r="F57" i="14"/>
  <c r="F61" i="14"/>
  <c r="F65" i="14"/>
  <c r="F69" i="14"/>
  <c r="F73" i="14"/>
  <c r="F77" i="14"/>
  <c r="F81" i="14"/>
  <c r="F85" i="14"/>
  <c r="F89" i="14"/>
  <c r="F93" i="14"/>
  <c r="F97" i="14"/>
  <c r="F101" i="14"/>
  <c r="F105" i="14"/>
  <c r="F109" i="14"/>
  <c r="F113" i="14"/>
  <c r="F117" i="14"/>
  <c r="F121" i="14"/>
  <c r="F125" i="14"/>
  <c r="F129" i="14"/>
  <c r="F133" i="14"/>
  <c r="F137" i="14"/>
  <c r="F141" i="14"/>
  <c r="F145" i="14"/>
  <c r="F149" i="14"/>
  <c r="F153" i="14"/>
  <c r="F157" i="14"/>
  <c r="F161" i="14"/>
  <c r="F165" i="14"/>
  <c r="F169" i="14"/>
  <c r="F173" i="14"/>
  <c r="F177" i="14"/>
  <c r="F181" i="14"/>
  <c r="F185" i="14"/>
  <c r="F189" i="14"/>
  <c r="F193" i="14"/>
  <c r="F197" i="14"/>
  <c r="F201" i="14"/>
  <c r="F6" i="14"/>
  <c r="F10" i="14"/>
  <c r="F14" i="14"/>
  <c r="F18" i="14"/>
  <c r="F22" i="14"/>
  <c r="F26" i="14"/>
  <c r="F30" i="14"/>
  <c r="F34" i="14"/>
  <c r="F38" i="14"/>
  <c r="F42" i="14"/>
  <c r="F46" i="14"/>
  <c r="F50" i="14"/>
  <c r="F54" i="14"/>
  <c r="F58" i="14"/>
  <c r="F62" i="14"/>
  <c r="F66" i="14"/>
  <c r="F70" i="14"/>
  <c r="F74" i="14"/>
  <c r="F78" i="14"/>
  <c r="F82" i="14"/>
  <c r="F86" i="14"/>
  <c r="F90" i="14"/>
  <c r="F94" i="14"/>
  <c r="F98" i="14"/>
  <c r="F102" i="14"/>
  <c r="F106" i="14"/>
  <c r="F110" i="14"/>
  <c r="F114" i="14"/>
  <c r="F118" i="14"/>
  <c r="F122" i="14"/>
  <c r="F126" i="14"/>
  <c r="F130" i="14"/>
  <c r="F134" i="14"/>
  <c r="F138" i="14"/>
  <c r="F142" i="14"/>
  <c r="F146" i="14"/>
  <c r="F150" i="14"/>
  <c r="F154" i="14"/>
  <c r="F158" i="14"/>
  <c r="F162" i="14"/>
  <c r="F166" i="14"/>
  <c r="F170" i="14"/>
  <c r="F174" i="14"/>
  <c r="F178" i="14"/>
  <c r="F182" i="14"/>
  <c r="F186" i="14"/>
  <c r="F190" i="14"/>
  <c r="F194" i="14"/>
  <c r="F198" i="14"/>
  <c r="F15" i="5"/>
  <c r="F17" i="5"/>
  <c r="C17" i="5"/>
  <c r="C16" i="5"/>
  <c r="F16" i="5"/>
  <c r="K201" i="14"/>
  <c r="C201" i="14"/>
  <c r="L201" i="14"/>
  <c r="M201" i="14" s="1"/>
  <c r="E201" i="14"/>
  <c r="C200" i="14"/>
  <c r="G200" i="14"/>
  <c r="L200" i="14"/>
  <c r="M200" i="14" s="1"/>
  <c r="K200" i="14"/>
  <c r="E200" i="14"/>
  <c r="G199" i="14"/>
  <c r="L199" i="14"/>
  <c r="M199" i="14" s="1"/>
  <c r="K199" i="14"/>
  <c r="C199" i="14"/>
  <c r="E199" i="14"/>
  <c r="L198" i="14"/>
  <c r="M198" i="14" s="1"/>
  <c r="K198" i="14"/>
  <c r="E198" i="14"/>
  <c r="C198" i="14"/>
  <c r="G198" i="14"/>
  <c r="G197" i="14"/>
  <c r="L197" i="14"/>
  <c r="M197" i="14" s="1"/>
  <c r="E197" i="14"/>
  <c r="K197" i="14"/>
  <c r="C197" i="14"/>
  <c r="L196" i="14"/>
  <c r="M196" i="14" s="1"/>
  <c r="K196" i="14"/>
  <c r="C196" i="14"/>
  <c r="G196" i="14"/>
  <c r="E196" i="14"/>
  <c r="L195" i="14"/>
  <c r="M195" i="14" s="1"/>
  <c r="G195" i="14"/>
  <c r="K195" i="14"/>
  <c r="C195" i="14"/>
  <c r="E195" i="14"/>
  <c r="E194" i="14"/>
  <c r="C194" i="14"/>
  <c r="G194" i="14"/>
  <c r="L194" i="14"/>
  <c r="M194" i="14" s="1"/>
  <c r="K194" i="14"/>
  <c r="L193" i="14"/>
  <c r="M193" i="14" s="1"/>
  <c r="E193" i="14"/>
  <c r="K193" i="14"/>
  <c r="C193" i="14"/>
  <c r="G193" i="14"/>
  <c r="K192" i="14"/>
  <c r="E192" i="14"/>
  <c r="C192" i="14"/>
  <c r="G192" i="14"/>
  <c r="L192" i="14"/>
  <c r="M192" i="14" s="1"/>
  <c r="L191" i="14"/>
  <c r="M191" i="14" s="1"/>
  <c r="K191" i="14"/>
  <c r="C191" i="14"/>
  <c r="G191" i="14"/>
  <c r="E191" i="14"/>
  <c r="E190" i="14"/>
  <c r="C190" i="14"/>
  <c r="G190" i="14"/>
  <c r="K190" i="14"/>
  <c r="L190" i="14"/>
  <c r="M190" i="14" s="1"/>
  <c r="L189" i="14"/>
  <c r="M189" i="14" s="1"/>
  <c r="C189" i="14"/>
  <c r="G189" i="14"/>
  <c r="K189" i="14"/>
  <c r="E189" i="14"/>
  <c r="C188" i="14"/>
  <c r="G188" i="14"/>
  <c r="L188" i="14"/>
  <c r="M188" i="14" s="1"/>
  <c r="K188" i="14"/>
  <c r="E188" i="14"/>
  <c r="E187" i="14"/>
  <c r="G187" i="14"/>
  <c r="L187" i="14"/>
  <c r="M187" i="14" s="1"/>
  <c r="K187" i="14"/>
  <c r="C187" i="14"/>
  <c r="K186" i="14"/>
  <c r="E186" i="14"/>
  <c r="C186" i="14"/>
  <c r="G186" i="14"/>
  <c r="L186" i="14"/>
  <c r="M186" i="14" s="1"/>
  <c r="G185" i="14"/>
  <c r="L185" i="14"/>
  <c r="M185" i="14" s="1"/>
  <c r="E185" i="14"/>
  <c r="K185" i="14"/>
  <c r="C185" i="14"/>
  <c r="C35" i="6"/>
  <c r="F4" i="5"/>
  <c r="F14" i="5"/>
  <c r="C14" i="5"/>
  <c r="C13" i="5"/>
  <c r="F13" i="5"/>
  <c r="F11" i="5"/>
  <c r="F12" i="5"/>
  <c r="C12" i="5"/>
  <c r="C11" i="6"/>
  <c r="C184" i="14"/>
  <c r="G184" i="14"/>
  <c r="L184" i="14"/>
  <c r="M184" i="14" s="1"/>
  <c r="K184" i="14"/>
  <c r="E184" i="14"/>
  <c r="C36" i="6"/>
  <c r="L183" i="14"/>
  <c r="M183" i="14" s="1"/>
  <c r="K183" i="14"/>
  <c r="L182" i="14"/>
  <c r="M182" i="14" s="1"/>
  <c r="K182" i="14"/>
  <c r="L180" i="14"/>
  <c r="M180" i="14" s="1"/>
  <c r="L176" i="14"/>
  <c r="M176" i="14" s="1"/>
  <c r="L172" i="14"/>
  <c r="M172" i="14" s="1"/>
  <c r="L168" i="14"/>
  <c r="M168" i="14" s="1"/>
  <c r="L164" i="14"/>
  <c r="M164" i="14" s="1"/>
  <c r="L160" i="14"/>
  <c r="M160" i="14" s="1"/>
  <c r="L156" i="14"/>
  <c r="M156" i="14" s="1"/>
  <c r="L152" i="14"/>
  <c r="M152" i="14" s="1"/>
  <c r="L148" i="14"/>
  <c r="M148" i="14" s="1"/>
  <c r="L144" i="14"/>
  <c r="M144" i="14" s="1"/>
  <c r="L140" i="14"/>
  <c r="M140" i="14" s="1"/>
  <c r="L136" i="14"/>
  <c r="M136" i="14" s="1"/>
  <c r="L132" i="14"/>
  <c r="M132" i="14" s="1"/>
  <c r="L128" i="14"/>
  <c r="M128" i="14" s="1"/>
  <c r="L124" i="14"/>
  <c r="M124" i="14" s="1"/>
  <c r="L120" i="14"/>
  <c r="M120" i="14" s="1"/>
  <c r="L116" i="14"/>
  <c r="M116" i="14" s="1"/>
  <c r="L112" i="14"/>
  <c r="M112" i="14" s="1"/>
  <c r="L108" i="14"/>
  <c r="M108" i="14" s="1"/>
  <c r="L104" i="14"/>
  <c r="M104" i="14" s="1"/>
  <c r="L100" i="14"/>
  <c r="M100" i="14" s="1"/>
  <c r="L96" i="14"/>
  <c r="M96" i="14" s="1"/>
  <c r="L92" i="14"/>
  <c r="M92" i="14" s="1"/>
  <c r="L88" i="14"/>
  <c r="M88" i="14" s="1"/>
  <c r="L84" i="14"/>
  <c r="M84" i="14" s="1"/>
  <c r="L80" i="14"/>
  <c r="M80" i="14" s="1"/>
  <c r="L76" i="14"/>
  <c r="M76" i="14" s="1"/>
  <c r="L72" i="14"/>
  <c r="M72" i="14" s="1"/>
  <c r="L68" i="14"/>
  <c r="M68" i="14" s="1"/>
  <c r="L64" i="14"/>
  <c r="M64" i="14" s="1"/>
  <c r="L60" i="14"/>
  <c r="M60" i="14" s="1"/>
  <c r="L56" i="14"/>
  <c r="M56" i="14" s="1"/>
  <c r="L52" i="14"/>
  <c r="M52" i="14" s="1"/>
  <c r="L48" i="14"/>
  <c r="M48" i="14" s="1"/>
  <c r="L44" i="14"/>
  <c r="M44" i="14" s="1"/>
  <c r="L40" i="14"/>
  <c r="M40" i="14" s="1"/>
  <c r="L36" i="14"/>
  <c r="M36" i="14" s="1"/>
  <c r="L32" i="14"/>
  <c r="M32" i="14" s="1"/>
  <c r="L28" i="14"/>
  <c r="M28" i="14" s="1"/>
  <c r="L24" i="14"/>
  <c r="M24" i="14" s="1"/>
  <c r="L179" i="14"/>
  <c r="M179" i="14" s="1"/>
  <c r="L175" i="14"/>
  <c r="M175" i="14" s="1"/>
  <c r="L171" i="14"/>
  <c r="M171" i="14" s="1"/>
  <c r="L167" i="14"/>
  <c r="M167" i="14" s="1"/>
  <c r="L163" i="14"/>
  <c r="M163" i="14" s="1"/>
  <c r="L159" i="14"/>
  <c r="M159" i="14" s="1"/>
  <c r="L155" i="14"/>
  <c r="M155" i="14" s="1"/>
  <c r="L151" i="14"/>
  <c r="M151" i="14" s="1"/>
  <c r="L147" i="14"/>
  <c r="M147" i="14" s="1"/>
  <c r="L143" i="14"/>
  <c r="M143" i="14" s="1"/>
  <c r="L139" i="14"/>
  <c r="M139" i="14" s="1"/>
  <c r="L135" i="14"/>
  <c r="M135" i="14" s="1"/>
  <c r="L131" i="14"/>
  <c r="M131" i="14" s="1"/>
  <c r="L127" i="14"/>
  <c r="M127" i="14" s="1"/>
  <c r="L123" i="14"/>
  <c r="M123" i="14" s="1"/>
  <c r="L119" i="14"/>
  <c r="M119" i="14" s="1"/>
  <c r="L115" i="14"/>
  <c r="M115" i="14" s="1"/>
  <c r="L111" i="14"/>
  <c r="M111" i="14" s="1"/>
  <c r="L107" i="14"/>
  <c r="M107" i="14" s="1"/>
  <c r="L103" i="14"/>
  <c r="M103" i="14" s="1"/>
  <c r="L99" i="14"/>
  <c r="M99" i="14" s="1"/>
  <c r="L95" i="14"/>
  <c r="M95" i="14" s="1"/>
  <c r="L91" i="14"/>
  <c r="M91" i="14" s="1"/>
  <c r="L87" i="14"/>
  <c r="M87" i="14" s="1"/>
  <c r="L83" i="14"/>
  <c r="M83" i="14" s="1"/>
  <c r="L79" i="14"/>
  <c r="M79" i="14" s="1"/>
  <c r="L75" i="14"/>
  <c r="M75" i="14" s="1"/>
  <c r="L71" i="14"/>
  <c r="M71" i="14" s="1"/>
  <c r="L67" i="14"/>
  <c r="M67" i="14" s="1"/>
  <c r="L63" i="14"/>
  <c r="M63" i="14" s="1"/>
  <c r="L59" i="14"/>
  <c r="M59" i="14" s="1"/>
  <c r="L55" i="14"/>
  <c r="M55" i="14" s="1"/>
  <c r="L51" i="14"/>
  <c r="M51" i="14" s="1"/>
  <c r="L47" i="14"/>
  <c r="M47" i="14" s="1"/>
  <c r="L43" i="14"/>
  <c r="M43" i="14" s="1"/>
  <c r="L39" i="14"/>
  <c r="M39" i="14" s="1"/>
  <c r="L35" i="14"/>
  <c r="M35" i="14" s="1"/>
  <c r="L31" i="14"/>
  <c r="M31" i="14" s="1"/>
  <c r="L27" i="14"/>
  <c r="M27" i="14" s="1"/>
  <c r="L23" i="14"/>
  <c r="M23" i="14" s="1"/>
  <c r="L178" i="14"/>
  <c r="M178" i="14" s="1"/>
  <c r="L174" i="14"/>
  <c r="M174" i="14" s="1"/>
  <c r="L170" i="14"/>
  <c r="M170" i="14" s="1"/>
  <c r="L166" i="14"/>
  <c r="M166" i="14" s="1"/>
  <c r="L162" i="14"/>
  <c r="M162" i="14" s="1"/>
  <c r="L158" i="14"/>
  <c r="M158" i="14" s="1"/>
  <c r="L154" i="14"/>
  <c r="M154" i="14" s="1"/>
  <c r="L150" i="14"/>
  <c r="M150" i="14" s="1"/>
  <c r="L146" i="14"/>
  <c r="M146" i="14" s="1"/>
  <c r="L142" i="14"/>
  <c r="M142" i="14" s="1"/>
  <c r="L138" i="14"/>
  <c r="M138" i="14" s="1"/>
  <c r="L134" i="14"/>
  <c r="M134" i="14" s="1"/>
  <c r="L130" i="14"/>
  <c r="M130" i="14" s="1"/>
  <c r="L126" i="14"/>
  <c r="M126" i="14" s="1"/>
  <c r="L122" i="14"/>
  <c r="M122" i="14" s="1"/>
  <c r="L118" i="14"/>
  <c r="M118" i="14" s="1"/>
  <c r="L114" i="14"/>
  <c r="M114" i="14" s="1"/>
  <c r="L110" i="14"/>
  <c r="M110" i="14" s="1"/>
  <c r="L106" i="14"/>
  <c r="M106" i="14" s="1"/>
  <c r="L102" i="14"/>
  <c r="M102" i="14" s="1"/>
  <c r="L98" i="14"/>
  <c r="M98" i="14" s="1"/>
  <c r="L94" i="14"/>
  <c r="M94" i="14" s="1"/>
  <c r="L90" i="14"/>
  <c r="M90" i="14" s="1"/>
  <c r="L86" i="14"/>
  <c r="M86" i="14" s="1"/>
  <c r="L82" i="14"/>
  <c r="M82" i="14" s="1"/>
  <c r="L78" i="14"/>
  <c r="M78" i="14" s="1"/>
  <c r="L74" i="14"/>
  <c r="M74" i="14" s="1"/>
  <c r="L70" i="14"/>
  <c r="M70" i="14" s="1"/>
  <c r="L66" i="14"/>
  <c r="M66" i="14" s="1"/>
  <c r="L62" i="14"/>
  <c r="M62" i="14" s="1"/>
  <c r="L58" i="14"/>
  <c r="M58" i="14" s="1"/>
  <c r="L54" i="14"/>
  <c r="M54" i="14" s="1"/>
  <c r="L50" i="14"/>
  <c r="M50" i="14" s="1"/>
  <c r="L46" i="14"/>
  <c r="M46" i="14" s="1"/>
  <c r="L42" i="14"/>
  <c r="M42" i="14" s="1"/>
  <c r="L38" i="14"/>
  <c r="M38" i="14" s="1"/>
  <c r="L34" i="14"/>
  <c r="M34" i="14" s="1"/>
  <c r="L30" i="14"/>
  <c r="M30" i="14" s="1"/>
  <c r="L26" i="14"/>
  <c r="M26" i="14" s="1"/>
  <c r="L181" i="14"/>
  <c r="M181" i="14" s="1"/>
  <c r="L165" i="14"/>
  <c r="M165" i="14" s="1"/>
  <c r="L149" i="14"/>
  <c r="M149" i="14" s="1"/>
  <c r="L133" i="14"/>
  <c r="M133" i="14" s="1"/>
  <c r="L117" i="14"/>
  <c r="M117" i="14" s="1"/>
  <c r="L101" i="14"/>
  <c r="M101" i="14" s="1"/>
  <c r="L85" i="14"/>
  <c r="M85" i="14" s="1"/>
  <c r="L69" i="14"/>
  <c r="M69" i="14" s="1"/>
  <c r="L53" i="14"/>
  <c r="M53" i="14" s="1"/>
  <c r="L37" i="14"/>
  <c r="M37" i="14" s="1"/>
  <c r="L22" i="14"/>
  <c r="M22" i="14" s="1"/>
  <c r="L18" i="14"/>
  <c r="M18" i="14" s="1"/>
  <c r="L14" i="14"/>
  <c r="M14" i="14" s="1"/>
  <c r="L10" i="14"/>
  <c r="M10" i="14" s="1"/>
  <c r="L6" i="14"/>
  <c r="M6" i="14" s="1"/>
  <c r="K7" i="14"/>
  <c r="K11" i="14"/>
  <c r="K15" i="14"/>
  <c r="K19" i="14"/>
  <c r="K23" i="14"/>
  <c r="K27" i="14"/>
  <c r="K31" i="14"/>
  <c r="K35" i="14"/>
  <c r="K39" i="14"/>
  <c r="K43" i="14"/>
  <c r="K47" i="14"/>
  <c r="K51" i="14"/>
  <c r="K55" i="14"/>
  <c r="K59" i="14"/>
  <c r="K63" i="14"/>
  <c r="K67" i="14"/>
  <c r="K71" i="14"/>
  <c r="K75" i="14"/>
  <c r="K79" i="14"/>
  <c r="K83" i="14"/>
  <c r="K87" i="14"/>
  <c r="K91" i="14"/>
  <c r="K95" i="14"/>
  <c r="K99" i="14"/>
  <c r="K103" i="14"/>
  <c r="K107" i="14"/>
  <c r="K111" i="14"/>
  <c r="K115" i="14"/>
  <c r="K119" i="14"/>
  <c r="K123" i="14"/>
  <c r="K127" i="14"/>
  <c r="K131" i="14"/>
  <c r="K135" i="14"/>
  <c r="K139" i="14"/>
  <c r="K143" i="14"/>
  <c r="K147" i="14"/>
  <c r="K151" i="14"/>
  <c r="K155" i="14"/>
  <c r="K159" i="14"/>
  <c r="K163" i="14"/>
  <c r="K167" i="14"/>
  <c r="K171" i="14"/>
  <c r="K175" i="14"/>
  <c r="K179" i="14"/>
  <c r="L177" i="14"/>
  <c r="M177" i="14" s="1"/>
  <c r="L161" i="14"/>
  <c r="M161" i="14" s="1"/>
  <c r="L145" i="14"/>
  <c r="M145" i="14" s="1"/>
  <c r="L129" i="14"/>
  <c r="M129" i="14" s="1"/>
  <c r="L113" i="14"/>
  <c r="M113" i="14" s="1"/>
  <c r="L97" i="14"/>
  <c r="M97" i="14" s="1"/>
  <c r="L81" i="14"/>
  <c r="M81" i="14" s="1"/>
  <c r="L65" i="14"/>
  <c r="M65" i="14" s="1"/>
  <c r="L49" i="14"/>
  <c r="M49" i="14" s="1"/>
  <c r="L33" i="14"/>
  <c r="M33" i="14" s="1"/>
  <c r="L21" i="14"/>
  <c r="M21" i="14" s="1"/>
  <c r="L17" i="14"/>
  <c r="M17" i="14" s="1"/>
  <c r="L13" i="14"/>
  <c r="M13" i="14" s="1"/>
  <c r="L9" i="14"/>
  <c r="M9" i="14" s="1"/>
  <c r="L5" i="14"/>
  <c r="M5" i="14" s="1"/>
  <c r="K4" i="14"/>
  <c r="K8" i="14"/>
  <c r="K12" i="14"/>
  <c r="K16" i="14"/>
  <c r="K20" i="14"/>
  <c r="K24" i="14"/>
  <c r="K28" i="14"/>
  <c r="K32" i="14"/>
  <c r="K36" i="14"/>
  <c r="K40" i="14"/>
  <c r="K44" i="14"/>
  <c r="K48" i="14"/>
  <c r="K52" i="14"/>
  <c r="K56" i="14"/>
  <c r="K60" i="14"/>
  <c r="K64" i="14"/>
  <c r="K68" i="14"/>
  <c r="K72" i="14"/>
  <c r="K76" i="14"/>
  <c r="K80" i="14"/>
  <c r="K84" i="14"/>
  <c r="K88" i="14"/>
  <c r="K92" i="14"/>
  <c r="K96" i="14"/>
  <c r="K100" i="14"/>
  <c r="K104" i="14"/>
  <c r="K108" i="14"/>
  <c r="K112" i="14"/>
  <c r="K116" i="14"/>
  <c r="K120" i="14"/>
  <c r="K124" i="14"/>
  <c r="K128" i="14"/>
  <c r="K132" i="14"/>
  <c r="K136" i="14"/>
  <c r="K140" i="14"/>
  <c r="K144" i="14"/>
  <c r="K148" i="14"/>
  <c r="K152" i="14"/>
  <c r="K156" i="14"/>
  <c r="K160" i="14"/>
  <c r="K164" i="14"/>
  <c r="K168" i="14"/>
  <c r="K172" i="14"/>
  <c r="K176" i="14"/>
  <c r="K180" i="14"/>
  <c r="L173" i="14"/>
  <c r="M173" i="14" s="1"/>
  <c r="L157" i="14"/>
  <c r="M157" i="14" s="1"/>
  <c r="L141" i="14"/>
  <c r="M141" i="14" s="1"/>
  <c r="L125" i="14"/>
  <c r="M125" i="14" s="1"/>
  <c r="L109" i="14"/>
  <c r="M109" i="14" s="1"/>
  <c r="L93" i="14"/>
  <c r="M93" i="14" s="1"/>
  <c r="L77" i="14"/>
  <c r="M77" i="14" s="1"/>
  <c r="L61" i="14"/>
  <c r="M61" i="14" s="1"/>
  <c r="L45" i="14"/>
  <c r="M45" i="14" s="1"/>
  <c r="L29" i="14"/>
  <c r="M29" i="14" s="1"/>
  <c r="L20" i="14"/>
  <c r="M20" i="14" s="1"/>
  <c r="L16" i="14"/>
  <c r="M16" i="14" s="1"/>
  <c r="L12" i="14"/>
  <c r="M12" i="14" s="1"/>
  <c r="L8" i="14"/>
  <c r="M8" i="14" s="1"/>
  <c r="L4" i="14"/>
  <c r="M4" i="14" s="1"/>
  <c r="K5" i="14"/>
  <c r="K9" i="14"/>
  <c r="K13" i="14"/>
  <c r="K17" i="14"/>
  <c r="K21" i="14"/>
  <c r="K25" i="14"/>
  <c r="K29" i="14"/>
  <c r="K33" i="14"/>
  <c r="K37" i="14"/>
  <c r="K41" i="14"/>
  <c r="K45" i="14"/>
  <c r="K49" i="14"/>
  <c r="K53" i="14"/>
  <c r="K57" i="14"/>
  <c r="K61" i="14"/>
  <c r="K65" i="14"/>
  <c r="K69" i="14"/>
  <c r="K73" i="14"/>
  <c r="K77" i="14"/>
  <c r="K81" i="14"/>
  <c r="K85" i="14"/>
  <c r="K89" i="14"/>
  <c r="K93" i="14"/>
  <c r="K97" i="14"/>
  <c r="K101" i="14"/>
  <c r="K105" i="14"/>
  <c r="K109" i="14"/>
  <c r="K113" i="14"/>
  <c r="K117" i="14"/>
  <c r="K121" i="14"/>
  <c r="K125" i="14"/>
  <c r="K129" i="14"/>
  <c r="K133" i="14"/>
  <c r="K137" i="14"/>
  <c r="K141" i="14"/>
  <c r="K145" i="14"/>
  <c r="K149" i="14"/>
  <c r="K153" i="14"/>
  <c r="K157" i="14"/>
  <c r="K161" i="14"/>
  <c r="K165" i="14"/>
  <c r="K169" i="14"/>
  <c r="K173" i="14"/>
  <c r="K177" i="14"/>
  <c r="K181" i="14"/>
  <c r="L169" i="14"/>
  <c r="M169" i="14" s="1"/>
  <c r="L153" i="14"/>
  <c r="M153" i="14" s="1"/>
  <c r="L137" i="14"/>
  <c r="M137" i="14" s="1"/>
  <c r="L121" i="14"/>
  <c r="M121" i="14" s="1"/>
  <c r="L105" i="14"/>
  <c r="M105" i="14" s="1"/>
  <c r="L89" i="14"/>
  <c r="M89" i="14" s="1"/>
  <c r="L73" i="14"/>
  <c r="M73" i="14" s="1"/>
  <c r="L57" i="14"/>
  <c r="M57" i="14" s="1"/>
  <c r="L41" i="14"/>
  <c r="M41" i="14" s="1"/>
  <c r="L25" i="14"/>
  <c r="M25" i="14" s="1"/>
  <c r="L19" i="14"/>
  <c r="M19" i="14" s="1"/>
  <c r="L15" i="14"/>
  <c r="M15" i="14" s="1"/>
  <c r="L11" i="14"/>
  <c r="M11" i="14" s="1"/>
  <c r="L7" i="14"/>
  <c r="M7" i="14" s="1"/>
  <c r="K6" i="14"/>
  <c r="K10" i="14"/>
  <c r="K14" i="14"/>
  <c r="K18" i="14"/>
  <c r="K22" i="14"/>
  <c r="K26" i="14"/>
  <c r="K30" i="14"/>
  <c r="K34" i="14"/>
  <c r="K38" i="14"/>
  <c r="K42" i="14"/>
  <c r="K46" i="14"/>
  <c r="K50" i="14"/>
  <c r="K54" i="14"/>
  <c r="K58" i="14"/>
  <c r="K62" i="14"/>
  <c r="K66" i="14"/>
  <c r="K70" i="14"/>
  <c r="K74" i="14"/>
  <c r="K78" i="14"/>
  <c r="K82" i="14"/>
  <c r="K86" i="14"/>
  <c r="K90" i="14"/>
  <c r="K94" i="14"/>
  <c r="K98" i="14"/>
  <c r="K102" i="14"/>
  <c r="K106" i="14"/>
  <c r="K110" i="14"/>
  <c r="K114" i="14"/>
  <c r="K118" i="14"/>
  <c r="K122" i="14"/>
  <c r="K126" i="14"/>
  <c r="K130" i="14"/>
  <c r="K134" i="14"/>
  <c r="K138" i="14"/>
  <c r="K142" i="14"/>
  <c r="K146" i="14"/>
  <c r="K150" i="14"/>
  <c r="K154" i="14"/>
  <c r="K158" i="14"/>
  <c r="K162" i="14"/>
  <c r="K166" i="14"/>
  <c r="K170" i="14"/>
  <c r="K174" i="14"/>
  <c r="K178" i="14"/>
  <c r="C24" i="6"/>
  <c r="C6" i="6"/>
  <c r="C26" i="6"/>
  <c r="C29" i="6"/>
  <c r="C23" i="6"/>
  <c r="C21" i="6"/>
  <c r="C30" i="6"/>
  <c r="C32" i="6"/>
  <c r="C27" i="6"/>
  <c r="C183" i="14"/>
  <c r="E183" i="14"/>
  <c r="G183" i="14"/>
  <c r="C28" i="6"/>
  <c r="C19" i="6"/>
  <c r="C5" i="6"/>
  <c r="F3" i="14"/>
  <c r="E6" i="14"/>
  <c r="E10" i="14"/>
  <c r="E14" i="14"/>
  <c r="E18" i="14"/>
  <c r="E22" i="14"/>
  <c r="E26" i="14"/>
  <c r="E30" i="14"/>
  <c r="E34" i="14"/>
  <c r="E38" i="14"/>
  <c r="E42" i="14"/>
  <c r="E46" i="14"/>
  <c r="E50" i="14"/>
  <c r="E54" i="14"/>
  <c r="E58" i="14"/>
  <c r="E62" i="14"/>
  <c r="E66" i="14"/>
  <c r="E70" i="14"/>
  <c r="E74" i="14"/>
  <c r="E78" i="14"/>
  <c r="E82" i="14"/>
  <c r="E86" i="14"/>
  <c r="E90" i="14"/>
  <c r="E94" i="14"/>
  <c r="E98" i="14"/>
  <c r="E102" i="14"/>
  <c r="E106" i="14"/>
  <c r="E110" i="14"/>
  <c r="E114" i="14"/>
  <c r="E118" i="14"/>
  <c r="E122" i="14"/>
  <c r="E126" i="14"/>
  <c r="E130" i="14"/>
  <c r="E134" i="14"/>
  <c r="E138" i="14"/>
  <c r="E142" i="14"/>
  <c r="E146" i="14"/>
  <c r="E150" i="14"/>
  <c r="E154" i="14"/>
  <c r="E158" i="14"/>
  <c r="E162" i="14"/>
  <c r="E166" i="14"/>
  <c r="E170" i="14"/>
  <c r="E174" i="14"/>
  <c r="E178" i="14"/>
  <c r="E182" i="14"/>
  <c r="E7" i="14"/>
  <c r="E11" i="14"/>
  <c r="E15" i="14"/>
  <c r="E19" i="14"/>
  <c r="E23" i="14"/>
  <c r="E27" i="14"/>
  <c r="E31" i="14"/>
  <c r="E35" i="14"/>
  <c r="E39" i="14"/>
  <c r="E43" i="14"/>
  <c r="E47" i="14"/>
  <c r="E51" i="14"/>
  <c r="E55" i="14"/>
  <c r="E59" i="14"/>
  <c r="E63" i="14"/>
  <c r="E67" i="14"/>
  <c r="E71" i="14"/>
  <c r="E75" i="14"/>
  <c r="E79" i="14"/>
  <c r="E83" i="14"/>
  <c r="E87" i="14"/>
  <c r="E91" i="14"/>
  <c r="E95" i="14"/>
  <c r="E99" i="14"/>
  <c r="E103" i="14"/>
  <c r="E107" i="14"/>
  <c r="E111" i="14"/>
  <c r="E115" i="14"/>
  <c r="E119" i="14"/>
  <c r="E123" i="14"/>
  <c r="E127" i="14"/>
  <c r="E131" i="14"/>
  <c r="E135" i="14"/>
  <c r="E139" i="14"/>
  <c r="E143" i="14"/>
  <c r="E147" i="14"/>
  <c r="E155" i="14"/>
  <c r="E159" i="14"/>
  <c r="E163" i="14"/>
  <c r="E167" i="14"/>
  <c r="E171" i="14"/>
  <c r="E175" i="14"/>
  <c r="E179" i="14"/>
  <c r="E4" i="14"/>
  <c r="E8" i="14"/>
  <c r="E12" i="14"/>
  <c r="E16" i="14"/>
  <c r="E20" i="14"/>
  <c r="E24" i="14"/>
  <c r="E28" i="14"/>
  <c r="E32" i="14"/>
  <c r="E36" i="14"/>
  <c r="E40" i="14"/>
  <c r="E44" i="14"/>
  <c r="E48" i="14"/>
  <c r="E52" i="14"/>
  <c r="E56" i="14"/>
  <c r="E60" i="14"/>
  <c r="E64" i="14"/>
  <c r="E68" i="14"/>
  <c r="E72" i="14"/>
  <c r="E76" i="14"/>
  <c r="E80" i="14"/>
  <c r="E84" i="14"/>
  <c r="E88" i="14"/>
  <c r="E92" i="14"/>
  <c r="E96" i="14"/>
  <c r="E100" i="14"/>
  <c r="E104" i="14"/>
  <c r="E108" i="14"/>
  <c r="E112" i="14"/>
  <c r="E116" i="14"/>
  <c r="E120" i="14"/>
  <c r="E124" i="14"/>
  <c r="E128" i="14"/>
  <c r="E132" i="14"/>
  <c r="E136" i="14"/>
  <c r="E140" i="14"/>
  <c r="E144" i="14"/>
  <c r="E148" i="14"/>
  <c r="E156" i="14"/>
  <c r="E160" i="14"/>
  <c r="E164" i="14"/>
  <c r="E168" i="14"/>
  <c r="E172" i="14"/>
  <c r="E176" i="14"/>
  <c r="E180" i="14"/>
  <c r="E5" i="14"/>
  <c r="E21" i="14"/>
  <c r="E37" i="14"/>
  <c r="E53" i="14"/>
  <c r="E69" i="14"/>
  <c r="E85" i="14"/>
  <c r="E101" i="14"/>
  <c r="E117" i="14"/>
  <c r="E133" i="14"/>
  <c r="E149" i="14"/>
  <c r="E165" i="14"/>
  <c r="E181" i="14"/>
  <c r="C7" i="14"/>
  <c r="C11" i="14"/>
  <c r="C15" i="14"/>
  <c r="C19" i="14"/>
  <c r="C23" i="14"/>
  <c r="C27" i="14"/>
  <c r="C31" i="14"/>
  <c r="C35" i="14"/>
  <c r="C39" i="14"/>
  <c r="C43" i="14"/>
  <c r="C47" i="14"/>
  <c r="C51" i="14"/>
  <c r="C55" i="14"/>
  <c r="C59" i="14"/>
  <c r="C63" i="14"/>
  <c r="C67" i="14"/>
  <c r="C71" i="14"/>
  <c r="C75" i="14"/>
  <c r="C79" i="14"/>
  <c r="C83" i="14"/>
  <c r="C87" i="14"/>
  <c r="C91" i="14"/>
  <c r="C95" i="14"/>
  <c r="C99" i="14"/>
  <c r="C103" i="14"/>
  <c r="C107" i="14"/>
  <c r="C111" i="14"/>
  <c r="C115" i="14"/>
  <c r="C119" i="14"/>
  <c r="C123" i="14"/>
  <c r="C127" i="14"/>
  <c r="C131" i="14"/>
  <c r="C135" i="14"/>
  <c r="C139" i="14"/>
  <c r="C143" i="14"/>
  <c r="C147" i="14"/>
  <c r="C151" i="14"/>
  <c r="C155" i="14"/>
  <c r="C159" i="14"/>
  <c r="C163" i="14"/>
  <c r="C167" i="14"/>
  <c r="C171" i="14"/>
  <c r="C175" i="14"/>
  <c r="C179" i="14"/>
  <c r="E9" i="14"/>
  <c r="E25" i="14"/>
  <c r="E41" i="14"/>
  <c r="E57" i="14"/>
  <c r="E73" i="14"/>
  <c r="E89" i="14"/>
  <c r="E105" i="14"/>
  <c r="E121" i="14"/>
  <c r="E137" i="14"/>
  <c r="E153" i="14"/>
  <c r="E169" i="14"/>
  <c r="C4" i="14"/>
  <c r="C8" i="14"/>
  <c r="C12" i="14"/>
  <c r="C16" i="14"/>
  <c r="C20" i="14"/>
  <c r="C24" i="14"/>
  <c r="C28" i="14"/>
  <c r="C32" i="14"/>
  <c r="C36" i="14"/>
  <c r="C40" i="14"/>
  <c r="C44" i="14"/>
  <c r="C48" i="14"/>
  <c r="C52" i="14"/>
  <c r="C56" i="14"/>
  <c r="C60" i="14"/>
  <c r="C64" i="14"/>
  <c r="C68" i="14"/>
  <c r="C72" i="14"/>
  <c r="C76" i="14"/>
  <c r="C80" i="14"/>
  <c r="C84" i="14"/>
  <c r="C88" i="14"/>
  <c r="C92" i="14"/>
  <c r="C96" i="14"/>
  <c r="C100" i="14"/>
  <c r="C104" i="14"/>
  <c r="C108" i="14"/>
  <c r="C112" i="14"/>
  <c r="C116" i="14"/>
  <c r="C120" i="14"/>
  <c r="C124" i="14"/>
  <c r="C128" i="14"/>
  <c r="C132" i="14"/>
  <c r="C136" i="14"/>
  <c r="C140" i="14"/>
  <c r="C144" i="14"/>
  <c r="C148" i="14"/>
  <c r="C152" i="14"/>
  <c r="C156" i="14"/>
  <c r="C160" i="14"/>
  <c r="C164" i="14"/>
  <c r="C168" i="14"/>
  <c r="C172" i="14"/>
  <c r="C176" i="14"/>
  <c r="C180" i="14"/>
  <c r="E13" i="14"/>
  <c r="E29" i="14"/>
  <c r="E45" i="14"/>
  <c r="E61" i="14"/>
  <c r="E77" i="14"/>
  <c r="E93" i="14"/>
  <c r="E109" i="14"/>
  <c r="E125" i="14"/>
  <c r="E141" i="14"/>
  <c r="C5" i="14"/>
  <c r="C9" i="14"/>
  <c r="C13" i="14"/>
  <c r="C17" i="14"/>
  <c r="C21" i="14"/>
  <c r="C25" i="14"/>
  <c r="C29" i="14"/>
  <c r="C33" i="14"/>
  <c r="C37" i="14"/>
  <c r="C41" i="14"/>
  <c r="C45" i="14"/>
  <c r="C49" i="14"/>
  <c r="C53" i="14"/>
  <c r="C57" i="14"/>
  <c r="C61" i="14"/>
  <c r="C65" i="14"/>
  <c r="C69" i="14"/>
  <c r="C73" i="14"/>
  <c r="C77" i="14"/>
  <c r="C81" i="14"/>
  <c r="C85" i="14"/>
  <c r="C89" i="14"/>
  <c r="C93" i="14"/>
  <c r="C97" i="14"/>
  <c r="C101" i="14"/>
  <c r="C105" i="14"/>
  <c r="C109" i="14"/>
  <c r="C113" i="14"/>
  <c r="C117" i="14"/>
  <c r="C121" i="14"/>
  <c r="C125" i="14"/>
  <c r="C129" i="14"/>
  <c r="C133" i="14"/>
  <c r="C137" i="14"/>
  <c r="C141" i="14"/>
  <c r="C145" i="14"/>
  <c r="C149" i="14"/>
  <c r="C153" i="14"/>
  <c r="C157" i="14"/>
  <c r="C161" i="14"/>
  <c r="C165" i="14"/>
  <c r="C169" i="14"/>
  <c r="C173" i="14"/>
  <c r="C177" i="14"/>
  <c r="C181" i="14"/>
  <c r="E17" i="14"/>
  <c r="E33" i="14"/>
  <c r="E49" i="14"/>
  <c r="E65" i="14"/>
  <c r="E81" i="14"/>
  <c r="E97" i="14"/>
  <c r="E113" i="14"/>
  <c r="E129" i="14"/>
  <c r="E145" i="14"/>
  <c r="E161" i="14"/>
  <c r="E177" i="14"/>
  <c r="C6" i="14"/>
  <c r="C10" i="14"/>
  <c r="C14" i="14"/>
  <c r="C18" i="14"/>
  <c r="C22" i="14"/>
  <c r="C26" i="14"/>
  <c r="C30" i="14"/>
  <c r="C34" i="14"/>
  <c r="C38" i="14"/>
  <c r="C42" i="14"/>
  <c r="C46" i="14"/>
  <c r="C50" i="14"/>
  <c r="C54" i="14"/>
  <c r="C58" i="14"/>
  <c r="C62" i="14"/>
  <c r="C66" i="14"/>
  <c r="C70" i="14"/>
  <c r="C74" i="14"/>
  <c r="C78" i="14"/>
  <c r="C82" i="14"/>
  <c r="C86" i="14"/>
  <c r="C90" i="14"/>
  <c r="C94" i="14"/>
  <c r="C98" i="14"/>
  <c r="C102" i="14"/>
  <c r="C106" i="14"/>
  <c r="C110" i="14"/>
  <c r="C114" i="14"/>
  <c r="C118" i="14"/>
  <c r="C122" i="14"/>
  <c r="C126" i="14"/>
  <c r="C130" i="14"/>
  <c r="C134" i="14"/>
  <c r="C138" i="14"/>
  <c r="C142" i="14"/>
  <c r="C146" i="14"/>
  <c r="C150" i="14"/>
  <c r="C154" i="14"/>
  <c r="C158" i="14"/>
  <c r="C162" i="14"/>
  <c r="C166" i="14"/>
  <c r="C170" i="14"/>
  <c r="C174" i="14"/>
  <c r="C178" i="14"/>
  <c r="C182" i="14"/>
  <c r="G4" i="14"/>
  <c r="G8" i="14"/>
  <c r="G12" i="14"/>
  <c r="G16" i="14"/>
  <c r="G20" i="14"/>
  <c r="G24" i="14"/>
  <c r="G28" i="14"/>
  <c r="G32" i="14"/>
  <c r="G36" i="14"/>
  <c r="G40" i="14"/>
  <c r="G44" i="14"/>
  <c r="G48" i="14"/>
  <c r="G52" i="14"/>
  <c r="G56" i="14"/>
  <c r="G60" i="14"/>
  <c r="G64" i="14"/>
  <c r="G68" i="14"/>
  <c r="G72" i="14"/>
  <c r="G76" i="14"/>
  <c r="G80" i="14"/>
  <c r="G84" i="14"/>
  <c r="G88" i="14"/>
  <c r="G92" i="14"/>
  <c r="G96" i="14"/>
  <c r="G100" i="14"/>
  <c r="G104" i="14"/>
  <c r="G108" i="14"/>
  <c r="G112" i="14"/>
  <c r="G116" i="14"/>
  <c r="G120" i="14"/>
  <c r="G124" i="14"/>
  <c r="G128" i="14"/>
  <c r="G132" i="14"/>
  <c r="G136" i="14"/>
  <c r="G140" i="14"/>
  <c r="G144" i="14"/>
  <c r="G148" i="14"/>
  <c r="G152" i="14"/>
  <c r="G156" i="14"/>
  <c r="G160" i="14"/>
  <c r="G164" i="14"/>
  <c r="G168" i="14"/>
  <c r="G172" i="14"/>
  <c r="G176" i="14"/>
  <c r="G180" i="14"/>
  <c r="G5" i="14"/>
  <c r="G9" i="14"/>
  <c r="G13" i="14"/>
  <c r="G17" i="14"/>
  <c r="G21" i="14"/>
  <c r="G25" i="14"/>
  <c r="G29" i="14"/>
  <c r="G33" i="14"/>
  <c r="G37" i="14"/>
  <c r="G41" i="14"/>
  <c r="G45" i="14"/>
  <c r="G49" i="14"/>
  <c r="G53" i="14"/>
  <c r="G57" i="14"/>
  <c r="G61" i="14"/>
  <c r="G65" i="14"/>
  <c r="G69" i="14"/>
  <c r="G73" i="14"/>
  <c r="G77" i="14"/>
  <c r="G81" i="14"/>
  <c r="G85" i="14"/>
  <c r="G89" i="14"/>
  <c r="G93" i="14"/>
  <c r="G97" i="14"/>
  <c r="G101" i="14"/>
  <c r="G105" i="14"/>
  <c r="G109" i="14"/>
  <c r="G113" i="14"/>
  <c r="G117" i="14"/>
  <c r="G121" i="14"/>
  <c r="G125" i="14"/>
  <c r="G129" i="14"/>
  <c r="G133" i="14"/>
  <c r="G137" i="14"/>
  <c r="G141" i="14"/>
  <c r="G145" i="14"/>
  <c r="G149" i="14"/>
  <c r="G153" i="14"/>
  <c r="G157" i="14"/>
  <c r="G161" i="14"/>
  <c r="G165" i="14"/>
  <c r="G169" i="14"/>
  <c r="G173" i="14"/>
  <c r="G177" i="14"/>
  <c r="G181" i="14"/>
  <c r="G6" i="14"/>
  <c r="G10" i="14"/>
  <c r="G14" i="14"/>
  <c r="G18" i="14"/>
  <c r="G22" i="14"/>
  <c r="G26" i="14"/>
  <c r="G30" i="14"/>
  <c r="G34" i="14"/>
  <c r="G38" i="14"/>
  <c r="G42" i="14"/>
  <c r="G46" i="14"/>
  <c r="G50" i="14"/>
  <c r="G54" i="14"/>
  <c r="G58" i="14"/>
  <c r="G62" i="14"/>
  <c r="G66" i="14"/>
  <c r="G70" i="14"/>
  <c r="G74" i="14"/>
  <c r="G78" i="14"/>
  <c r="G82" i="14"/>
  <c r="G86" i="14"/>
  <c r="G90" i="14"/>
  <c r="G94" i="14"/>
  <c r="G98" i="14"/>
  <c r="G102" i="14"/>
  <c r="G106" i="14"/>
  <c r="G110" i="14"/>
  <c r="G114" i="14"/>
  <c r="G118" i="14"/>
  <c r="G122" i="14"/>
  <c r="G126" i="14"/>
  <c r="G130" i="14"/>
  <c r="G134" i="14"/>
  <c r="G138" i="14"/>
  <c r="G142" i="14"/>
  <c r="G146" i="14"/>
  <c r="G150" i="14"/>
  <c r="G154" i="14"/>
  <c r="G158" i="14"/>
  <c r="G162" i="14"/>
  <c r="G166" i="14"/>
  <c r="G170" i="14"/>
  <c r="G174" i="14"/>
  <c r="G178" i="14"/>
  <c r="G182" i="14"/>
  <c r="G7" i="14"/>
  <c r="G11" i="14"/>
  <c r="G15" i="14"/>
  <c r="G19" i="14"/>
  <c r="G23" i="14"/>
  <c r="G27" i="14"/>
  <c r="G31" i="14"/>
  <c r="G35" i="14"/>
  <c r="G39" i="14"/>
  <c r="G43" i="14"/>
  <c r="G47" i="14"/>
  <c r="G51" i="14"/>
  <c r="G55" i="14"/>
  <c r="G59" i="14"/>
  <c r="G63" i="14"/>
  <c r="G67" i="14"/>
  <c r="G71" i="14"/>
  <c r="G75" i="14"/>
  <c r="G79" i="14"/>
  <c r="G83" i="14"/>
  <c r="G87" i="14"/>
  <c r="G91" i="14"/>
  <c r="G95" i="14"/>
  <c r="G99" i="14"/>
  <c r="G103" i="14"/>
  <c r="G107" i="14"/>
  <c r="G111" i="14"/>
  <c r="G115" i="14"/>
  <c r="G119" i="14"/>
  <c r="G123" i="14"/>
  <c r="G127" i="14"/>
  <c r="G131" i="14"/>
  <c r="G135" i="14"/>
  <c r="G139" i="14"/>
  <c r="G143" i="14"/>
  <c r="G147" i="14"/>
  <c r="G151" i="14"/>
  <c r="G155" i="14"/>
  <c r="G159" i="14"/>
  <c r="G163" i="14"/>
  <c r="G167" i="14"/>
  <c r="G171" i="14"/>
  <c r="G175" i="14"/>
  <c r="G179" i="14"/>
  <c r="C22" i="6"/>
  <c r="C13" i="6"/>
  <c r="C4" i="6"/>
  <c r="C34" i="6"/>
  <c r="C37" i="6"/>
  <c r="C3" i="6"/>
  <c r="C10" i="6"/>
  <c r="C33" i="6"/>
  <c r="C18" i="6"/>
  <c r="C12" i="6"/>
  <c r="C8" i="6"/>
  <c r="E8" i="6" s="1"/>
  <c r="C20" i="6"/>
  <c r="C7" i="6"/>
  <c r="C25" i="6"/>
  <c r="C17" i="6"/>
  <c r="C16" i="6"/>
  <c r="C15" i="6"/>
  <c r="E3" i="9"/>
  <c r="E4" i="9"/>
  <c r="C10" i="5"/>
  <c r="F10" i="5"/>
  <c r="F9" i="5"/>
  <c r="C6" i="5"/>
  <c r="F7" i="5"/>
  <c r="F8" i="5"/>
  <c r="F5" i="5"/>
  <c r="F6" i="5"/>
  <c r="D203" i="14" l="1"/>
  <c r="H203" i="14" s="1"/>
  <c r="E37" i="16"/>
  <c r="H4" i="9" s="1"/>
  <c r="C37" i="16"/>
  <c r="H3" i="9" s="1"/>
  <c r="E6" i="15"/>
  <c r="I130" i="14"/>
  <c r="I114" i="14"/>
  <c r="I98" i="14"/>
  <c r="I66" i="14"/>
  <c r="I50" i="14"/>
  <c r="I34" i="14"/>
  <c r="I18" i="14"/>
  <c r="I176" i="14"/>
  <c r="I160" i="14"/>
  <c r="I128" i="14"/>
  <c r="I112" i="14"/>
  <c r="I96" i="14"/>
  <c r="I80" i="14"/>
  <c r="I64" i="14"/>
  <c r="I48" i="14"/>
  <c r="I32" i="14"/>
  <c r="I16" i="14"/>
  <c r="I134" i="14"/>
  <c r="I102" i="14"/>
  <c r="I86" i="14"/>
  <c r="I70" i="14"/>
  <c r="I54" i="14"/>
  <c r="I22" i="14"/>
  <c r="I6" i="14"/>
  <c r="I180" i="14"/>
  <c r="I164" i="14"/>
  <c r="I148" i="14"/>
  <c r="I132" i="14"/>
  <c r="I116" i="14"/>
  <c r="I100" i="14"/>
  <c r="I84" i="14"/>
  <c r="I68" i="14"/>
  <c r="I52" i="14"/>
  <c r="I36" i="14"/>
  <c r="I20" i="14"/>
  <c r="I4" i="14"/>
  <c r="I28" i="14"/>
  <c r="I12" i="14"/>
  <c r="I78" i="14"/>
  <c r="I62" i="14"/>
  <c r="I46" i="14"/>
  <c r="I30" i="14"/>
  <c r="I14" i="14"/>
  <c r="I172" i="14"/>
  <c r="I156" i="14"/>
  <c r="I140" i="14"/>
  <c r="I124" i="14"/>
  <c r="I108" i="14"/>
  <c r="I92" i="14"/>
  <c r="I76" i="14"/>
  <c r="I60" i="14"/>
  <c r="I44" i="14"/>
  <c r="I110" i="14"/>
  <c r="I94" i="14"/>
  <c r="I122" i="14"/>
  <c r="I106" i="14"/>
  <c r="I90" i="14"/>
  <c r="I74" i="14"/>
  <c r="I58" i="14"/>
  <c r="I42" i="14"/>
  <c r="I26" i="14"/>
  <c r="I10" i="14"/>
  <c r="I168" i="14"/>
  <c r="I152" i="14"/>
  <c r="I136" i="14"/>
  <c r="I120" i="14"/>
  <c r="I104" i="14"/>
  <c r="I88" i="14"/>
  <c r="I72" i="14"/>
  <c r="I56" i="14"/>
  <c r="I40" i="14"/>
  <c r="I24" i="14"/>
  <c r="I8" i="14"/>
  <c r="E36" i="16"/>
  <c r="C36" i="16"/>
  <c r="I204" i="14"/>
  <c r="D204" i="14"/>
  <c r="N204" i="14" s="1"/>
  <c r="I203" i="14"/>
  <c r="I202" i="14"/>
  <c r="I38" i="14"/>
  <c r="I201" i="14"/>
  <c r="I200" i="14"/>
  <c r="I197" i="14"/>
  <c r="I199" i="14"/>
  <c r="I196" i="14"/>
  <c r="I198" i="14"/>
  <c r="I195" i="14"/>
  <c r="I193" i="14"/>
  <c r="I194" i="14"/>
  <c r="I190" i="14"/>
  <c r="I192" i="14"/>
  <c r="I191" i="14"/>
  <c r="I189" i="14"/>
  <c r="I188" i="14"/>
  <c r="I187" i="14"/>
  <c r="I82" i="14"/>
  <c r="I118" i="14"/>
  <c r="I186" i="14"/>
  <c r="I185" i="14"/>
  <c r="I184" i="14"/>
  <c r="I144" i="14"/>
  <c r="I126" i="14"/>
  <c r="K3" i="14"/>
  <c r="L3" i="14"/>
  <c r="M3" i="14" s="1"/>
  <c r="I183" i="14"/>
  <c r="I178" i="14"/>
  <c r="I170" i="14"/>
  <c r="I154" i="14"/>
  <c r="I138" i="14"/>
  <c r="I173" i="14"/>
  <c r="I157" i="14"/>
  <c r="I141" i="14"/>
  <c r="I125" i="14"/>
  <c r="I109" i="14"/>
  <c r="I93" i="14"/>
  <c r="I77" i="14"/>
  <c r="I61" i="14"/>
  <c r="I45" i="14"/>
  <c r="I29" i="14"/>
  <c r="I13" i="14"/>
  <c r="I175" i="14"/>
  <c r="I159" i="14"/>
  <c r="I143" i="14"/>
  <c r="I127" i="14"/>
  <c r="I111" i="14"/>
  <c r="I95" i="14"/>
  <c r="I79" i="14"/>
  <c r="I63" i="14"/>
  <c r="I47" i="14"/>
  <c r="I31" i="14"/>
  <c r="I15" i="14"/>
  <c r="I182" i="14"/>
  <c r="I166" i="14"/>
  <c r="I150" i="14"/>
  <c r="I169" i="14"/>
  <c r="I153" i="14"/>
  <c r="I137" i="14"/>
  <c r="I121" i="14"/>
  <c r="I105" i="14"/>
  <c r="I89" i="14"/>
  <c r="I73" i="14"/>
  <c r="I57" i="14"/>
  <c r="I41" i="14"/>
  <c r="I25" i="14"/>
  <c r="I9" i="14"/>
  <c r="I171" i="14"/>
  <c r="I155" i="14"/>
  <c r="I139" i="14"/>
  <c r="I123" i="14"/>
  <c r="I107" i="14"/>
  <c r="I91" i="14"/>
  <c r="I75" i="14"/>
  <c r="I59" i="14"/>
  <c r="I43" i="14"/>
  <c r="I27" i="14"/>
  <c r="I11" i="14"/>
  <c r="I162" i="14"/>
  <c r="I146" i="14"/>
  <c r="I181" i="14"/>
  <c r="I165" i="14"/>
  <c r="I149" i="14"/>
  <c r="I133" i="14"/>
  <c r="I117" i="14"/>
  <c r="I101" i="14"/>
  <c r="I85" i="14"/>
  <c r="I69" i="14"/>
  <c r="I53" i="14"/>
  <c r="I37" i="14"/>
  <c r="I21" i="14"/>
  <c r="I5" i="14"/>
  <c r="I167" i="14"/>
  <c r="I151" i="14"/>
  <c r="I135" i="14"/>
  <c r="I119" i="14"/>
  <c r="I103" i="14"/>
  <c r="I87" i="14"/>
  <c r="I71" i="14"/>
  <c r="I55" i="14"/>
  <c r="I39" i="14"/>
  <c r="I23" i="14"/>
  <c r="I7" i="14"/>
  <c r="I174" i="14"/>
  <c r="I158" i="14"/>
  <c r="I142" i="14"/>
  <c r="I177" i="14"/>
  <c r="I161" i="14"/>
  <c r="I145" i="14"/>
  <c r="I129" i="14"/>
  <c r="I113" i="14"/>
  <c r="I97" i="14"/>
  <c r="I81" i="14"/>
  <c r="I65" i="14"/>
  <c r="I49" i="14"/>
  <c r="I33" i="14"/>
  <c r="I17" i="14"/>
  <c r="I179" i="14"/>
  <c r="I163" i="14"/>
  <c r="I147" i="14"/>
  <c r="I131" i="14"/>
  <c r="I115" i="14"/>
  <c r="I99" i="14"/>
  <c r="I83" i="14"/>
  <c r="I67" i="14"/>
  <c r="I51" i="14"/>
  <c r="I35" i="14"/>
  <c r="I19" i="14"/>
  <c r="E3" i="14"/>
  <c r="C3" i="14"/>
  <c r="G3" i="14"/>
  <c r="N203" i="14" l="1"/>
  <c r="O203" i="14" s="1"/>
  <c r="J203" i="14"/>
  <c r="J204" i="14"/>
  <c r="H204" i="14"/>
  <c r="O204" i="14" s="1"/>
  <c r="I3" i="14"/>
  <c r="M270" i="11"/>
  <c r="E7" i="15" s="1"/>
  <c r="E270" i="11"/>
  <c r="M291" i="11"/>
  <c r="E8" i="15" s="1"/>
  <c r="E291" i="11"/>
  <c r="E290" i="11"/>
  <c r="E289" i="11"/>
  <c r="E288" i="11"/>
  <c r="E287" i="11"/>
  <c r="E286" i="11"/>
  <c r="E276" i="11"/>
  <c r="E275" i="11"/>
  <c r="E337" i="11"/>
  <c r="E285" i="11"/>
  <c r="E284" i="11"/>
  <c r="E283" i="11"/>
  <c r="E282" i="11"/>
  <c r="E281" i="11"/>
  <c r="E280" i="11"/>
  <c r="E279" i="11"/>
  <c r="E269" i="11"/>
  <c r="E268" i="11"/>
  <c r="E267" i="11"/>
  <c r="E266" i="11"/>
  <c r="E265" i="11"/>
  <c r="E264" i="11"/>
  <c r="E258" i="11"/>
  <c r="E259" i="11"/>
  <c r="E271" i="11"/>
  <c r="E272" i="11"/>
  <c r="E273" i="11"/>
  <c r="E274" i="11"/>
  <c r="E257" i="11"/>
  <c r="E256" i="11"/>
  <c r="E255" i="11"/>
  <c r="E254" i="11"/>
  <c r="E253" i="11"/>
  <c r="E252" i="11"/>
  <c r="E251" i="11"/>
  <c r="E250" i="11"/>
  <c r="E249" i="11"/>
  <c r="E248" i="11"/>
  <c r="E247" i="11"/>
  <c r="E244" i="11"/>
  <c r="E243"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84" i="11"/>
  <c r="E85" i="11"/>
  <c r="E86" i="11"/>
  <c r="E87" i="11"/>
  <c r="E89" i="11"/>
  <c r="E90" i="11"/>
  <c r="E91" i="11"/>
  <c r="E92" i="11"/>
  <c r="E93" i="11"/>
  <c r="E94" i="11"/>
  <c r="E95" i="11"/>
  <c r="E96" i="11"/>
  <c r="E97" i="11"/>
  <c r="E98" i="11"/>
  <c r="E99" i="11"/>
  <c r="E100" i="11"/>
  <c r="E101" i="11"/>
  <c r="E102" i="11"/>
  <c r="E103" i="11"/>
  <c r="E104" i="11"/>
  <c r="E105" i="11"/>
  <c r="E106" i="11"/>
  <c r="E107" i="11"/>
  <c r="E108" i="11"/>
  <c r="E110" i="11"/>
  <c r="E111" i="11"/>
  <c r="E112" i="11"/>
  <c r="E113" i="11"/>
  <c r="E114" i="11"/>
  <c r="E115" i="11"/>
  <c r="E117" i="11"/>
  <c r="E118" i="11"/>
  <c r="E119" i="11"/>
  <c r="E120" i="11"/>
  <c r="E121" i="11"/>
  <c r="E122" i="11"/>
  <c r="E124" i="11"/>
  <c r="E125" i="11"/>
  <c r="E126" i="11"/>
  <c r="E127" i="11"/>
  <c r="E128" i="11"/>
  <c r="E129" i="11"/>
  <c r="E130" i="11"/>
  <c r="E132" i="11"/>
  <c r="E133" i="11"/>
  <c r="E135" i="11"/>
  <c r="E136" i="11"/>
  <c r="E137" i="11"/>
  <c r="E139" i="11"/>
  <c r="E140" i="11"/>
  <c r="E141" i="11"/>
  <c r="E144" i="11"/>
  <c r="E145" i="11"/>
  <c r="E146" i="11"/>
  <c r="E147" i="11"/>
  <c r="E148" i="11"/>
  <c r="E149" i="11"/>
  <c r="E150" i="11"/>
  <c r="E151" i="11"/>
  <c r="E152" i="11"/>
  <c r="E153" i="11"/>
  <c r="E154" i="11"/>
  <c r="E155" i="11"/>
  <c r="E338" i="11"/>
  <c r="E156" i="11"/>
  <c r="E226" i="11"/>
  <c r="E227" i="11"/>
  <c r="E228" i="11"/>
  <c r="E229" i="11"/>
  <c r="E230" i="11"/>
  <c r="E231" i="11"/>
  <c r="E232" i="11"/>
  <c r="E233" i="11"/>
  <c r="E234" i="11"/>
  <c r="E235" i="11"/>
  <c r="E236" i="11"/>
  <c r="E237" i="11"/>
  <c r="E238" i="11"/>
  <c r="E239" i="11"/>
  <c r="E240" i="11"/>
  <c r="E241" i="11"/>
  <c r="E242" i="11"/>
  <c r="E158" i="11"/>
  <c r="E159" i="11"/>
  <c r="E160" i="11"/>
  <c r="E161" i="11"/>
  <c r="E162" i="11"/>
  <c r="E163" i="11"/>
  <c r="E164" i="11"/>
  <c r="E165" i="11"/>
  <c r="E166" i="11"/>
  <c r="E167" i="11"/>
  <c r="E169" i="11"/>
  <c r="E170" i="11"/>
  <c r="E179" i="11"/>
  <c r="E180" i="11"/>
  <c r="E181" i="11"/>
  <c r="E182" i="11"/>
  <c r="E184" i="11"/>
  <c r="E185" i="11"/>
  <c r="E186" i="11"/>
  <c r="E194" i="11"/>
  <c r="E195" i="11"/>
  <c r="E109" i="11"/>
  <c r="E210" i="11"/>
  <c r="E211" i="11"/>
  <c r="E212" i="11"/>
  <c r="E213" i="11"/>
  <c r="E214" i="11"/>
  <c r="E215" i="11"/>
  <c r="E216" i="11"/>
  <c r="E217" i="11"/>
  <c r="E218" i="11"/>
  <c r="E219" i="11"/>
  <c r="E220" i="11"/>
  <c r="E221" i="11"/>
  <c r="E222" i="11"/>
  <c r="E223" i="11"/>
  <c r="E262" i="11"/>
  <c r="E263" i="11"/>
  <c r="B305" i="8"/>
  <c r="B304" i="8"/>
  <c r="B303" i="8"/>
  <c r="B302" i="8"/>
  <c r="B301" i="8"/>
  <c r="B300" i="8"/>
  <c r="B299" i="8"/>
  <c r="B298" i="8"/>
  <c r="B297" i="8"/>
  <c r="B296" i="8"/>
  <c r="B295" i="8"/>
  <c r="B294" i="8"/>
  <c r="B293" i="8"/>
  <c r="B292" i="8"/>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E221" i="8"/>
  <c r="E225" i="8"/>
  <c r="E233" i="8"/>
  <c r="M1227" i="11" l="1"/>
  <c r="D210" i="8"/>
  <c r="J210" i="8"/>
  <c r="D214" i="8"/>
  <c r="J214" i="8"/>
  <c r="D218" i="8"/>
  <c r="J218" i="8"/>
  <c r="D222" i="8"/>
  <c r="J222" i="8"/>
  <c r="D226" i="8"/>
  <c r="J226" i="8"/>
  <c r="D230" i="8"/>
  <c r="J230" i="8"/>
  <c r="D234" i="8"/>
  <c r="J234" i="8"/>
  <c r="D238" i="8"/>
  <c r="J238" i="8"/>
  <c r="D242" i="8"/>
  <c r="J242" i="8"/>
  <c r="D246" i="8"/>
  <c r="J246" i="8"/>
  <c r="D250" i="8"/>
  <c r="J250" i="8"/>
  <c r="D254" i="8"/>
  <c r="J254" i="8"/>
  <c r="D258" i="8"/>
  <c r="J258" i="8"/>
  <c r="D262" i="8"/>
  <c r="J262" i="8"/>
  <c r="D266" i="8"/>
  <c r="J266" i="8"/>
  <c r="D270" i="8"/>
  <c r="J270" i="8"/>
  <c r="D274" i="8"/>
  <c r="J274" i="8"/>
  <c r="D278" i="8"/>
  <c r="J278" i="8"/>
  <c r="D282" i="8"/>
  <c r="J282" i="8"/>
  <c r="D286" i="8"/>
  <c r="J286" i="8"/>
  <c r="D290" i="8"/>
  <c r="J290" i="8"/>
  <c r="D294" i="8"/>
  <c r="J294" i="8"/>
  <c r="D298" i="8"/>
  <c r="J298" i="8"/>
  <c r="D302" i="8"/>
  <c r="J302" i="8"/>
  <c r="D211" i="8"/>
  <c r="J211" i="8"/>
  <c r="D215" i="8"/>
  <c r="J215" i="8"/>
  <c r="D219" i="8"/>
  <c r="J219" i="8"/>
  <c r="D223" i="8"/>
  <c r="J223" i="8"/>
  <c r="D227" i="8"/>
  <c r="J227" i="8"/>
  <c r="D231" i="8"/>
  <c r="J231" i="8"/>
  <c r="D235" i="8"/>
  <c r="J235" i="8"/>
  <c r="D239" i="8"/>
  <c r="J239" i="8"/>
  <c r="D243" i="8"/>
  <c r="J243" i="8"/>
  <c r="D247" i="8"/>
  <c r="J247" i="8"/>
  <c r="D251" i="8"/>
  <c r="J251" i="8"/>
  <c r="D255" i="8"/>
  <c r="J255" i="8"/>
  <c r="D259" i="8"/>
  <c r="J259" i="8"/>
  <c r="D263" i="8"/>
  <c r="J263" i="8"/>
  <c r="D267" i="8"/>
  <c r="J267" i="8"/>
  <c r="D271" i="8"/>
  <c r="J271" i="8"/>
  <c r="D275" i="8"/>
  <c r="J275" i="8"/>
  <c r="D279" i="8"/>
  <c r="J279" i="8"/>
  <c r="D283" i="8"/>
  <c r="J283" i="8"/>
  <c r="D287" i="8"/>
  <c r="J287" i="8"/>
  <c r="D291" i="8"/>
  <c r="J291" i="8"/>
  <c r="D295" i="8"/>
  <c r="J295" i="8"/>
  <c r="D299" i="8"/>
  <c r="J299" i="8"/>
  <c r="D303" i="8"/>
  <c r="J303" i="8"/>
  <c r="D212" i="8"/>
  <c r="J212" i="8"/>
  <c r="D216" i="8"/>
  <c r="J216" i="8"/>
  <c r="D220" i="8"/>
  <c r="J220" i="8"/>
  <c r="D224" i="8"/>
  <c r="J224" i="8"/>
  <c r="D228" i="8"/>
  <c r="J228" i="8"/>
  <c r="D232" i="8"/>
  <c r="J232" i="8"/>
  <c r="D236" i="8"/>
  <c r="J236" i="8"/>
  <c r="D240" i="8"/>
  <c r="J240" i="8"/>
  <c r="D244" i="8"/>
  <c r="J244" i="8"/>
  <c r="D248" i="8"/>
  <c r="J248" i="8"/>
  <c r="D252" i="8"/>
  <c r="J252" i="8"/>
  <c r="D256" i="8"/>
  <c r="J256" i="8"/>
  <c r="D260" i="8"/>
  <c r="J260" i="8"/>
  <c r="D264" i="8"/>
  <c r="J264" i="8"/>
  <c r="D268" i="8"/>
  <c r="J268" i="8"/>
  <c r="D272" i="8"/>
  <c r="J272" i="8"/>
  <c r="D276" i="8"/>
  <c r="J276" i="8"/>
  <c r="D280" i="8"/>
  <c r="J280" i="8"/>
  <c r="D284" i="8"/>
  <c r="J284" i="8"/>
  <c r="D288" i="8"/>
  <c r="J288" i="8"/>
  <c r="D292" i="8"/>
  <c r="J292" i="8"/>
  <c r="D296" i="8"/>
  <c r="J296" i="8"/>
  <c r="D300" i="8"/>
  <c r="J300" i="8"/>
  <c r="D304" i="8"/>
  <c r="J304" i="8"/>
  <c r="D209" i="8"/>
  <c r="J209" i="8"/>
  <c r="D213" i="8"/>
  <c r="J213" i="8"/>
  <c r="D217" i="8"/>
  <c r="J217" i="8"/>
  <c r="D221" i="8"/>
  <c r="F221" i="8" s="1"/>
  <c r="J221" i="8"/>
  <c r="D225" i="8"/>
  <c r="F225" i="8" s="1"/>
  <c r="J225" i="8"/>
  <c r="D229" i="8"/>
  <c r="J229" i="8"/>
  <c r="D233" i="8"/>
  <c r="J233" i="8"/>
  <c r="D237" i="8"/>
  <c r="J237" i="8"/>
  <c r="D241" i="8"/>
  <c r="J241" i="8"/>
  <c r="D245" i="8"/>
  <c r="J245" i="8"/>
  <c r="D249" i="8"/>
  <c r="J249" i="8"/>
  <c r="D253" i="8"/>
  <c r="J253" i="8"/>
  <c r="D257" i="8"/>
  <c r="J257" i="8"/>
  <c r="D261" i="8"/>
  <c r="J261" i="8"/>
  <c r="D265" i="8"/>
  <c r="J265" i="8"/>
  <c r="D269" i="8"/>
  <c r="J269" i="8"/>
  <c r="D273" i="8"/>
  <c r="J273" i="8"/>
  <c r="D277" i="8"/>
  <c r="J277" i="8"/>
  <c r="D281" i="8"/>
  <c r="J281" i="8"/>
  <c r="D285" i="8"/>
  <c r="J285" i="8"/>
  <c r="D289" i="8"/>
  <c r="J289" i="8"/>
  <c r="D293" i="8"/>
  <c r="J293" i="8"/>
  <c r="D297" i="8"/>
  <c r="J297" i="8"/>
  <c r="D301" i="8"/>
  <c r="J301" i="8"/>
  <c r="D305" i="8"/>
  <c r="J305" i="8"/>
  <c r="G305" i="8"/>
  <c r="G301" i="8"/>
  <c r="G297" i="8"/>
  <c r="G293" i="8"/>
  <c r="G289" i="8"/>
  <c r="G285" i="8"/>
  <c r="G281" i="8"/>
  <c r="G277" i="8"/>
  <c r="G273" i="8"/>
  <c r="G269" i="8"/>
  <c r="G265" i="8"/>
  <c r="G261" i="8"/>
  <c r="G257" i="8"/>
  <c r="G253" i="8"/>
  <c r="G249" i="8"/>
  <c r="G245" i="8"/>
  <c r="G241" i="8"/>
  <c r="G237" i="8"/>
  <c r="G233" i="8"/>
  <c r="G229" i="8"/>
  <c r="G225" i="8"/>
  <c r="G221" i="8"/>
  <c r="G217" i="8"/>
  <c r="G213" i="8"/>
  <c r="G209" i="8"/>
  <c r="G304" i="8"/>
  <c r="G300" i="8"/>
  <c r="G296" i="8"/>
  <c r="G292" i="8"/>
  <c r="G288" i="8"/>
  <c r="G284" i="8"/>
  <c r="G280" i="8"/>
  <c r="G276" i="8"/>
  <c r="G272" i="8"/>
  <c r="G268" i="8"/>
  <c r="G264" i="8"/>
  <c r="G260" i="8"/>
  <c r="G256" i="8"/>
  <c r="G252" i="8"/>
  <c r="G248" i="8"/>
  <c r="G244" i="8"/>
  <c r="G240" i="8"/>
  <c r="G236" i="8"/>
  <c r="G232" i="8"/>
  <c r="G228" i="8"/>
  <c r="G224" i="8"/>
  <c r="G220" i="8"/>
  <c r="G216" i="8"/>
  <c r="G212" i="8"/>
  <c r="G303" i="8"/>
  <c r="G299" i="8"/>
  <c r="G295" i="8"/>
  <c r="G291" i="8"/>
  <c r="G287" i="8"/>
  <c r="G283" i="8"/>
  <c r="G279" i="8"/>
  <c r="G275" i="8"/>
  <c r="G271" i="8"/>
  <c r="G267" i="8"/>
  <c r="G263" i="8"/>
  <c r="G259" i="8"/>
  <c r="G255" i="8"/>
  <c r="G251" i="8"/>
  <c r="G247" i="8"/>
  <c r="G243" i="8"/>
  <c r="G239" i="8"/>
  <c r="G235" i="8"/>
  <c r="G231" i="8"/>
  <c r="G227" i="8"/>
  <c r="G223" i="8"/>
  <c r="G219" i="8"/>
  <c r="G215" i="8"/>
  <c r="G211" i="8"/>
  <c r="G302" i="8"/>
  <c r="G298" i="8"/>
  <c r="G294" i="8"/>
  <c r="G290" i="8"/>
  <c r="G286" i="8"/>
  <c r="G282" i="8"/>
  <c r="G278" i="8"/>
  <c r="G274" i="8"/>
  <c r="G270" i="8"/>
  <c r="G266" i="8"/>
  <c r="G262" i="8"/>
  <c r="G258" i="8"/>
  <c r="G254" i="8"/>
  <c r="G250" i="8"/>
  <c r="G246" i="8"/>
  <c r="G242" i="8"/>
  <c r="G238" i="8"/>
  <c r="G234" i="8"/>
  <c r="G230" i="8"/>
  <c r="G226" i="8"/>
  <c r="G222" i="8"/>
  <c r="G218" i="8"/>
  <c r="G214" i="8"/>
  <c r="G210" i="8"/>
  <c r="H305" i="8"/>
  <c r="H301" i="8"/>
  <c r="H297" i="8"/>
  <c r="H293" i="8"/>
  <c r="H289" i="8"/>
  <c r="H285" i="8"/>
  <c r="H281" i="8"/>
  <c r="H277" i="8"/>
  <c r="H273" i="8"/>
  <c r="H269" i="8"/>
  <c r="H265" i="8"/>
  <c r="H261" i="8"/>
  <c r="H257" i="8"/>
  <c r="H253" i="8"/>
  <c r="H249" i="8"/>
  <c r="H245" i="8"/>
  <c r="H241" i="8"/>
  <c r="H237" i="8"/>
  <c r="H233" i="8"/>
  <c r="H229" i="8"/>
  <c r="H225" i="8"/>
  <c r="H221" i="8"/>
  <c r="H217" i="8"/>
  <c r="H213" i="8"/>
  <c r="H209" i="8"/>
  <c r="H304" i="8"/>
  <c r="H300" i="8"/>
  <c r="H296" i="8"/>
  <c r="H292" i="8"/>
  <c r="H288" i="8"/>
  <c r="H284" i="8"/>
  <c r="H280" i="8"/>
  <c r="H276" i="8"/>
  <c r="H272" i="8"/>
  <c r="H268" i="8"/>
  <c r="H264" i="8"/>
  <c r="H260" i="8"/>
  <c r="H256" i="8"/>
  <c r="H252" i="8"/>
  <c r="H248" i="8"/>
  <c r="H244" i="8"/>
  <c r="H240" i="8"/>
  <c r="H236" i="8"/>
  <c r="H232" i="8"/>
  <c r="H228" i="8"/>
  <c r="H224" i="8"/>
  <c r="H220" i="8"/>
  <c r="H216" i="8"/>
  <c r="H212" i="8"/>
  <c r="H303" i="8"/>
  <c r="H299" i="8"/>
  <c r="H295" i="8"/>
  <c r="H291" i="8"/>
  <c r="H287" i="8"/>
  <c r="H283" i="8"/>
  <c r="H279" i="8"/>
  <c r="H275" i="8"/>
  <c r="H271" i="8"/>
  <c r="H267" i="8"/>
  <c r="H263" i="8"/>
  <c r="H259" i="8"/>
  <c r="H255" i="8"/>
  <c r="H251" i="8"/>
  <c r="H247" i="8"/>
  <c r="H243" i="8"/>
  <c r="H239" i="8"/>
  <c r="H235" i="8"/>
  <c r="H231" i="8"/>
  <c r="H227" i="8"/>
  <c r="H223" i="8"/>
  <c r="H219" i="8"/>
  <c r="H215" i="8"/>
  <c r="H211" i="8"/>
  <c r="H302" i="8"/>
  <c r="H298" i="8"/>
  <c r="H294" i="8"/>
  <c r="H290" i="8"/>
  <c r="H286" i="8"/>
  <c r="H282" i="8"/>
  <c r="H278" i="8"/>
  <c r="H274" i="8"/>
  <c r="H270" i="8"/>
  <c r="H266" i="8"/>
  <c r="H262" i="8"/>
  <c r="H258" i="8"/>
  <c r="H254" i="8"/>
  <c r="H250" i="8"/>
  <c r="H246" i="8"/>
  <c r="H242" i="8"/>
  <c r="H238" i="8"/>
  <c r="H234" i="8"/>
  <c r="H230" i="8"/>
  <c r="H226" i="8"/>
  <c r="H222" i="8"/>
  <c r="H218" i="8"/>
  <c r="H214" i="8"/>
  <c r="H210" i="8"/>
  <c r="D201" i="14"/>
  <c r="D200" i="14"/>
  <c r="N200" i="14" s="1"/>
  <c r="E303" i="8"/>
  <c r="F303" i="8" s="1"/>
  <c r="E299" i="8"/>
  <c r="F299" i="8" s="1"/>
  <c r="E295" i="8"/>
  <c r="E291" i="8"/>
  <c r="F291" i="8" s="1"/>
  <c r="E287" i="8"/>
  <c r="F287" i="8" s="1"/>
  <c r="E283" i="8"/>
  <c r="F283" i="8" s="1"/>
  <c r="E279" i="8"/>
  <c r="E275" i="8"/>
  <c r="F275" i="8" s="1"/>
  <c r="E271" i="8"/>
  <c r="F271" i="8" s="1"/>
  <c r="E267" i="8"/>
  <c r="F267" i="8" s="1"/>
  <c r="E263" i="8"/>
  <c r="E259" i="8"/>
  <c r="F259" i="8" s="1"/>
  <c r="E255" i="8"/>
  <c r="F255" i="8" s="1"/>
  <c r="E251" i="8"/>
  <c r="F251" i="8" s="1"/>
  <c r="E302" i="8"/>
  <c r="E298" i="8"/>
  <c r="E294" i="8"/>
  <c r="E290" i="8"/>
  <c r="E286" i="8"/>
  <c r="E282" i="8"/>
  <c r="E278" i="8"/>
  <c r="E274" i="8"/>
  <c r="E270" i="8"/>
  <c r="E266" i="8"/>
  <c r="E262" i="8"/>
  <c r="E258" i="8"/>
  <c r="E254" i="8"/>
  <c r="E305" i="8"/>
  <c r="F305" i="8" s="1"/>
  <c r="E301" i="8"/>
  <c r="E297" i="8"/>
  <c r="E293" i="8"/>
  <c r="E289" i="8"/>
  <c r="E285" i="8"/>
  <c r="E281" i="8"/>
  <c r="E277" i="8"/>
  <c r="E273" i="8"/>
  <c r="E269" i="8"/>
  <c r="E265" i="8"/>
  <c r="E261" i="8"/>
  <c r="E257" i="8"/>
  <c r="E253" i="8"/>
  <c r="F253" i="8" s="1"/>
  <c r="E304" i="8"/>
  <c r="E300" i="8"/>
  <c r="E296" i="8"/>
  <c r="E292" i="8"/>
  <c r="E288" i="8"/>
  <c r="E284" i="8"/>
  <c r="E280" i="8"/>
  <c r="E276" i="8"/>
  <c r="E272" i="8"/>
  <c r="E268" i="8"/>
  <c r="E264" i="8"/>
  <c r="E260" i="8"/>
  <c r="E256" i="8"/>
  <c r="E252" i="8"/>
  <c r="E248" i="8"/>
  <c r="D197" i="14"/>
  <c r="N197" i="14" s="1"/>
  <c r="E244" i="8"/>
  <c r="D193" i="14"/>
  <c r="N193" i="14" s="1"/>
  <c r="E240" i="8"/>
  <c r="E236" i="8"/>
  <c r="E232" i="8"/>
  <c r="E228" i="8"/>
  <c r="E224" i="8"/>
  <c r="E220" i="8"/>
  <c r="E216" i="8"/>
  <c r="E212" i="8"/>
  <c r="E247" i="8"/>
  <c r="D196" i="14"/>
  <c r="N196" i="14" s="1"/>
  <c r="E243" i="8"/>
  <c r="D192" i="14"/>
  <c r="N192" i="14" s="1"/>
  <c r="E239" i="8"/>
  <c r="E235" i="8"/>
  <c r="F235" i="8" s="1"/>
  <c r="E231" i="8"/>
  <c r="E227" i="8"/>
  <c r="F227" i="8" s="1"/>
  <c r="E223" i="8"/>
  <c r="E219" i="8"/>
  <c r="F219" i="8" s="1"/>
  <c r="E215" i="8"/>
  <c r="E211" i="8"/>
  <c r="F211" i="8" s="1"/>
  <c r="E250" i="8"/>
  <c r="D199" i="14"/>
  <c r="N199" i="14" s="1"/>
  <c r="E246" i="8"/>
  <c r="D195" i="14"/>
  <c r="N195" i="14" s="1"/>
  <c r="E242" i="8"/>
  <c r="D191" i="14"/>
  <c r="N191" i="14" s="1"/>
  <c r="E238" i="8"/>
  <c r="E234" i="8"/>
  <c r="E230" i="8"/>
  <c r="E226" i="8"/>
  <c r="E222" i="8"/>
  <c r="E218" i="8"/>
  <c r="E214" i="8"/>
  <c r="E210" i="8"/>
  <c r="E249" i="8"/>
  <c r="D198" i="14"/>
  <c r="N198" i="14" s="1"/>
  <c r="E245" i="8"/>
  <c r="D194" i="14"/>
  <c r="N194" i="14" s="1"/>
  <c r="E241" i="8"/>
  <c r="D190" i="14"/>
  <c r="N190" i="14" s="1"/>
  <c r="E237" i="8"/>
  <c r="E217" i="8"/>
  <c r="E213" i="8"/>
  <c r="E209" i="8"/>
  <c r="E229" i="8"/>
  <c r="F233" i="8"/>
  <c r="F247" i="8" l="1"/>
  <c r="F261" i="8"/>
  <c r="F263" i="8"/>
  <c r="F279" i="8"/>
  <c r="K279" i="8" s="1"/>
  <c r="F295" i="8"/>
  <c r="F223" i="8"/>
  <c r="F215" i="8"/>
  <c r="F231" i="8"/>
  <c r="K231" i="8" s="1"/>
  <c r="F243" i="8"/>
  <c r="K243" i="8" s="1"/>
  <c r="F239" i="8"/>
  <c r="K239" i="8" s="1"/>
  <c r="K211" i="8"/>
  <c r="K219" i="8"/>
  <c r="K227" i="8"/>
  <c r="K235" i="8"/>
  <c r="K251" i="8"/>
  <c r="K259" i="8"/>
  <c r="K267" i="8"/>
  <c r="K275" i="8"/>
  <c r="K283" i="8"/>
  <c r="K291" i="8"/>
  <c r="K299" i="8"/>
  <c r="K221" i="8"/>
  <c r="K225" i="8"/>
  <c r="F209" i="8"/>
  <c r="K209" i="8" s="1"/>
  <c r="F217" i="8"/>
  <c r="K217" i="8" s="1"/>
  <c r="F241" i="8"/>
  <c r="K241" i="8" s="1"/>
  <c r="F249" i="8"/>
  <c r="K249" i="8" s="1"/>
  <c r="F214" i="8"/>
  <c r="K214" i="8" s="1"/>
  <c r="F222" i="8"/>
  <c r="K222" i="8" s="1"/>
  <c r="F230" i="8"/>
  <c r="K230" i="8" s="1"/>
  <c r="F238" i="8"/>
  <c r="K238" i="8" s="1"/>
  <c r="F246" i="8"/>
  <c r="K246" i="8" s="1"/>
  <c r="F212" i="8"/>
  <c r="K212" i="8" s="1"/>
  <c r="F220" i="8"/>
  <c r="K220" i="8" s="1"/>
  <c r="F228" i="8"/>
  <c r="K228" i="8" s="1"/>
  <c r="F236" i="8"/>
  <c r="K236" i="8" s="1"/>
  <c r="F244" i="8"/>
  <c r="K244" i="8" s="1"/>
  <c r="F252" i="8"/>
  <c r="K252" i="8" s="1"/>
  <c r="F260" i="8"/>
  <c r="K260" i="8" s="1"/>
  <c r="F268" i="8"/>
  <c r="K268" i="8" s="1"/>
  <c r="F276" i="8"/>
  <c r="K276" i="8" s="1"/>
  <c r="F284" i="8"/>
  <c r="K284" i="8" s="1"/>
  <c r="F292" i="8"/>
  <c r="K292" i="8" s="1"/>
  <c r="F300" i="8"/>
  <c r="K300" i="8" s="1"/>
  <c r="F254" i="8"/>
  <c r="K254" i="8" s="1"/>
  <c r="F262" i="8"/>
  <c r="K262" i="8" s="1"/>
  <c r="F270" i="8"/>
  <c r="K270" i="8" s="1"/>
  <c r="F278" i="8"/>
  <c r="K278" i="8" s="1"/>
  <c r="F286" i="8"/>
  <c r="K286" i="8" s="1"/>
  <c r="F294" i="8"/>
  <c r="K294" i="8" s="1"/>
  <c r="F302" i="8"/>
  <c r="K302" i="8" s="1"/>
  <c r="F257" i="8"/>
  <c r="K257" i="8" s="1"/>
  <c r="F265" i="8"/>
  <c r="K265" i="8" s="1"/>
  <c r="F273" i="8"/>
  <c r="K273" i="8" s="1"/>
  <c r="F281" i="8"/>
  <c r="K281" i="8" s="1"/>
  <c r="F289" i="8"/>
  <c r="K289" i="8" s="1"/>
  <c r="F297" i="8"/>
  <c r="K297" i="8" s="1"/>
  <c r="K233" i="8"/>
  <c r="K215" i="8"/>
  <c r="K223" i="8"/>
  <c r="K247" i="8"/>
  <c r="K255" i="8"/>
  <c r="K263" i="8"/>
  <c r="K271" i="8"/>
  <c r="K287" i="8"/>
  <c r="K295" i="8"/>
  <c r="K303" i="8"/>
  <c r="F213" i="8"/>
  <c r="K213" i="8" s="1"/>
  <c r="F237" i="8"/>
  <c r="K237" i="8" s="1"/>
  <c r="F245" i="8"/>
  <c r="K245" i="8" s="1"/>
  <c r="F210" i="8"/>
  <c r="K210" i="8" s="1"/>
  <c r="F218" i="8"/>
  <c r="K218" i="8" s="1"/>
  <c r="F226" i="8"/>
  <c r="K226" i="8" s="1"/>
  <c r="F234" i="8"/>
  <c r="K234" i="8" s="1"/>
  <c r="F242" i="8"/>
  <c r="K242" i="8" s="1"/>
  <c r="F250" i="8"/>
  <c r="K250" i="8" s="1"/>
  <c r="F216" i="8"/>
  <c r="K216" i="8" s="1"/>
  <c r="F224" i="8"/>
  <c r="K224" i="8" s="1"/>
  <c r="F232" i="8"/>
  <c r="K232" i="8" s="1"/>
  <c r="F240" i="8"/>
  <c r="K240" i="8" s="1"/>
  <c r="F248" i="8"/>
  <c r="K248" i="8" s="1"/>
  <c r="F256" i="8"/>
  <c r="K256" i="8" s="1"/>
  <c r="F264" i="8"/>
  <c r="K264" i="8" s="1"/>
  <c r="F272" i="8"/>
  <c r="K272" i="8" s="1"/>
  <c r="F280" i="8"/>
  <c r="K280" i="8" s="1"/>
  <c r="F288" i="8"/>
  <c r="K288" i="8" s="1"/>
  <c r="F296" i="8"/>
  <c r="K296" i="8" s="1"/>
  <c r="F304" i="8"/>
  <c r="K304" i="8" s="1"/>
  <c r="F258" i="8"/>
  <c r="K258" i="8" s="1"/>
  <c r="F266" i="8"/>
  <c r="K266" i="8" s="1"/>
  <c r="F274" i="8"/>
  <c r="K274" i="8" s="1"/>
  <c r="F282" i="8"/>
  <c r="K282" i="8" s="1"/>
  <c r="F290" i="8"/>
  <c r="K290" i="8" s="1"/>
  <c r="F298" i="8"/>
  <c r="K298" i="8" s="1"/>
  <c r="F229" i="8"/>
  <c r="K229" i="8" s="1"/>
  <c r="F269" i="8"/>
  <c r="K269" i="8" s="1"/>
  <c r="F277" i="8"/>
  <c r="K277" i="8" s="1"/>
  <c r="F285" i="8"/>
  <c r="K285" i="8" s="1"/>
  <c r="F293" i="8"/>
  <c r="K293" i="8" s="1"/>
  <c r="F301" i="8"/>
  <c r="K301" i="8" s="1"/>
  <c r="K305" i="8"/>
  <c r="K253" i="8"/>
  <c r="K261" i="8"/>
  <c r="I244" i="8"/>
  <c r="I255" i="8"/>
  <c r="I288" i="8"/>
  <c r="I222" i="8"/>
  <c r="I238" i="8"/>
  <c r="I254" i="8"/>
  <c r="I270" i="8"/>
  <c r="I286" i="8"/>
  <c r="I302" i="8"/>
  <c r="I223" i="8"/>
  <c r="I239" i="8"/>
  <c r="I271" i="8"/>
  <c r="I287" i="8"/>
  <c r="I303" i="8"/>
  <c r="I224" i="8"/>
  <c r="I256" i="8"/>
  <c r="I272" i="8"/>
  <c r="I304" i="8"/>
  <c r="I221" i="8"/>
  <c r="I237" i="8"/>
  <c r="I253" i="8"/>
  <c r="I269" i="8"/>
  <c r="I285" i="8"/>
  <c r="I301" i="8"/>
  <c r="I275" i="8"/>
  <c r="I258" i="8"/>
  <c r="I227" i="8"/>
  <c r="I210" i="8"/>
  <c r="I226" i="8"/>
  <c r="I242" i="8"/>
  <c r="I274" i="8"/>
  <c r="I290" i="8"/>
  <c r="I211" i="8"/>
  <c r="I243" i="8"/>
  <c r="I259" i="8"/>
  <c r="I291" i="8"/>
  <c r="I212" i="8"/>
  <c r="I228" i="8"/>
  <c r="I260" i="8"/>
  <c r="I276" i="8"/>
  <c r="I292" i="8"/>
  <c r="I209" i="8"/>
  <c r="I225" i="8"/>
  <c r="I241" i="8"/>
  <c r="I257" i="8"/>
  <c r="I273" i="8"/>
  <c r="I289" i="8"/>
  <c r="I305" i="8"/>
  <c r="I218" i="8"/>
  <c r="I234" i="8"/>
  <c r="I250" i="8"/>
  <c r="I266" i="8"/>
  <c r="I282" i="8"/>
  <c r="I298" i="8"/>
  <c r="I219" i="8"/>
  <c r="I235" i="8"/>
  <c r="I251" i="8"/>
  <c r="I267" i="8"/>
  <c r="I283" i="8"/>
  <c r="I299" i="8"/>
  <c r="I220" i="8"/>
  <c r="I236" i="8"/>
  <c r="I252" i="8"/>
  <c r="I268" i="8"/>
  <c r="I284" i="8"/>
  <c r="I300" i="8"/>
  <c r="I217" i="8"/>
  <c r="I233" i="8"/>
  <c r="I249" i="8"/>
  <c r="I265" i="8"/>
  <c r="I281" i="8"/>
  <c r="I297" i="8"/>
  <c r="I240" i="8"/>
  <c r="I230" i="8"/>
  <c r="I263" i="8"/>
  <c r="I279" i="8"/>
  <c r="I248" i="8"/>
  <c r="I264" i="8"/>
  <c r="I229" i="8"/>
  <c r="H190" i="14"/>
  <c r="O190" i="14" s="1"/>
  <c r="J190" i="14"/>
  <c r="H198" i="14"/>
  <c r="O198" i="14" s="1"/>
  <c r="J198" i="14"/>
  <c r="H195" i="14"/>
  <c r="O195" i="14" s="1"/>
  <c r="J195" i="14"/>
  <c r="H192" i="14"/>
  <c r="O192" i="14" s="1"/>
  <c r="J192" i="14"/>
  <c r="H193" i="14"/>
  <c r="O193" i="14" s="1"/>
  <c r="J193" i="14"/>
  <c r="H200" i="14"/>
  <c r="O200" i="14" s="1"/>
  <c r="J200" i="14"/>
  <c r="H201" i="14"/>
  <c r="J201" i="14"/>
  <c r="H194" i="14"/>
  <c r="O194" i="14" s="1"/>
  <c r="J194" i="14"/>
  <c r="H191" i="14"/>
  <c r="O191" i="14" s="1"/>
  <c r="J191" i="14"/>
  <c r="H199" i="14"/>
  <c r="O199" i="14" s="1"/>
  <c r="J199" i="14"/>
  <c r="H196" i="14"/>
  <c r="O196" i="14" s="1"/>
  <c r="J196" i="14"/>
  <c r="H197" i="14"/>
  <c r="O197" i="14" s="1"/>
  <c r="J197" i="14"/>
  <c r="I214" i="8"/>
  <c r="I246" i="8"/>
  <c r="I262" i="8"/>
  <c r="I278" i="8"/>
  <c r="I294" i="8"/>
  <c r="I215" i="8"/>
  <c r="I231" i="8"/>
  <c r="I247" i="8"/>
  <c r="I295" i="8"/>
  <c r="I216" i="8"/>
  <c r="I232" i="8"/>
  <c r="I280" i="8"/>
  <c r="I296" i="8"/>
  <c r="I213" i="8"/>
  <c r="I245" i="8"/>
  <c r="I261" i="8"/>
  <c r="I277" i="8"/>
  <c r="I293" i="8"/>
  <c r="D12" i="15" l="1"/>
  <c r="D11" i="15"/>
  <c r="D8" i="15"/>
  <c r="D7" i="15"/>
  <c r="D10" i="15"/>
  <c r="D6" i="15"/>
  <c r="D9" i="15"/>
  <c r="D5" i="15"/>
  <c r="B208" i="8"/>
  <c r="B207" i="8"/>
  <c r="B206" i="8"/>
  <c r="B205" i="8"/>
  <c r="B204" i="8"/>
  <c r="B203" i="8"/>
  <c r="B202" i="8"/>
  <c r="B201" i="8"/>
  <c r="B200" i="8"/>
  <c r="B199" i="8"/>
  <c r="B198" i="8"/>
  <c r="B197" i="8"/>
  <c r="B190" i="8"/>
  <c r="B183" i="8"/>
  <c r="B181" i="8"/>
  <c r="B179" i="8"/>
  <c r="B177" i="8"/>
  <c r="B175" i="8"/>
  <c r="B173" i="8"/>
  <c r="B171" i="8"/>
  <c r="B169" i="8"/>
  <c r="B195" i="8"/>
  <c r="B193" i="8"/>
  <c r="B188" i="8"/>
  <c r="B186" i="8"/>
  <c r="B191" i="8"/>
  <c r="B184" i="8"/>
  <c r="B182" i="8"/>
  <c r="B180" i="8"/>
  <c r="B178" i="8"/>
  <c r="B176" i="8"/>
  <c r="B174" i="8"/>
  <c r="B172" i="8"/>
  <c r="B170" i="8"/>
  <c r="B192" i="8"/>
  <c r="B187" i="8"/>
  <c r="B163" i="8"/>
  <c r="B161" i="8"/>
  <c r="B159" i="8"/>
  <c r="B152" i="8"/>
  <c r="B150" i="8"/>
  <c r="B148" i="8"/>
  <c r="B146" i="8"/>
  <c r="B144" i="8"/>
  <c r="B142" i="8"/>
  <c r="B140" i="8"/>
  <c r="B138" i="8"/>
  <c r="B123" i="8"/>
  <c r="B121" i="8"/>
  <c r="B112" i="8"/>
  <c r="B110" i="8"/>
  <c r="B108" i="8"/>
  <c r="B106" i="8"/>
  <c r="B104" i="8"/>
  <c r="B83" i="8"/>
  <c r="B81" i="8"/>
  <c r="B185" i="8"/>
  <c r="B166" i="8"/>
  <c r="B157" i="8"/>
  <c r="B155" i="8"/>
  <c r="B153" i="8"/>
  <c r="B136" i="8"/>
  <c r="B134" i="8"/>
  <c r="B132" i="8"/>
  <c r="B130" i="8"/>
  <c r="B128" i="8"/>
  <c r="B126" i="8"/>
  <c r="B119" i="8"/>
  <c r="B117" i="8"/>
  <c r="B115" i="8"/>
  <c r="B113" i="8"/>
  <c r="B102" i="8"/>
  <c r="B100" i="8"/>
  <c r="B98" i="8"/>
  <c r="B96" i="8"/>
  <c r="B94" i="8"/>
  <c r="B92" i="8"/>
  <c r="B90" i="8"/>
  <c r="B88" i="8"/>
  <c r="B86" i="8"/>
  <c r="B196" i="8"/>
  <c r="B168" i="8"/>
  <c r="B164" i="8"/>
  <c r="B162" i="8"/>
  <c r="B160" i="8"/>
  <c r="B158" i="8"/>
  <c r="B151" i="8"/>
  <c r="B149" i="8"/>
  <c r="B147" i="8"/>
  <c r="B145" i="8"/>
  <c r="B143" i="8"/>
  <c r="B141" i="8"/>
  <c r="B139" i="8"/>
  <c r="B137" i="8"/>
  <c r="B124" i="8"/>
  <c r="B122" i="8"/>
  <c r="B111" i="8"/>
  <c r="B109" i="8"/>
  <c r="B107" i="8"/>
  <c r="B105" i="8"/>
  <c r="B84" i="8"/>
  <c r="B82" i="8"/>
  <c r="B194" i="8"/>
  <c r="B165" i="8"/>
  <c r="B154" i="8"/>
  <c r="B135" i="8"/>
  <c r="B127" i="8"/>
  <c r="B120" i="8"/>
  <c r="B101" i="8"/>
  <c r="B93" i="8"/>
  <c r="B80" i="8"/>
  <c r="B76" i="8"/>
  <c r="B72" i="8"/>
  <c r="B71" i="8"/>
  <c r="B69" i="8"/>
  <c r="B67" i="8"/>
  <c r="B65" i="8"/>
  <c r="B50" i="8"/>
  <c r="B35" i="8"/>
  <c r="B33" i="8"/>
  <c r="B31" i="8"/>
  <c r="B29" i="8"/>
  <c r="B27" i="8"/>
  <c r="B10" i="8"/>
  <c r="B8" i="8"/>
  <c r="B133" i="8"/>
  <c r="B125" i="8"/>
  <c r="B118" i="8"/>
  <c r="B99" i="8"/>
  <c r="B91" i="8"/>
  <c r="B77" i="8"/>
  <c r="B73" i="8"/>
  <c r="B63" i="8"/>
  <c r="B61" i="8"/>
  <c r="B59" i="8"/>
  <c r="B57" i="8"/>
  <c r="B55" i="8"/>
  <c r="B53" i="8"/>
  <c r="B48" i="8"/>
  <c r="B46" i="8"/>
  <c r="B44" i="8"/>
  <c r="B42" i="8"/>
  <c r="B40" i="8"/>
  <c r="B38" i="8"/>
  <c r="B25" i="8"/>
  <c r="B23" i="8"/>
  <c r="B21" i="8"/>
  <c r="B19" i="8"/>
  <c r="B17" i="8"/>
  <c r="B15" i="8"/>
  <c r="B13" i="8"/>
  <c r="B11" i="8"/>
  <c r="B131" i="8"/>
  <c r="B116" i="8"/>
  <c r="B97" i="8"/>
  <c r="B89" i="8"/>
  <c r="B85" i="8"/>
  <c r="B78" i="8"/>
  <c r="B74" i="8"/>
  <c r="B70" i="8"/>
  <c r="B68" i="8"/>
  <c r="B66" i="8"/>
  <c r="B51" i="8"/>
  <c r="B49" i="8"/>
  <c r="B36" i="8"/>
  <c r="B34" i="8"/>
  <c r="B32" i="8"/>
  <c r="B30" i="8"/>
  <c r="B28" i="8"/>
  <c r="B9" i="8"/>
  <c r="B7" i="8"/>
  <c r="B189" i="8"/>
  <c r="B167" i="8"/>
  <c r="B156" i="8"/>
  <c r="B129" i="8"/>
  <c r="B114" i="8"/>
  <c r="B103" i="8"/>
  <c r="B95" i="8"/>
  <c r="B87" i="8"/>
  <c r="B79" i="8"/>
  <c r="B75" i="8"/>
  <c r="B64" i="8"/>
  <c r="B62" i="8"/>
  <c r="B60" i="8"/>
  <c r="B58" i="8"/>
  <c r="B56" i="8"/>
  <c r="B54" i="8"/>
  <c r="B52" i="8"/>
  <c r="B41" i="8"/>
  <c r="B20" i="8"/>
  <c r="B12" i="8"/>
  <c r="B43" i="8"/>
  <c r="B22" i="8"/>
  <c r="B14" i="8"/>
  <c r="B45" i="8"/>
  <c r="B37" i="8"/>
  <c r="B24" i="8"/>
  <c r="B16" i="8"/>
  <c r="B47" i="8"/>
  <c r="B39" i="8"/>
  <c r="B26" i="8"/>
  <c r="B18" i="8"/>
  <c r="D86" i="8"/>
  <c r="D82" i="8"/>
  <c r="D78" i="8"/>
  <c r="D74" i="8"/>
  <c r="D70" i="8"/>
  <c r="D66" i="8"/>
  <c r="D58" i="8"/>
  <c r="D54" i="8"/>
  <c r="D77" i="8"/>
  <c r="D72" i="8"/>
  <c r="D67" i="8"/>
  <c r="D61" i="8"/>
  <c r="D56" i="8"/>
  <c r="D51" i="8"/>
  <c r="D46" i="8"/>
  <c r="D42" i="8"/>
  <c r="D26" i="8"/>
  <c r="D81" i="8"/>
  <c r="D76" i="8"/>
  <c r="D60" i="8"/>
  <c r="D55" i="8"/>
  <c r="D45" i="8"/>
  <c r="D41" i="8"/>
  <c r="D37" i="8"/>
  <c r="D33" i="8"/>
  <c r="D85" i="8"/>
  <c r="D75" i="8"/>
  <c r="D64" i="8"/>
  <c r="D53" i="8"/>
  <c r="D44" i="8"/>
  <c r="D20" i="8"/>
  <c r="D73" i="8"/>
  <c r="D43" i="8"/>
  <c r="D35" i="8"/>
  <c r="D27" i="8"/>
  <c r="D19" i="8"/>
  <c r="D11" i="8"/>
  <c r="D79" i="8"/>
  <c r="D68" i="8"/>
  <c r="D57" i="8"/>
  <c r="D47" i="8"/>
  <c r="D39" i="8"/>
  <c r="D23" i="8"/>
  <c r="D15" i="8"/>
  <c r="D48" i="8"/>
  <c r="D16" i="8"/>
  <c r="D80" i="8"/>
  <c r="D40" i="8"/>
  <c r="D8" i="8"/>
  <c r="D69" i="8"/>
  <c r="D32" i="8"/>
  <c r="D59" i="8"/>
  <c r="D24" i="8"/>
  <c r="B6" i="8"/>
  <c r="G46" i="5"/>
  <c r="G42" i="5"/>
  <c r="G38" i="5"/>
  <c r="G34" i="5"/>
  <c r="G30" i="5"/>
  <c r="G26" i="5"/>
  <c r="G22" i="5"/>
  <c r="G14" i="5"/>
  <c r="G10" i="5"/>
  <c r="G49" i="5"/>
  <c r="G45" i="5"/>
  <c r="G41" i="5"/>
  <c r="G37" i="5"/>
  <c r="G33" i="5"/>
  <c r="G29" i="5"/>
  <c r="G25" i="5"/>
  <c r="G21" i="5"/>
  <c r="G17" i="5"/>
  <c r="G13" i="5"/>
  <c r="G48" i="5"/>
  <c r="G44" i="5"/>
  <c r="G40" i="5"/>
  <c r="G36" i="5"/>
  <c r="G32" i="5"/>
  <c r="G28" i="5"/>
  <c r="G24" i="5"/>
  <c r="G20" i="5"/>
  <c r="G16" i="5"/>
  <c r="G12" i="5"/>
  <c r="G47" i="5"/>
  <c r="G43" i="5"/>
  <c r="G39" i="5"/>
  <c r="G35" i="5"/>
  <c r="G31" i="5"/>
  <c r="G27" i="5"/>
  <c r="G23" i="5"/>
  <c r="G19" i="5"/>
  <c r="G3" i="5"/>
  <c r="E40" i="6"/>
  <c r="E39" i="6"/>
  <c r="E41" i="6"/>
  <c r="E85" i="6"/>
  <c r="E81" i="6"/>
  <c r="E77" i="6"/>
  <c r="E73" i="6"/>
  <c r="E69" i="6"/>
  <c r="E65" i="6"/>
  <c r="E61" i="6"/>
  <c r="E57" i="6"/>
  <c r="E49" i="6"/>
  <c r="E45" i="6"/>
  <c r="E75" i="6"/>
  <c r="E71" i="6"/>
  <c r="E67" i="6"/>
  <c r="E63" i="6"/>
  <c r="E59" i="6"/>
  <c r="E55" i="6"/>
  <c r="E51" i="6"/>
  <c r="E47" i="6"/>
  <c r="E43" i="6"/>
  <c r="E53" i="6"/>
  <c r="E52" i="6"/>
  <c r="E48" i="6"/>
  <c r="E44" i="6"/>
  <c r="E97" i="6"/>
  <c r="E93" i="6"/>
  <c r="E89" i="6"/>
  <c r="E72" i="6"/>
  <c r="E68" i="6"/>
  <c r="E64" i="6"/>
  <c r="E60" i="6"/>
  <c r="E56" i="6"/>
  <c r="E96" i="6"/>
  <c r="E92" i="6"/>
  <c r="E88" i="6"/>
  <c r="E84" i="6"/>
  <c r="E80" i="6"/>
  <c r="E76" i="6"/>
  <c r="E95" i="6"/>
  <c r="E91" i="6"/>
  <c r="E87" i="6"/>
  <c r="E83" i="6"/>
  <c r="E79" i="6"/>
  <c r="E98" i="6"/>
  <c r="E94" i="6"/>
  <c r="E90" i="6"/>
  <c r="E86" i="6"/>
  <c r="E82" i="6"/>
  <c r="E78" i="6"/>
  <c r="E74" i="6"/>
  <c r="E70" i="6"/>
  <c r="E66" i="6"/>
  <c r="E62" i="6"/>
  <c r="E58" i="6"/>
  <c r="E54" i="6"/>
  <c r="E50" i="6"/>
  <c r="E46" i="6"/>
  <c r="E42" i="6"/>
  <c r="E38" i="6"/>
  <c r="D4" i="15" l="1"/>
  <c r="E37" i="6"/>
  <c r="E36" i="6"/>
  <c r="E35" i="6"/>
  <c r="D52" i="8"/>
  <c r="D31" i="8"/>
  <c r="D28" i="8"/>
  <c r="D83" i="8"/>
  <c r="D36" i="8"/>
  <c r="D49" i="8"/>
  <c r="D71" i="8"/>
  <c r="D50" i="8"/>
  <c r="D21" i="8"/>
  <c r="D22" i="8"/>
  <c r="D38" i="8"/>
  <c r="D63" i="8"/>
  <c r="D25" i="8"/>
  <c r="D10" i="8"/>
  <c r="D7" i="8"/>
  <c r="D13" i="8"/>
  <c r="D29" i="8"/>
  <c r="D65" i="8"/>
  <c r="D14" i="8"/>
  <c r="D30" i="8"/>
  <c r="D62" i="8"/>
  <c r="D84" i="8"/>
  <c r="D12" i="8"/>
  <c r="D17" i="8"/>
  <c r="D18" i="8"/>
  <c r="D34" i="8"/>
  <c r="D187" i="8"/>
  <c r="J187" i="8"/>
  <c r="D112" i="8"/>
  <c r="D123" i="8"/>
  <c r="D133" i="8"/>
  <c r="D100" i="8"/>
  <c r="D143" i="8"/>
  <c r="D185" i="8"/>
  <c r="J185" i="8"/>
  <c r="D95" i="8"/>
  <c r="D137" i="8"/>
  <c r="D180" i="8"/>
  <c r="D96" i="8"/>
  <c r="D139" i="8"/>
  <c r="D181" i="8"/>
  <c r="D97" i="8"/>
  <c r="D119" i="8"/>
  <c r="D140" i="8"/>
  <c r="J140" i="8"/>
  <c r="D161" i="8"/>
  <c r="D183" i="8"/>
  <c r="J183" i="8"/>
  <c r="D99" i="8"/>
  <c r="D120" i="8"/>
  <c r="D141" i="8"/>
  <c r="J141" i="8"/>
  <c r="D163" i="8"/>
  <c r="D184" i="8"/>
  <c r="J184" i="8"/>
  <c r="D102" i="8"/>
  <c r="J102" i="8"/>
  <c r="D118" i="8"/>
  <c r="D134" i="8"/>
  <c r="D150" i="8"/>
  <c r="D166" i="8"/>
  <c r="D182" i="8"/>
  <c r="J182" i="8"/>
  <c r="D199" i="8"/>
  <c r="J199" i="8"/>
  <c r="D200" i="8"/>
  <c r="J200" i="8"/>
  <c r="D207" i="8"/>
  <c r="J207" i="8"/>
  <c r="D155" i="8"/>
  <c r="D165" i="8"/>
  <c r="D176" i="8"/>
  <c r="D111" i="8"/>
  <c r="D153" i="8"/>
  <c r="D196" i="8"/>
  <c r="J196" i="8"/>
  <c r="D105" i="8"/>
  <c r="D148" i="8"/>
  <c r="D191" i="8"/>
  <c r="J191" i="8"/>
  <c r="D107" i="8"/>
  <c r="D149" i="8"/>
  <c r="D192" i="8"/>
  <c r="J192" i="8"/>
  <c r="D103" i="8"/>
  <c r="D124" i="8"/>
  <c r="D145" i="8"/>
  <c r="D167" i="8"/>
  <c r="D188" i="8"/>
  <c r="J188" i="8"/>
  <c r="D104" i="8"/>
  <c r="D125" i="8"/>
  <c r="D147" i="8"/>
  <c r="D168" i="8"/>
  <c r="D189" i="8"/>
  <c r="J189" i="8"/>
  <c r="D90" i="8"/>
  <c r="D106" i="8"/>
  <c r="D122" i="8"/>
  <c r="D138" i="8"/>
  <c r="D154" i="8"/>
  <c r="D170" i="8"/>
  <c r="D186" i="8"/>
  <c r="J186" i="8"/>
  <c r="D198" i="8"/>
  <c r="J198" i="8"/>
  <c r="D101" i="8"/>
  <c r="J101" i="8"/>
  <c r="D197" i="8"/>
  <c r="J197" i="8"/>
  <c r="D121" i="8"/>
  <c r="D164" i="8"/>
  <c r="J164" i="8"/>
  <c r="D116" i="8"/>
  <c r="D159" i="8"/>
  <c r="D117" i="8"/>
  <c r="D160" i="8"/>
  <c r="D87" i="8"/>
  <c r="J87" i="8"/>
  <c r="D108" i="8"/>
  <c r="J108" i="8"/>
  <c r="D129" i="8"/>
  <c r="D151" i="8"/>
  <c r="J151" i="8"/>
  <c r="D172" i="8"/>
  <c r="D193" i="8"/>
  <c r="J193" i="8"/>
  <c r="D88" i="8"/>
  <c r="J88" i="8"/>
  <c r="D109" i="8"/>
  <c r="J109" i="8"/>
  <c r="D131" i="8"/>
  <c r="D152" i="8"/>
  <c r="D173" i="8"/>
  <c r="J173" i="8"/>
  <c r="D195" i="8"/>
  <c r="J195" i="8"/>
  <c r="D94" i="8"/>
  <c r="D110" i="8"/>
  <c r="D126" i="8"/>
  <c r="D142" i="8"/>
  <c r="D158" i="8"/>
  <c r="J158" i="8"/>
  <c r="D174" i="8"/>
  <c r="D190" i="8"/>
  <c r="J190" i="8"/>
  <c r="D201" i="8"/>
  <c r="J201" i="8"/>
  <c r="D205" i="8"/>
  <c r="J205" i="8"/>
  <c r="D206" i="8"/>
  <c r="J206" i="8"/>
  <c r="D144" i="8"/>
  <c r="D91" i="8"/>
  <c r="D89" i="8"/>
  <c r="J89" i="8"/>
  <c r="D132" i="8"/>
  <c r="D175" i="8"/>
  <c r="D127" i="8"/>
  <c r="D169" i="8"/>
  <c r="D128" i="8"/>
  <c r="J128" i="8"/>
  <c r="D171" i="8"/>
  <c r="D92" i="8"/>
  <c r="D113" i="8"/>
  <c r="J113" i="8"/>
  <c r="D135" i="8"/>
  <c r="D156" i="8"/>
  <c r="J156" i="8"/>
  <c r="D177" i="8"/>
  <c r="D93" i="8"/>
  <c r="J93" i="8"/>
  <c r="D115" i="8"/>
  <c r="J115" i="8"/>
  <c r="D136" i="8"/>
  <c r="D157" i="8"/>
  <c r="D179" i="8"/>
  <c r="D98" i="8"/>
  <c r="D114" i="8"/>
  <c r="J114" i="8"/>
  <c r="D130" i="8"/>
  <c r="J130" i="8"/>
  <c r="D146" i="8"/>
  <c r="J146" i="8"/>
  <c r="D162" i="8"/>
  <c r="D178" i="8"/>
  <c r="D194" i="8"/>
  <c r="J194" i="8"/>
  <c r="D202" i="8"/>
  <c r="J202" i="8"/>
  <c r="D203" i="8"/>
  <c r="J203" i="8"/>
  <c r="D204" i="8"/>
  <c r="J204" i="8"/>
  <c r="D208" i="8"/>
  <c r="J208" i="8"/>
  <c r="D9" i="8"/>
  <c r="D110" i="14"/>
  <c r="N110" i="14" s="1"/>
  <c r="G179" i="8"/>
  <c r="G51" i="8"/>
  <c r="G107" i="8"/>
  <c r="G99" i="8"/>
  <c r="G91" i="8"/>
  <c r="G172" i="8"/>
  <c r="G140" i="8"/>
  <c r="G108" i="8"/>
  <c r="G76" i="8"/>
  <c r="G44" i="8"/>
  <c r="G12" i="8"/>
  <c r="G176" i="8"/>
  <c r="G144" i="8"/>
  <c r="G112" i="8"/>
  <c r="G80" i="8"/>
  <c r="G48" i="8"/>
  <c r="G16" i="8"/>
  <c r="G175" i="8"/>
  <c r="G143" i="8"/>
  <c r="G111" i="8"/>
  <c r="G79" i="8"/>
  <c r="G47" i="8"/>
  <c r="G15" i="8"/>
  <c r="G182" i="8"/>
  <c r="G166" i="8"/>
  <c r="G150" i="8"/>
  <c r="G134" i="8"/>
  <c r="G118" i="8"/>
  <c r="G102" i="8"/>
  <c r="G86" i="8"/>
  <c r="G70" i="8"/>
  <c r="G54" i="8"/>
  <c r="G38" i="8"/>
  <c r="G22" i="8"/>
  <c r="G181" i="8"/>
  <c r="G165" i="8"/>
  <c r="G149" i="8"/>
  <c r="G133" i="8"/>
  <c r="G117" i="8"/>
  <c r="G101" i="8"/>
  <c r="G85" i="8"/>
  <c r="G69" i="8"/>
  <c r="G53" i="8"/>
  <c r="G37" i="8"/>
  <c r="G21" i="8"/>
  <c r="G199" i="8"/>
  <c r="G83" i="8"/>
  <c r="G123" i="8"/>
  <c r="G148" i="8"/>
  <c r="G52" i="8"/>
  <c r="G152" i="8"/>
  <c r="G56" i="8"/>
  <c r="G119" i="8"/>
  <c r="G23" i="8"/>
  <c r="G154" i="8"/>
  <c r="G106" i="8"/>
  <c r="G74" i="8"/>
  <c r="G26" i="8"/>
  <c r="G153" i="8"/>
  <c r="G121" i="8"/>
  <c r="G73" i="8"/>
  <c r="G25" i="8"/>
  <c r="G203" i="8"/>
  <c r="G205" i="8"/>
  <c r="G207" i="8"/>
  <c r="G147" i="8"/>
  <c r="G19" i="8"/>
  <c r="G75" i="8"/>
  <c r="G193" i="8"/>
  <c r="G67" i="8"/>
  <c r="G187" i="8"/>
  <c r="G59" i="8"/>
  <c r="G195" i="8"/>
  <c r="G164" i="8"/>
  <c r="G132" i="8"/>
  <c r="G100" i="8"/>
  <c r="G68" i="8"/>
  <c r="G36" i="8"/>
  <c r="G197" i="8"/>
  <c r="G168" i="8"/>
  <c r="G136" i="8"/>
  <c r="G104" i="8"/>
  <c r="G72" i="8"/>
  <c r="G40" i="8"/>
  <c r="G8" i="8"/>
  <c r="G196" i="8"/>
  <c r="G167" i="8"/>
  <c r="G135" i="8"/>
  <c r="G103" i="8"/>
  <c r="G71" i="8"/>
  <c r="G39" i="8"/>
  <c r="G7" i="8"/>
  <c r="G194" i="8"/>
  <c r="G178" i="8"/>
  <c r="G162" i="8"/>
  <c r="G146" i="8"/>
  <c r="G130" i="8"/>
  <c r="G114" i="8"/>
  <c r="G98" i="8"/>
  <c r="G82" i="8"/>
  <c r="G66" i="8"/>
  <c r="G50" i="8"/>
  <c r="G34" i="8"/>
  <c r="G18" i="8"/>
  <c r="G177" i="8"/>
  <c r="G161" i="8"/>
  <c r="G145" i="8"/>
  <c r="G129" i="8"/>
  <c r="G113" i="8"/>
  <c r="G97" i="8"/>
  <c r="G81" i="8"/>
  <c r="G65" i="8"/>
  <c r="G49" i="8"/>
  <c r="G33" i="8"/>
  <c r="G17" i="8"/>
  <c r="G198" i="8"/>
  <c r="G139" i="8"/>
  <c r="G11" i="8"/>
  <c r="G131" i="8"/>
  <c r="G180" i="8"/>
  <c r="G116" i="8"/>
  <c r="G84" i="8"/>
  <c r="G20" i="8"/>
  <c r="G184" i="8"/>
  <c r="G120" i="8"/>
  <c r="G88" i="8"/>
  <c r="G24" i="8"/>
  <c r="G183" i="8"/>
  <c r="G151" i="8"/>
  <c r="G87" i="8"/>
  <c r="G55" i="8"/>
  <c r="G186" i="8"/>
  <c r="G170" i="8"/>
  <c r="G138" i="8"/>
  <c r="G122" i="8"/>
  <c r="G90" i="8"/>
  <c r="G58" i="8"/>
  <c r="G42" i="8"/>
  <c r="G10" i="8"/>
  <c r="G185" i="8"/>
  <c r="G169" i="8"/>
  <c r="G137" i="8"/>
  <c r="G105" i="8"/>
  <c r="G89" i="8"/>
  <c r="G57" i="8"/>
  <c r="G41" i="8"/>
  <c r="G9" i="8"/>
  <c r="G201" i="8"/>
  <c r="G115" i="8"/>
  <c r="G171" i="8"/>
  <c r="G43" i="8"/>
  <c r="G163" i="8"/>
  <c r="G35" i="8"/>
  <c r="G155" i="8"/>
  <c r="G27" i="8"/>
  <c r="G188" i="8"/>
  <c r="G156" i="8"/>
  <c r="G124" i="8"/>
  <c r="G92" i="8"/>
  <c r="G60" i="8"/>
  <c r="G28" i="8"/>
  <c r="G192" i="8"/>
  <c r="G160" i="8"/>
  <c r="G128" i="8"/>
  <c r="G96" i="8"/>
  <c r="G64" i="8"/>
  <c r="G32" i="8"/>
  <c r="G191" i="8"/>
  <c r="G159" i="8"/>
  <c r="G127" i="8"/>
  <c r="G95" i="8"/>
  <c r="G63" i="8"/>
  <c r="G190" i="8"/>
  <c r="G174" i="8"/>
  <c r="G158" i="8"/>
  <c r="G142" i="8"/>
  <c r="G126" i="8"/>
  <c r="G110" i="8"/>
  <c r="G94" i="8"/>
  <c r="G78" i="8"/>
  <c r="G62" i="8"/>
  <c r="G46" i="8"/>
  <c r="G30" i="8"/>
  <c r="G14" i="8"/>
  <c r="G189" i="8"/>
  <c r="G173" i="8"/>
  <c r="G157" i="8"/>
  <c r="G141" i="8"/>
  <c r="G125" i="8"/>
  <c r="G109" i="8"/>
  <c r="G93" i="8"/>
  <c r="G77" i="8"/>
  <c r="G61" i="8"/>
  <c r="G45" i="8"/>
  <c r="G29" i="8"/>
  <c r="G13" i="8"/>
  <c r="G200" i="8"/>
  <c r="G202" i="8"/>
  <c r="G204" i="8"/>
  <c r="G206" i="8"/>
  <c r="G208" i="8"/>
  <c r="H185" i="8"/>
  <c r="H147" i="8"/>
  <c r="H126" i="8"/>
  <c r="H99" i="8"/>
  <c r="H78" i="8"/>
  <c r="H57" i="8"/>
  <c r="H25" i="8"/>
  <c r="H192" i="8"/>
  <c r="H176" i="8"/>
  <c r="H157" i="8"/>
  <c r="H135" i="8"/>
  <c r="H114" i="8"/>
  <c r="H93" i="8"/>
  <c r="H71" i="8"/>
  <c r="H50" i="8"/>
  <c r="H13" i="8"/>
  <c r="H195" i="8"/>
  <c r="H139" i="8"/>
  <c r="H113" i="8"/>
  <c r="H91" i="8"/>
  <c r="H70" i="8"/>
  <c r="H49" i="8"/>
  <c r="H11" i="8"/>
  <c r="H194" i="8"/>
  <c r="H178" i="8"/>
  <c r="H159" i="8"/>
  <c r="H111" i="8"/>
  <c r="I111" i="8" s="1"/>
  <c r="H90" i="8"/>
  <c r="H69" i="8"/>
  <c r="I69" i="8" s="1"/>
  <c r="H47" i="8"/>
  <c r="H10" i="8"/>
  <c r="H168" i="8"/>
  <c r="H104" i="8"/>
  <c r="H88" i="8"/>
  <c r="H72" i="8"/>
  <c r="H56" i="8"/>
  <c r="H8" i="8"/>
  <c r="H200" i="8"/>
  <c r="H202" i="8"/>
  <c r="H203" i="8"/>
  <c r="H207" i="8"/>
  <c r="H197" i="8"/>
  <c r="H181" i="8"/>
  <c r="H142" i="8"/>
  <c r="H115" i="8"/>
  <c r="H94" i="8"/>
  <c r="H73" i="8"/>
  <c r="H51" i="8"/>
  <c r="H19" i="8"/>
  <c r="H188" i="8"/>
  <c r="H151" i="8"/>
  <c r="H130" i="8"/>
  <c r="H109" i="8"/>
  <c r="H66" i="8"/>
  <c r="H29" i="8"/>
  <c r="H7" i="8"/>
  <c r="H191" i="8"/>
  <c r="H155" i="8"/>
  <c r="H134" i="8"/>
  <c r="H107" i="8"/>
  <c r="H65" i="8"/>
  <c r="H27" i="8"/>
  <c r="H190" i="8"/>
  <c r="H174" i="8"/>
  <c r="H154" i="8"/>
  <c r="H133" i="8"/>
  <c r="H106" i="8"/>
  <c r="H85" i="8"/>
  <c r="I85" i="8" s="1"/>
  <c r="H63" i="8"/>
  <c r="H26" i="8"/>
  <c r="H164" i="8"/>
  <c r="H148" i="8"/>
  <c r="I148" i="8" s="1"/>
  <c r="H132" i="8"/>
  <c r="H68" i="8"/>
  <c r="H52" i="8"/>
  <c r="H20" i="8"/>
  <c r="H208" i="8"/>
  <c r="H193" i="8"/>
  <c r="H177" i="8"/>
  <c r="H158" i="8"/>
  <c r="H110" i="8"/>
  <c r="H89" i="8"/>
  <c r="H67" i="8"/>
  <c r="H46" i="8"/>
  <c r="H184" i="8"/>
  <c r="H146" i="8"/>
  <c r="H125" i="8"/>
  <c r="H103" i="8"/>
  <c r="H82" i="8"/>
  <c r="H61" i="8"/>
  <c r="H187" i="8"/>
  <c r="H171" i="8"/>
  <c r="H150" i="8"/>
  <c r="H129" i="8"/>
  <c r="H102" i="8"/>
  <c r="H81" i="8"/>
  <c r="H59" i="8"/>
  <c r="H22" i="8"/>
  <c r="H186" i="8"/>
  <c r="H170" i="8"/>
  <c r="H149" i="8"/>
  <c r="H127" i="8"/>
  <c r="H101" i="8"/>
  <c r="H79" i="8"/>
  <c r="H58" i="8"/>
  <c r="H160" i="8"/>
  <c r="H144" i="8"/>
  <c r="H128" i="8"/>
  <c r="H112" i="8"/>
  <c r="H96" i="8"/>
  <c r="H80" i="8"/>
  <c r="H64" i="8"/>
  <c r="H48" i="8"/>
  <c r="H16" i="8"/>
  <c r="H198" i="8"/>
  <c r="I198" i="8" s="1"/>
  <c r="H201" i="8"/>
  <c r="H205" i="8"/>
  <c r="H189" i="8"/>
  <c r="H173" i="8"/>
  <c r="H153" i="8"/>
  <c r="H131" i="8"/>
  <c r="H105" i="8"/>
  <c r="H62" i="8"/>
  <c r="H30" i="8"/>
  <c r="H9" i="8"/>
  <c r="H196" i="8"/>
  <c r="H180" i="8"/>
  <c r="H141" i="8"/>
  <c r="H119" i="8"/>
  <c r="H98" i="8"/>
  <c r="H77" i="8"/>
  <c r="H55" i="8"/>
  <c r="H18" i="8"/>
  <c r="H183" i="8"/>
  <c r="H166" i="8"/>
  <c r="H118" i="8"/>
  <c r="H97" i="8"/>
  <c r="H75" i="8"/>
  <c r="H54" i="8"/>
  <c r="H17" i="8"/>
  <c r="H182" i="8"/>
  <c r="H165" i="8"/>
  <c r="H143" i="8"/>
  <c r="H95" i="8"/>
  <c r="H74" i="8"/>
  <c r="H53" i="8"/>
  <c r="H15" i="8"/>
  <c r="H156" i="8"/>
  <c r="H140" i="8"/>
  <c r="H124" i="8"/>
  <c r="H108" i="8"/>
  <c r="I108" i="8" s="1"/>
  <c r="H92" i="8"/>
  <c r="H76" i="8"/>
  <c r="H60" i="8"/>
  <c r="H28" i="8"/>
  <c r="H12" i="8"/>
  <c r="H199" i="8"/>
  <c r="H204" i="8"/>
  <c r="H206" i="8"/>
  <c r="D111" i="14"/>
  <c r="N111" i="14" s="1"/>
  <c r="D86" i="14"/>
  <c r="N86" i="14" s="1"/>
  <c r="G31" i="8"/>
  <c r="D88" i="14"/>
  <c r="N88" i="14" s="1"/>
  <c r="D87" i="14"/>
  <c r="N87" i="14" s="1"/>
  <c r="E208" i="8"/>
  <c r="E33" i="6"/>
  <c r="E34" i="6"/>
  <c r="D115" i="14"/>
  <c r="N115" i="14" s="1"/>
  <c r="D102" i="14"/>
  <c r="N102" i="14" s="1"/>
  <c r="D70" i="14"/>
  <c r="E73" i="8"/>
  <c r="F73" i="8" s="1"/>
  <c r="D117" i="14"/>
  <c r="N117" i="14" s="1"/>
  <c r="D101" i="14"/>
  <c r="N101" i="14" s="1"/>
  <c r="D85" i="14"/>
  <c r="N85" i="14" s="1"/>
  <c r="E88" i="8"/>
  <c r="D69" i="14"/>
  <c r="E72" i="8"/>
  <c r="F72" i="8" s="1"/>
  <c r="D53" i="14"/>
  <c r="E56" i="8"/>
  <c r="F56" i="8" s="1"/>
  <c r="D104" i="14"/>
  <c r="N104" i="14" s="1"/>
  <c r="D72" i="14"/>
  <c r="E75" i="8"/>
  <c r="F75" i="8" s="1"/>
  <c r="D56" i="14"/>
  <c r="E59" i="8"/>
  <c r="F59" i="8" s="1"/>
  <c r="D103" i="14"/>
  <c r="N103" i="14" s="1"/>
  <c r="D71" i="14"/>
  <c r="E74" i="8"/>
  <c r="F74" i="8" s="1"/>
  <c r="E101" i="8"/>
  <c r="D98" i="14"/>
  <c r="N98" i="14" s="1"/>
  <c r="D82" i="14"/>
  <c r="E85" i="8"/>
  <c r="F85" i="8" s="1"/>
  <c r="D66" i="14"/>
  <c r="E69" i="8"/>
  <c r="F69" i="8" s="1"/>
  <c r="D50" i="14"/>
  <c r="E53" i="8"/>
  <c r="F53" i="8" s="1"/>
  <c r="D97" i="14"/>
  <c r="N97" i="14" s="1"/>
  <c r="D81" i="14"/>
  <c r="D65" i="14"/>
  <c r="E68" i="8"/>
  <c r="F68" i="8" s="1"/>
  <c r="D49" i="14"/>
  <c r="D116" i="14"/>
  <c r="N116" i="14" s="1"/>
  <c r="D100" i="14"/>
  <c r="N100" i="14" s="1"/>
  <c r="D84" i="14"/>
  <c r="N84" i="14" s="1"/>
  <c r="D68" i="14"/>
  <c r="D52" i="14"/>
  <c r="E55" i="8"/>
  <c r="F55" i="8" s="1"/>
  <c r="D99" i="14"/>
  <c r="N99" i="14" s="1"/>
  <c r="E102" i="8"/>
  <c r="D83" i="14"/>
  <c r="D67" i="14"/>
  <c r="E70" i="8"/>
  <c r="F70" i="8" s="1"/>
  <c r="D51" i="14"/>
  <c r="E54" i="8"/>
  <c r="F54" i="8" s="1"/>
  <c r="D94" i="14"/>
  <c r="N94" i="14" s="1"/>
  <c r="D78" i="14"/>
  <c r="E81" i="8"/>
  <c r="F81" i="8" s="1"/>
  <c r="D62" i="14"/>
  <c r="D109" i="14"/>
  <c r="N109" i="14" s="1"/>
  <c r="D93" i="14"/>
  <c r="N93" i="14" s="1"/>
  <c r="D77" i="14"/>
  <c r="D61" i="14"/>
  <c r="E64" i="8"/>
  <c r="F64" i="8" s="1"/>
  <c r="D112" i="14"/>
  <c r="N112" i="14" s="1"/>
  <c r="D96" i="14"/>
  <c r="N96" i="14" s="1"/>
  <c r="D80" i="14"/>
  <c r="D64" i="14"/>
  <c r="E67" i="8"/>
  <c r="F67" i="8" s="1"/>
  <c r="D48" i="14"/>
  <c r="E51" i="8"/>
  <c r="F51" i="8" s="1"/>
  <c r="D95" i="14"/>
  <c r="N95" i="14" s="1"/>
  <c r="D79" i="14"/>
  <c r="E82" i="8"/>
  <c r="F82" i="8" s="1"/>
  <c r="D63" i="14"/>
  <c r="E66" i="8"/>
  <c r="F66" i="8" s="1"/>
  <c r="D47" i="14"/>
  <c r="D106" i="14"/>
  <c r="N106" i="14" s="1"/>
  <c r="D74" i="14"/>
  <c r="E77" i="8"/>
  <c r="F77" i="8" s="1"/>
  <c r="D58" i="14"/>
  <c r="E61" i="8"/>
  <c r="F61" i="8" s="1"/>
  <c r="D105" i="14"/>
  <c r="N105" i="14" s="1"/>
  <c r="D73" i="14"/>
  <c r="E76" i="8"/>
  <c r="F76" i="8" s="1"/>
  <c r="D57" i="14"/>
  <c r="E60" i="8"/>
  <c r="F60" i="8" s="1"/>
  <c r="D108" i="14"/>
  <c r="N108" i="14" s="1"/>
  <c r="D92" i="14"/>
  <c r="N92" i="14" s="1"/>
  <c r="D76" i="14"/>
  <c r="E79" i="8"/>
  <c r="F79" i="8" s="1"/>
  <c r="D60" i="14"/>
  <c r="D107" i="14"/>
  <c r="N107" i="14" s="1"/>
  <c r="D91" i="14"/>
  <c r="N91" i="14" s="1"/>
  <c r="D75" i="14"/>
  <c r="E78" i="8"/>
  <c r="F78" i="8" s="1"/>
  <c r="D59" i="14"/>
  <c r="E32" i="6"/>
  <c r="E30" i="6"/>
  <c r="E29" i="6"/>
  <c r="E24" i="6"/>
  <c r="E28" i="6"/>
  <c r="E17" i="6"/>
  <c r="E27" i="6"/>
  <c r="E26" i="6"/>
  <c r="E25" i="6"/>
  <c r="E23" i="6"/>
  <c r="E22" i="6"/>
  <c r="E19" i="6"/>
  <c r="E13" i="6"/>
  <c r="E12" i="6"/>
  <c r="E3" i="6"/>
  <c r="E11" i="6"/>
  <c r="E7" i="6"/>
  <c r="E4" i="6"/>
  <c r="E5" i="6"/>
  <c r="E9" i="6"/>
  <c r="E6" i="6"/>
  <c r="I156" i="8" l="1"/>
  <c r="H47" i="14"/>
  <c r="N47" i="14"/>
  <c r="H78" i="14"/>
  <c r="N78" i="14"/>
  <c r="H56" i="14"/>
  <c r="N56" i="14"/>
  <c r="H60" i="14"/>
  <c r="N60" i="14"/>
  <c r="H73" i="14"/>
  <c r="N73" i="14"/>
  <c r="H64" i="14"/>
  <c r="N64" i="14"/>
  <c r="H67" i="14"/>
  <c r="N67" i="14"/>
  <c r="H71" i="14"/>
  <c r="N71" i="14"/>
  <c r="H59" i="14"/>
  <c r="N59" i="14"/>
  <c r="H58" i="14"/>
  <c r="N58" i="14"/>
  <c r="H79" i="14"/>
  <c r="N79" i="14"/>
  <c r="H65" i="14"/>
  <c r="N65" i="14"/>
  <c r="H50" i="14"/>
  <c r="N50" i="14"/>
  <c r="H82" i="14"/>
  <c r="N82" i="14"/>
  <c r="H53" i="14"/>
  <c r="N53" i="14"/>
  <c r="H70" i="14"/>
  <c r="N70" i="14"/>
  <c r="H75" i="14"/>
  <c r="N75" i="14"/>
  <c r="H74" i="14"/>
  <c r="N74" i="14"/>
  <c r="H63" i="14"/>
  <c r="N63" i="14"/>
  <c r="H80" i="14"/>
  <c r="N80" i="14"/>
  <c r="H61" i="14"/>
  <c r="N61" i="14"/>
  <c r="H62" i="14"/>
  <c r="N62" i="14"/>
  <c r="H83" i="14"/>
  <c r="N83" i="14"/>
  <c r="H52" i="14"/>
  <c r="N52" i="14"/>
  <c r="H81" i="14"/>
  <c r="N81" i="14"/>
  <c r="H72" i="14"/>
  <c r="N72" i="14"/>
  <c r="H76" i="14"/>
  <c r="N76" i="14"/>
  <c r="H57" i="14"/>
  <c r="N57" i="14"/>
  <c r="H48" i="14"/>
  <c r="N48" i="14"/>
  <c r="H77" i="14"/>
  <c r="N77" i="14"/>
  <c r="H51" i="14"/>
  <c r="N51" i="14"/>
  <c r="H68" i="14"/>
  <c r="N68" i="14"/>
  <c r="H49" i="14"/>
  <c r="N49" i="14"/>
  <c r="H66" i="14"/>
  <c r="N66" i="14"/>
  <c r="H69" i="14"/>
  <c r="N69" i="14"/>
  <c r="F208" i="8"/>
  <c r="K208" i="8" s="1"/>
  <c r="F88" i="8"/>
  <c r="K88" i="8" s="1"/>
  <c r="F101" i="8"/>
  <c r="K101" i="8" s="1"/>
  <c r="I58" i="8"/>
  <c r="I149" i="8"/>
  <c r="I208" i="8"/>
  <c r="I207" i="8"/>
  <c r="I62" i="8"/>
  <c r="I151" i="8"/>
  <c r="I126" i="8"/>
  <c r="I61" i="8"/>
  <c r="I66" i="8"/>
  <c r="I18" i="8"/>
  <c r="I82" i="8"/>
  <c r="I191" i="8"/>
  <c r="I118" i="8"/>
  <c r="I192" i="8"/>
  <c r="I93" i="8"/>
  <c r="I114" i="8"/>
  <c r="J90" i="8"/>
  <c r="J168" i="8"/>
  <c r="J150" i="8"/>
  <c r="I106" i="8"/>
  <c r="J92" i="8"/>
  <c r="J91" i="8"/>
  <c r="J110" i="8"/>
  <c r="J148" i="8"/>
  <c r="J111" i="8"/>
  <c r="J126" i="8"/>
  <c r="J94" i="8"/>
  <c r="J121" i="8"/>
  <c r="J125" i="8"/>
  <c r="J149" i="8"/>
  <c r="J155" i="8"/>
  <c r="J181" i="8"/>
  <c r="J159" i="8"/>
  <c r="J106" i="8"/>
  <c r="J147" i="8"/>
  <c r="J124" i="8"/>
  <c r="J107" i="8"/>
  <c r="J120" i="8"/>
  <c r="J95" i="8"/>
  <c r="J112" i="8"/>
  <c r="F102" i="8"/>
  <c r="K102" i="8" s="1"/>
  <c r="J86" i="14"/>
  <c r="J111" i="14"/>
  <c r="D6" i="8"/>
  <c r="I183" i="8"/>
  <c r="I168" i="8"/>
  <c r="I90" i="8"/>
  <c r="I135" i="8"/>
  <c r="I194" i="8"/>
  <c r="I76" i="8"/>
  <c r="I74" i="8"/>
  <c r="I166" i="8"/>
  <c r="I125" i="8"/>
  <c r="I193" i="8"/>
  <c r="I68" i="8"/>
  <c r="I130" i="8"/>
  <c r="I139" i="8"/>
  <c r="I28" i="8"/>
  <c r="I119" i="8"/>
  <c r="I144" i="8"/>
  <c r="I79" i="8"/>
  <c r="I170" i="8"/>
  <c r="I73" i="8"/>
  <c r="I91" i="8"/>
  <c r="I189" i="8"/>
  <c r="I16" i="8"/>
  <c r="I96" i="8"/>
  <c r="I102" i="8"/>
  <c r="I103" i="8"/>
  <c r="I177" i="8"/>
  <c r="I113" i="8"/>
  <c r="I195" i="8"/>
  <c r="I190" i="8"/>
  <c r="I57" i="8"/>
  <c r="E113" i="8"/>
  <c r="F113" i="8" s="1"/>
  <c r="K113" i="8" s="1"/>
  <c r="I60" i="8"/>
  <c r="I54" i="8"/>
  <c r="I186" i="8"/>
  <c r="I184" i="8"/>
  <c r="I188" i="8"/>
  <c r="I150" i="8"/>
  <c r="I115" i="8"/>
  <c r="I200" i="8"/>
  <c r="I159" i="8"/>
  <c r="I49" i="8"/>
  <c r="I109" i="8"/>
  <c r="I173" i="8"/>
  <c r="I165" i="8"/>
  <c r="I75" i="8"/>
  <c r="I77" i="8"/>
  <c r="I205" i="8"/>
  <c r="I48" i="8"/>
  <c r="I129" i="8"/>
  <c r="I63" i="8"/>
  <c r="I65" i="8"/>
  <c r="I99" i="8"/>
  <c r="I182" i="8"/>
  <c r="I180" i="8"/>
  <c r="I201" i="8"/>
  <c r="I128" i="8"/>
  <c r="I59" i="8"/>
  <c r="I146" i="8"/>
  <c r="I141" i="8"/>
  <c r="I101" i="8"/>
  <c r="I89" i="8"/>
  <c r="I7" i="8"/>
  <c r="I56" i="8"/>
  <c r="I176" i="8"/>
  <c r="I78" i="8"/>
  <c r="I97" i="8"/>
  <c r="I64" i="8"/>
  <c r="I46" i="8"/>
  <c r="I174" i="8"/>
  <c r="I51" i="8"/>
  <c r="I88" i="8"/>
  <c r="I185" i="8"/>
  <c r="I142" i="8"/>
  <c r="I140" i="8"/>
  <c r="I30" i="8"/>
  <c r="I131" i="8"/>
  <c r="I132" i="8"/>
  <c r="I154" i="8"/>
  <c r="I29" i="8"/>
  <c r="I19" i="8"/>
  <c r="I197" i="8"/>
  <c r="I72" i="8"/>
  <c r="I8" i="8"/>
  <c r="I133" i="8"/>
  <c r="I110" i="8"/>
  <c r="I178" i="8"/>
  <c r="I147" i="8"/>
  <c r="I52" i="8"/>
  <c r="I157" i="8"/>
  <c r="I9" i="8"/>
  <c r="I15" i="8"/>
  <c r="C4" i="5"/>
  <c r="G4" i="5" s="1"/>
  <c r="D5" i="14"/>
  <c r="D6" i="14"/>
  <c r="D49" i="5"/>
  <c r="E49" i="5" s="1"/>
  <c r="D45" i="5"/>
  <c r="E45" i="5" s="1"/>
  <c r="D41" i="5"/>
  <c r="E41" i="5" s="1"/>
  <c r="D37" i="5"/>
  <c r="E37" i="5" s="1"/>
  <c r="D33" i="5"/>
  <c r="E33" i="5" s="1"/>
  <c r="D29" i="5"/>
  <c r="E29" i="5" s="1"/>
  <c r="D25" i="5"/>
  <c r="E25" i="5" s="1"/>
  <c r="D21" i="5"/>
  <c r="E21" i="5" s="1"/>
  <c r="D48" i="5"/>
  <c r="E48" i="5" s="1"/>
  <c r="D44" i="5"/>
  <c r="E44" i="5" s="1"/>
  <c r="D40" i="5"/>
  <c r="E40" i="5" s="1"/>
  <c r="D36" i="5"/>
  <c r="E36" i="5" s="1"/>
  <c r="D32" i="5"/>
  <c r="E32" i="5" s="1"/>
  <c r="D28" i="5"/>
  <c r="E28" i="5" s="1"/>
  <c r="D24" i="5"/>
  <c r="E24" i="5" s="1"/>
  <c r="D20" i="5"/>
  <c r="E20" i="5" s="1"/>
  <c r="D47" i="5"/>
  <c r="E47" i="5" s="1"/>
  <c r="D43" i="5"/>
  <c r="E43" i="5" s="1"/>
  <c r="D39" i="5"/>
  <c r="E39" i="5" s="1"/>
  <c r="D35" i="5"/>
  <c r="E35" i="5" s="1"/>
  <c r="D31" i="5"/>
  <c r="E31" i="5" s="1"/>
  <c r="D27" i="5"/>
  <c r="E27" i="5" s="1"/>
  <c r="D23" i="5"/>
  <c r="E23" i="5" s="1"/>
  <c r="D19" i="5"/>
  <c r="E19" i="5" s="1"/>
  <c r="D3" i="5"/>
  <c r="E3" i="5" s="1"/>
  <c r="D46" i="5"/>
  <c r="E46" i="5" s="1"/>
  <c r="D42" i="5"/>
  <c r="E42" i="5" s="1"/>
  <c r="D38" i="5"/>
  <c r="E38" i="5" s="1"/>
  <c r="D34" i="5"/>
  <c r="E34" i="5" s="1"/>
  <c r="D30" i="5"/>
  <c r="E30" i="5" s="1"/>
  <c r="D26" i="5"/>
  <c r="E26" i="5" s="1"/>
  <c r="D22" i="5"/>
  <c r="E22" i="5" s="1"/>
  <c r="I81" i="8"/>
  <c r="I70" i="8"/>
  <c r="I134" i="8"/>
  <c r="I53" i="8"/>
  <c r="I204" i="8"/>
  <c r="I124" i="8"/>
  <c r="I155" i="8"/>
  <c r="I171" i="8"/>
  <c r="I50" i="8"/>
  <c r="I196" i="8"/>
  <c r="I104" i="8"/>
  <c r="I164" i="8"/>
  <c r="I67" i="8"/>
  <c r="I26" i="8"/>
  <c r="I127" i="8"/>
  <c r="I158" i="8"/>
  <c r="I160" i="8"/>
  <c r="I27" i="8"/>
  <c r="I105" i="8"/>
  <c r="I10" i="8"/>
  <c r="I55" i="8"/>
  <c r="I20" i="8"/>
  <c r="I17" i="8"/>
  <c r="I187" i="8"/>
  <c r="I203" i="8"/>
  <c r="I181" i="8"/>
  <c r="I202" i="8"/>
  <c r="I71" i="8"/>
  <c r="I25" i="8"/>
  <c r="I199" i="8"/>
  <c r="I112" i="8"/>
  <c r="I22" i="8"/>
  <c r="I47" i="8"/>
  <c r="I11" i="8"/>
  <c r="I98" i="8"/>
  <c r="I143" i="8"/>
  <c r="I80" i="8"/>
  <c r="I107" i="8"/>
  <c r="I12" i="8"/>
  <c r="I92" i="8"/>
  <c r="I95" i="8"/>
  <c r="I153" i="8"/>
  <c r="I94" i="8"/>
  <c r="H106" i="14"/>
  <c r="O106" i="14" s="1"/>
  <c r="J106" i="14"/>
  <c r="H109" i="14"/>
  <c r="O109" i="14" s="1"/>
  <c r="J109" i="14"/>
  <c r="H105" i="14"/>
  <c r="O105" i="14" s="1"/>
  <c r="J105" i="14"/>
  <c r="H95" i="14"/>
  <c r="O95" i="14" s="1"/>
  <c r="J95" i="14"/>
  <c r="H96" i="14"/>
  <c r="O96" i="14" s="1"/>
  <c r="J96" i="14"/>
  <c r="H93" i="14"/>
  <c r="O93" i="14" s="1"/>
  <c r="J93" i="14"/>
  <c r="H94" i="14"/>
  <c r="O94" i="14" s="1"/>
  <c r="J94" i="14"/>
  <c r="H99" i="14"/>
  <c r="O99" i="14" s="1"/>
  <c r="J99" i="14"/>
  <c r="H100" i="14"/>
  <c r="O100" i="14" s="1"/>
  <c r="J100" i="14"/>
  <c r="I13" i="8"/>
  <c r="H107" i="14"/>
  <c r="O107" i="14" s="1"/>
  <c r="J107" i="14"/>
  <c r="H108" i="14"/>
  <c r="O108" i="14" s="1"/>
  <c r="J108" i="14"/>
  <c r="H98" i="14"/>
  <c r="O98" i="14" s="1"/>
  <c r="J98" i="14"/>
  <c r="H103" i="14"/>
  <c r="O103" i="14" s="1"/>
  <c r="J103" i="14"/>
  <c r="H85" i="14"/>
  <c r="O85" i="14" s="1"/>
  <c r="J85" i="14"/>
  <c r="H117" i="14"/>
  <c r="O117" i="14" s="1"/>
  <c r="J117" i="14"/>
  <c r="H102" i="14"/>
  <c r="O102" i="14" s="1"/>
  <c r="J102" i="14"/>
  <c r="H88" i="14"/>
  <c r="O88" i="14" s="1"/>
  <c r="J88" i="14"/>
  <c r="H111" i="14"/>
  <c r="O111" i="14" s="1"/>
  <c r="I206" i="8"/>
  <c r="H86" i="14"/>
  <c r="O86" i="14" s="1"/>
  <c r="H112" i="14"/>
  <c r="O112" i="14" s="1"/>
  <c r="J112" i="14"/>
  <c r="H110" i="14"/>
  <c r="O110" i="14" s="1"/>
  <c r="J110" i="14"/>
  <c r="H84" i="14"/>
  <c r="O84" i="14" s="1"/>
  <c r="J84" i="14"/>
  <c r="H116" i="14"/>
  <c r="O116" i="14" s="1"/>
  <c r="J116" i="14"/>
  <c r="H97" i="14"/>
  <c r="O97" i="14" s="1"/>
  <c r="J97" i="14"/>
  <c r="H91" i="14"/>
  <c r="O91" i="14" s="1"/>
  <c r="J91" i="14"/>
  <c r="H92" i="14"/>
  <c r="O92" i="14" s="1"/>
  <c r="J92" i="14"/>
  <c r="H104" i="14"/>
  <c r="O104" i="14" s="1"/>
  <c r="J104" i="14"/>
  <c r="H101" i="14"/>
  <c r="O101" i="14" s="1"/>
  <c r="J101" i="14"/>
  <c r="H115" i="14"/>
  <c r="O115" i="14" s="1"/>
  <c r="J115" i="14"/>
  <c r="H87" i="14"/>
  <c r="O87" i="14" s="1"/>
  <c r="J87" i="14"/>
  <c r="G6" i="8"/>
  <c r="H6" i="8"/>
  <c r="E89" i="8"/>
  <c r="F89" i="8" s="1"/>
  <c r="K89" i="8" s="1"/>
  <c r="D113" i="14"/>
  <c r="N113" i="14" s="1"/>
  <c r="D26" i="14"/>
  <c r="N26" i="14" s="1"/>
  <c r="D11" i="14"/>
  <c r="D16" i="14"/>
  <c r="D12" i="14"/>
  <c r="D10" i="14"/>
  <c r="D14" i="14"/>
  <c r="D9" i="14"/>
  <c r="D17" i="14"/>
  <c r="D90" i="14"/>
  <c r="N90" i="14" s="1"/>
  <c r="D19" i="14"/>
  <c r="D23" i="14"/>
  <c r="D27" i="14"/>
  <c r="D24" i="14"/>
  <c r="D8" i="14"/>
  <c r="D177" i="14"/>
  <c r="N177" i="14" s="1"/>
  <c r="D3" i="14"/>
  <c r="E6" i="8"/>
  <c r="D89" i="14"/>
  <c r="N89" i="14" s="1"/>
  <c r="D114" i="14"/>
  <c r="N114" i="14" s="1"/>
  <c r="E183" i="8"/>
  <c r="F183" i="8" s="1"/>
  <c r="K183" i="8" s="1"/>
  <c r="O39" i="3"/>
  <c r="K39" i="3"/>
  <c r="P38" i="3"/>
  <c r="P39" i="3" s="1"/>
  <c r="O38" i="3"/>
  <c r="O35" i="3"/>
  <c r="N35" i="3" s="1"/>
  <c r="M35" i="3"/>
  <c r="I35" i="3"/>
  <c r="F35" i="3"/>
  <c r="O32" i="3"/>
  <c r="K32" i="3"/>
  <c r="K31" i="3"/>
  <c r="P30" i="3"/>
  <c r="P31" i="3" s="1"/>
  <c r="P32" i="3" s="1"/>
  <c r="O30" i="3"/>
  <c r="K30" i="3"/>
  <c r="M27" i="3"/>
  <c r="K27" i="3"/>
  <c r="J27" i="3" s="1"/>
  <c r="I27" i="3"/>
  <c r="F27" i="3"/>
  <c r="O24" i="3"/>
  <c r="K24" i="3"/>
  <c r="K23" i="3"/>
  <c r="K19" i="3" s="1"/>
  <c r="J19" i="3" s="1"/>
  <c r="N23" i="3" s="1"/>
  <c r="O23" i="3" s="1"/>
  <c r="O19" i="3" s="1"/>
  <c r="N19" i="3" s="1"/>
  <c r="P22" i="3"/>
  <c r="P23" i="3" s="1"/>
  <c r="P24" i="3" s="1"/>
  <c r="O22" i="3"/>
  <c r="K22" i="3"/>
  <c r="M19" i="3"/>
  <c r="I19" i="3"/>
  <c r="F19" i="3"/>
  <c r="O14" i="3"/>
  <c r="K14" i="3"/>
  <c r="O13" i="3"/>
  <c r="K13" i="3"/>
  <c r="O12" i="3"/>
  <c r="K12" i="3"/>
  <c r="K11" i="3"/>
  <c r="O10" i="3"/>
  <c r="K10" i="3"/>
  <c r="O9" i="3"/>
  <c r="K9" i="3"/>
  <c r="O8" i="3"/>
  <c r="K8" i="3"/>
  <c r="O7" i="3"/>
  <c r="K7" i="3"/>
  <c r="K2" i="3" s="1"/>
  <c r="J2" i="3" s="1"/>
  <c r="O6" i="3"/>
  <c r="K6" i="3"/>
  <c r="P5" i="3"/>
  <c r="P6" i="3" s="1"/>
  <c r="P7" i="3" s="1"/>
  <c r="P8" i="3" s="1"/>
  <c r="P9" i="3" s="1"/>
  <c r="P10" i="3" s="1"/>
  <c r="P11" i="3" s="1"/>
  <c r="P12" i="3" s="1"/>
  <c r="P13" i="3" s="1"/>
  <c r="P14" i="3" s="1"/>
  <c r="O5" i="3"/>
  <c r="K5" i="3"/>
  <c r="M2" i="3"/>
  <c r="I2" i="3"/>
  <c r="F2" i="3"/>
  <c r="O69" i="14" l="1"/>
  <c r="O49" i="14"/>
  <c r="O51" i="14"/>
  <c r="O48" i="14"/>
  <c r="O76" i="14"/>
  <c r="O81" i="14"/>
  <c r="O83" i="14"/>
  <c r="O61" i="14"/>
  <c r="O63" i="14"/>
  <c r="O75" i="14"/>
  <c r="O53" i="14"/>
  <c r="O50" i="14"/>
  <c r="O79" i="14"/>
  <c r="O59" i="14"/>
  <c r="O66" i="14"/>
  <c r="O68" i="14"/>
  <c r="O77" i="14"/>
  <c r="O57" i="14"/>
  <c r="O72" i="14"/>
  <c r="O67" i="14"/>
  <c r="O52" i="14"/>
  <c r="O62" i="14"/>
  <c r="O80" i="14"/>
  <c r="O73" i="14"/>
  <c r="O74" i="14"/>
  <c r="O70" i="14"/>
  <c r="O82" i="14"/>
  <c r="O65" i="14"/>
  <c r="O58" i="14"/>
  <c r="O71" i="14"/>
  <c r="O56" i="14"/>
  <c r="O64" i="14"/>
  <c r="O60" i="14"/>
  <c r="O78" i="14"/>
  <c r="O47" i="14"/>
  <c r="F6" i="8"/>
  <c r="H17" i="14"/>
  <c r="N17" i="14"/>
  <c r="H9" i="14"/>
  <c r="N9" i="14"/>
  <c r="H16" i="14"/>
  <c r="N16" i="14"/>
  <c r="H3" i="14"/>
  <c r="N3" i="14"/>
  <c r="H24" i="14"/>
  <c r="N24" i="14"/>
  <c r="H14" i="14"/>
  <c r="N14" i="14"/>
  <c r="H11" i="14"/>
  <c r="N11" i="14"/>
  <c r="H6" i="14"/>
  <c r="N6" i="14"/>
  <c r="H19" i="14"/>
  <c r="N19" i="14"/>
  <c r="H8" i="14"/>
  <c r="N8" i="14"/>
  <c r="H27" i="14"/>
  <c r="N27" i="14"/>
  <c r="H10" i="14"/>
  <c r="N10" i="14"/>
  <c r="H26" i="14"/>
  <c r="O26" i="14" s="1"/>
  <c r="H5" i="14"/>
  <c r="N5" i="14"/>
  <c r="H23" i="14"/>
  <c r="N23" i="14"/>
  <c r="H12" i="14"/>
  <c r="N12" i="14"/>
  <c r="H83" i="8"/>
  <c r="I83" i="8" s="1"/>
  <c r="H167" i="8"/>
  <c r="I167" i="8" s="1"/>
  <c r="E10" i="8"/>
  <c r="F10" i="8" s="1"/>
  <c r="E106" i="8"/>
  <c r="F106" i="8" s="1"/>
  <c r="K106" i="8" s="1"/>
  <c r="E107" i="8"/>
  <c r="F107" i="8" s="1"/>
  <c r="K107" i="8" s="1"/>
  <c r="E16" i="8"/>
  <c r="F16" i="8" s="1"/>
  <c r="H120" i="8"/>
  <c r="I120" i="8" s="1"/>
  <c r="E8" i="8"/>
  <c r="F8" i="8" s="1"/>
  <c r="E9" i="8"/>
  <c r="F9" i="8" s="1"/>
  <c r="C8" i="5"/>
  <c r="G8" i="5" s="1"/>
  <c r="D180" i="14"/>
  <c r="N180" i="14" s="1"/>
  <c r="D147" i="14"/>
  <c r="N147" i="14" s="1"/>
  <c r="E185" i="8"/>
  <c r="F185" i="8" s="1"/>
  <c r="K185" i="8" s="1"/>
  <c r="D22" i="14"/>
  <c r="D18" i="14"/>
  <c r="C5" i="5"/>
  <c r="G5" i="5" s="1"/>
  <c r="E32" i="8"/>
  <c r="F32" i="8" s="1"/>
  <c r="H43" i="8"/>
  <c r="I43" i="8" s="1"/>
  <c r="H179" i="8"/>
  <c r="I179" i="8" s="1"/>
  <c r="E58" i="8"/>
  <c r="F58" i="8" s="1"/>
  <c r="D55" i="14"/>
  <c r="E17" i="8"/>
  <c r="F17" i="8" s="1"/>
  <c r="E19" i="8"/>
  <c r="F19" i="8" s="1"/>
  <c r="I6" i="8"/>
  <c r="D7" i="14"/>
  <c r="D13" i="14"/>
  <c r="H177" i="14"/>
  <c r="O177" i="14" s="1"/>
  <c r="J177" i="14"/>
  <c r="H113" i="14"/>
  <c r="O113" i="14" s="1"/>
  <c r="J113" i="14"/>
  <c r="H89" i="14"/>
  <c r="O89" i="14" s="1"/>
  <c r="J89" i="14"/>
  <c r="H90" i="14"/>
  <c r="O90" i="14" s="1"/>
  <c r="J90" i="14"/>
  <c r="H114" i="14"/>
  <c r="O114" i="14" s="1"/>
  <c r="J114" i="14"/>
  <c r="H32" i="8"/>
  <c r="I32" i="8" s="1"/>
  <c r="D168" i="14"/>
  <c r="N168" i="14" s="1"/>
  <c r="D183" i="14"/>
  <c r="N183" i="14" s="1"/>
  <c r="E29" i="8"/>
  <c r="F29" i="8" s="1"/>
  <c r="E180" i="8"/>
  <c r="F180" i="8" s="1"/>
  <c r="D127" i="14"/>
  <c r="N127" i="14" s="1"/>
  <c r="E15" i="8"/>
  <c r="F15" i="8" s="1"/>
  <c r="E13" i="8"/>
  <c r="F13" i="8" s="1"/>
  <c r="E97" i="8"/>
  <c r="F97" i="8" s="1"/>
  <c r="D28" i="14"/>
  <c r="E199" i="8"/>
  <c r="F199" i="8" s="1"/>
  <c r="K199" i="8" s="1"/>
  <c r="E206" i="8"/>
  <c r="F206" i="8" s="1"/>
  <c r="K206" i="8" s="1"/>
  <c r="E198" i="8"/>
  <c r="F198" i="8" s="1"/>
  <c r="K198" i="8" s="1"/>
  <c r="E193" i="8"/>
  <c r="F193" i="8" s="1"/>
  <c r="K193" i="8" s="1"/>
  <c r="D189" i="14"/>
  <c r="N189" i="14" s="1"/>
  <c r="E25" i="8"/>
  <c r="F25" i="8" s="1"/>
  <c r="D31" i="14"/>
  <c r="D186" i="14"/>
  <c r="N186" i="14" s="1"/>
  <c r="E200" i="8"/>
  <c r="F200" i="8" s="1"/>
  <c r="K200" i="8" s="1"/>
  <c r="E204" i="8"/>
  <c r="F204" i="8" s="1"/>
  <c r="K204" i="8" s="1"/>
  <c r="E134" i="8"/>
  <c r="F134" i="8" s="1"/>
  <c r="D187" i="14"/>
  <c r="N187" i="14" s="1"/>
  <c r="E7" i="8"/>
  <c r="F7" i="8" s="1"/>
  <c r="D4" i="14"/>
  <c r="D188" i="14"/>
  <c r="N188" i="14" s="1"/>
  <c r="E145" i="8"/>
  <c r="F145" i="8" s="1"/>
  <c r="E207" i="8"/>
  <c r="F207" i="8" s="1"/>
  <c r="K207" i="8" s="1"/>
  <c r="E196" i="8"/>
  <c r="F196" i="8" s="1"/>
  <c r="K196" i="8" s="1"/>
  <c r="D20" i="14"/>
  <c r="E22" i="8"/>
  <c r="F22" i="8" s="1"/>
  <c r="E12" i="8"/>
  <c r="F12" i="8" s="1"/>
  <c r="E105" i="8"/>
  <c r="F105" i="8" s="1"/>
  <c r="E26" i="8"/>
  <c r="F26" i="8" s="1"/>
  <c r="E20" i="8"/>
  <c r="F20" i="8" s="1"/>
  <c r="E30" i="8"/>
  <c r="F30" i="8" s="1"/>
  <c r="E174" i="8"/>
  <c r="F174" i="8" s="1"/>
  <c r="D139" i="14"/>
  <c r="N139" i="14" s="1"/>
  <c r="D144" i="14"/>
  <c r="N144" i="14" s="1"/>
  <c r="E36" i="8"/>
  <c r="F36" i="8" s="1"/>
  <c r="D42" i="14"/>
  <c r="D137" i="14"/>
  <c r="N137" i="14" s="1"/>
  <c r="E39" i="8"/>
  <c r="F39" i="8" s="1"/>
  <c r="E11" i="8"/>
  <c r="F11" i="8" s="1"/>
  <c r="D41" i="14"/>
  <c r="E48" i="8"/>
  <c r="F48" i="8" s="1"/>
  <c r="D34" i="14"/>
  <c r="D39" i="14"/>
  <c r="D43" i="14"/>
  <c r="N43" i="14" s="1"/>
  <c r="D40" i="14"/>
  <c r="N40" i="14" s="1"/>
  <c r="D44" i="14"/>
  <c r="N44" i="14" s="1"/>
  <c r="D143" i="14"/>
  <c r="N143" i="14" s="1"/>
  <c r="E83" i="8"/>
  <c r="F83" i="8" s="1"/>
  <c r="E63" i="8"/>
  <c r="F63" i="8" s="1"/>
  <c r="E100" i="8"/>
  <c r="F100" i="8" s="1"/>
  <c r="E93" i="8"/>
  <c r="F93" i="8" s="1"/>
  <c r="K93" i="8" s="1"/>
  <c r="D150" i="14"/>
  <c r="N150" i="14" s="1"/>
  <c r="E62" i="8"/>
  <c r="F62" i="8" s="1"/>
  <c r="E108" i="8"/>
  <c r="F108" i="8" s="1"/>
  <c r="K108" i="8" s="1"/>
  <c r="E109" i="8"/>
  <c r="F109" i="8" s="1"/>
  <c r="K109" i="8" s="1"/>
  <c r="D25" i="14"/>
  <c r="N25" i="14" s="1"/>
  <c r="D161" i="14"/>
  <c r="N161" i="14" s="1"/>
  <c r="D178" i="14"/>
  <c r="N178" i="14" s="1"/>
  <c r="E90" i="8"/>
  <c r="F90" i="8" s="1"/>
  <c r="K90" i="8" s="1"/>
  <c r="E80" i="8"/>
  <c r="F80" i="8" s="1"/>
  <c r="E177" i="8"/>
  <c r="F177" i="8" s="1"/>
  <c r="E112" i="8"/>
  <c r="F112" i="8" s="1"/>
  <c r="K112" i="8" s="1"/>
  <c r="D181" i="14"/>
  <c r="N181" i="14" s="1"/>
  <c r="E184" i="8"/>
  <c r="F184" i="8" s="1"/>
  <c r="K184" i="8" s="1"/>
  <c r="D138" i="14"/>
  <c r="N138" i="14" s="1"/>
  <c r="E141" i="8"/>
  <c r="F141" i="8" s="1"/>
  <c r="K141" i="8" s="1"/>
  <c r="G6" i="5"/>
  <c r="D21" i="14"/>
  <c r="N21" i="14" s="1"/>
  <c r="E24" i="8"/>
  <c r="F24" i="8" s="1"/>
  <c r="D165" i="14"/>
  <c r="N165" i="14" s="1"/>
  <c r="E168" i="8"/>
  <c r="F168" i="8" s="1"/>
  <c r="K168" i="8" s="1"/>
  <c r="D15" i="14"/>
  <c r="N15" i="14" s="1"/>
  <c r="E18" i="8"/>
  <c r="F18" i="8" s="1"/>
  <c r="E20" i="6"/>
  <c r="E21" i="6"/>
  <c r="E18" i="6"/>
  <c r="E16" i="6"/>
  <c r="E15" i="6"/>
  <c r="E14" i="6"/>
  <c r="E10" i="6"/>
  <c r="D3" i="8"/>
  <c r="J129" i="8"/>
  <c r="G3" i="8"/>
  <c r="N31" i="3"/>
  <c r="O31" i="3" s="1"/>
  <c r="J38" i="3" s="1"/>
  <c r="K38" i="3" s="1"/>
  <c r="K35" i="3" s="1"/>
  <c r="J35" i="3" s="1"/>
  <c r="G27" i="3"/>
  <c r="G19" i="3"/>
  <c r="G35" i="3"/>
  <c r="O2" i="3"/>
  <c r="N2" i="3" s="1"/>
  <c r="G2" i="3"/>
  <c r="N11" i="3"/>
  <c r="O11" i="3" s="1"/>
  <c r="O27" i="3"/>
  <c r="N27" i="3" s="1"/>
  <c r="O10" i="14" l="1"/>
  <c r="O8" i="14"/>
  <c r="O6" i="14"/>
  <c r="O14" i="14"/>
  <c r="O3" i="14"/>
  <c r="O27" i="14"/>
  <c r="O19" i="14"/>
  <c r="O11" i="14"/>
  <c r="O24" i="14"/>
  <c r="O16" i="14"/>
  <c r="O9" i="14"/>
  <c r="O17" i="14"/>
  <c r="O12" i="14"/>
  <c r="O5" i="14"/>
  <c r="O23" i="14"/>
  <c r="H41" i="14"/>
  <c r="N41" i="14"/>
  <c r="H20" i="14"/>
  <c r="N20" i="14"/>
  <c r="H31" i="14"/>
  <c r="N31" i="14"/>
  <c r="H28" i="14"/>
  <c r="N28" i="14"/>
  <c r="H18" i="14"/>
  <c r="N18" i="14"/>
  <c r="H39" i="14"/>
  <c r="N39" i="14"/>
  <c r="H42" i="14"/>
  <c r="N42" i="14"/>
  <c r="H4" i="14"/>
  <c r="N4" i="14"/>
  <c r="H13" i="14"/>
  <c r="N13" i="14"/>
  <c r="H22" i="14"/>
  <c r="N22" i="14"/>
  <c r="H7" i="14"/>
  <c r="N7" i="14"/>
  <c r="H55" i="14"/>
  <c r="N55" i="14"/>
  <c r="H34" i="14"/>
  <c r="N34" i="14"/>
  <c r="E111" i="8"/>
  <c r="F111" i="8" s="1"/>
  <c r="K111" i="8" s="1"/>
  <c r="E52" i="8"/>
  <c r="F52" i="8" s="1"/>
  <c r="E92" i="8"/>
  <c r="F92" i="8" s="1"/>
  <c r="K92" i="8" s="1"/>
  <c r="H162" i="8"/>
  <c r="I162" i="8" s="1"/>
  <c r="H169" i="8"/>
  <c r="I169" i="8" s="1"/>
  <c r="E27" i="8"/>
  <c r="F27" i="8" s="1"/>
  <c r="E86" i="8"/>
  <c r="F86" i="8" s="1"/>
  <c r="H136" i="8"/>
  <c r="I136" i="8" s="1"/>
  <c r="H152" i="8"/>
  <c r="I152" i="8" s="1"/>
  <c r="H87" i="8"/>
  <c r="I87" i="8" s="1"/>
  <c r="H24" i="8"/>
  <c r="I24" i="8" s="1"/>
  <c r="H163" i="8"/>
  <c r="I163" i="8" s="1"/>
  <c r="H117" i="8"/>
  <c r="I117" i="8" s="1"/>
  <c r="E28" i="8"/>
  <c r="F28" i="8" s="1"/>
  <c r="J162" i="8"/>
  <c r="J169" i="8"/>
  <c r="J135" i="8"/>
  <c r="J99" i="8"/>
  <c r="J131" i="8"/>
  <c r="J96" i="8"/>
  <c r="J171" i="8"/>
  <c r="J170" i="8"/>
  <c r="J142" i="8"/>
  <c r="J153" i="8"/>
  <c r="J134" i="8"/>
  <c r="K134" i="8" s="1"/>
  <c r="J177" i="8"/>
  <c r="K177" i="8" s="1"/>
  <c r="J137" i="8"/>
  <c r="J100" i="8"/>
  <c r="K100" i="8" s="1"/>
  <c r="J133" i="8"/>
  <c r="J98" i="8"/>
  <c r="J139" i="8"/>
  <c r="J103" i="8"/>
  <c r="J143" i="8"/>
  <c r="J104" i="8"/>
  <c r="J167" i="8"/>
  <c r="J178" i="8"/>
  <c r="H21" i="8"/>
  <c r="I21" i="8" s="1"/>
  <c r="H14" i="8"/>
  <c r="I14" i="8" s="1"/>
  <c r="E118" i="8"/>
  <c r="F118" i="8" s="1"/>
  <c r="E71" i="8"/>
  <c r="F71" i="8" s="1"/>
  <c r="H86" i="8"/>
  <c r="I86" i="8" s="1"/>
  <c r="H23" i="8"/>
  <c r="I23" i="8" s="1"/>
  <c r="E146" i="8"/>
  <c r="F146" i="8" s="1"/>
  <c r="K146" i="8" s="1"/>
  <c r="J161" i="8"/>
  <c r="J116" i="8"/>
  <c r="J163" i="8"/>
  <c r="J117" i="8"/>
  <c r="J172" i="8"/>
  <c r="J179" i="8"/>
  <c r="J180" i="8"/>
  <c r="K180" i="8" s="1"/>
  <c r="J127" i="8"/>
  <c r="E94" i="8"/>
  <c r="F94" i="8" s="1"/>
  <c r="K94" i="8" s="1"/>
  <c r="H137" i="8"/>
  <c r="I137" i="8" s="1"/>
  <c r="H100" i="8"/>
  <c r="I100" i="8" s="1"/>
  <c r="H138" i="8"/>
  <c r="I138" i="8" s="1"/>
  <c r="H175" i="8"/>
  <c r="I175" i="8" s="1"/>
  <c r="E35" i="8"/>
  <c r="F35" i="8" s="1"/>
  <c r="E14" i="8"/>
  <c r="F14" i="8" s="1"/>
  <c r="J165" i="8"/>
  <c r="J118" i="8"/>
  <c r="J138" i="8"/>
  <c r="J175" i="8"/>
  <c r="J174" i="8"/>
  <c r="K174" i="8" s="1"/>
  <c r="J122" i="8"/>
  <c r="J176" i="8"/>
  <c r="J123" i="8"/>
  <c r="J136" i="8"/>
  <c r="J152" i="8"/>
  <c r="J160" i="8"/>
  <c r="J157" i="8"/>
  <c r="J144" i="8"/>
  <c r="J105" i="8"/>
  <c r="K105" i="8" s="1"/>
  <c r="J145" i="8"/>
  <c r="K145" i="8" s="1"/>
  <c r="J154" i="8"/>
  <c r="J166" i="8"/>
  <c r="J119" i="8"/>
  <c r="J132" i="8"/>
  <c r="J97" i="8"/>
  <c r="K97" i="8" s="1"/>
  <c r="E110" i="8"/>
  <c r="F110" i="8" s="1"/>
  <c r="K110" i="8" s="1"/>
  <c r="E50" i="8"/>
  <c r="F50" i="8" s="1"/>
  <c r="E117" i="8"/>
  <c r="F117" i="8" s="1"/>
  <c r="E65" i="8"/>
  <c r="F65" i="8" s="1"/>
  <c r="H161" i="8"/>
  <c r="I161" i="8" s="1"/>
  <c r="H116" i="8"/>
  <c r="I116" i="8" s="1"/>
  <c r="H84" i="8"/>
  <c r="I84" i="8" s="1"/>
  <c r="H145" i="8"/>
  <c r="I145" i="8" s="1"/>
  <c r="E84" i="8"/>
  <c r="F84" i="8" s="1"/>
  <c r="E147" i="8"/>
  <c r="F147" i="8" s="1"/>
  <c r="K147" i="8" s="1"/>
  <c r="E23" i="8"/>
  <c r="F23" i="8" s="1"/>
  <c r="E178" i="8"/>
  <c r="F178" i="8" s="1"/>
  <c r="E143" i="8"/>
  <c r="F143" i="8" s="1"/>
  <c r="E104" i="8"/>
  <c r="F104" i="8" s="1"/>
  <c r="E159" i="8"/>
  <c r="F159" i="8" s="1"/>
  <c r="K159" i="8" s="1"/>
  <c r="E115" i="8"/>
  <c r="F115" i="8" s="1"/>
  <c r="K115" i="8" s="1"/>
  <c r="D155" i="14"/>
  <c r="N155" i="14" s="1"/>
  <c r="E114" i="8"/>
  <c r="F114" i="8" s="1"/>
  <c r="K114" i="8" s="1"/>
  <c r="D128" i="14"/>
  <c r="N128" i="14" s="1"/>
  <c r="E96" i="8"/>
  <c r="F96" i="8" s="1"/>
  <c r="E129" i="8"/>
  <c r="F129" i="8" s="1"/>
  <c r="K129" i="8" s="1"/>
  <c r="E95" i="8"/>
  <c r="F95" i="8" s="1"/>
  <c r="K95" i="8" s="1"/>
  <c r="H38" i="8"/>
  <c r="I38" i="8" s="1"/>
  <c r="H172" i="8"/>
  <c r="I172" i="8" s="1"/>
  <c r="E123" i="8"/>
  <c r="F123" i="8" s="1"/>
  <c r="E87" i="8"/>
  <c r="F87" i="8" s="1"/>
  <c r="K87" i="8" s="1"/>
  <c r="E21" i="8"/>
  <c r="F21" i="8" s="1"/>
  <c r="E166" i="8"/>
  <c r="F166" i="8" s="1"/>
  <c r="E119" i="8"/>
  <c r="F119" i="8" s="1"/>
  <c r="E161" i="8"/>
  <c r="F161" i="8" s="1"/>
  <c r="E116" i="8"/>
  <c r="F116" i="8" s="1"/>
  <c r="D122" i="14"/>
  <c r="N122" i="14" s="1"/>
  <c r="E91" i="8"/>
  <c r="F91" i="8" s="1"/>
  <c r="K91" i="8" s="1"/>
  <c r="E133" i="8"/>
  <c r="F133" i="8" s="1"/>
  <c r="E98" i="8"/>
  <c r="F98" i="8" s="1"/>
  <c r="E139" i="8"/>
  <c r="F139" i="8" s="1"/>
  <c r="E103" i="8"/>
  <c r="F103" i="8" s="1"/>
  <c r="D166" i="14"/>
  <c r="N166" i="14" s="1"/>
  <c r="E120" i="8"/>
  <c r="F120" i="8" s="1"/>
  <c r="K120" i="8" s="1"/>
  <c r="D132" i="14"/>
  <c r="N132" i="14" s="1"/>
  <c r="E99" i="8"/>
  <c r="F99" i="8" s="1"/>
  <c r="D162" i="14"/>
  <c r="N162" i="14" s="1"/>
  <c r="H147" i="14"/>
  <c r="O147" i="14" s="1"/>
  <c r="H180" i="14"/>
  <c r="O180" i="14" s="1"/>
  <c r="E125" i="8"/>
  <c r="F125" i="8" s="1"/>
  <c r="K125" i="8" s="1"/>
  <c r="D182" i="14"/>
  <c r="N182" i="14" s="1"/>
  <c r="E131" i="8"/>
  <c r="F131" i="8" s="1"/>
  <c r="J180" i="14"/>
  <c r="E150" i="8"/>
  <c r="F150" i="8" s="1"/>
  <c r="K150" i="8" s="1"/>
  <c r="J147" i="14"/>
  <c r="D126" i="14"/>
  <c r="N126" i="14" s="1"/>
  <c r="E203" i="8"/>
  <c r="F203" i="8" s="1"/>
  <c r="K203" i="8" s="1"/>
  <c r="D45" i="14"/>
  <c r="D120" i="14"/>
  <c r="D118" i="14"/>
  <c r="N118" i="14" s="1"/>
  <c r="E121" i="8"/>
  <c r="F121" i="8" s="1"/>
  <c r="K121" i="8" s="1"/>
  <c r="E201" i="8"/>
  <c r="F201" i="8" s="1"/>
  <c r="K201" i="8" s="1"/>
  <c r="E171" i="8"/>
  <c r="F171" i="8" s="1"/>
  <c r="D29" i="14"/>
  <c r="E130" i="8"/>
  <c r="F130" i="8" s="1"/>
  <c r="K130" i="8" s="1"/>
  <c r="E165" i="8"/>
  <c r="F165" i="8" s="1"/>
  <c r="E202" i="8"/>
  <c r="F202" i="8" s="1"/>
  <c r="K202" i="8" s="1"/>
  <c r="D130" i="14"/>
  <c r="N130" i="14" s="1"/>
  <c r="D32" i="14"/>
  <c r="E135" i="8"/>
  <c r="F135" i="8" s="1"/>
  <c r="E197" i="8"/>
  <c r="F197" i="8" s="1"/>
  <c r="K197" i="8" s="1"/>
  <c r="E158" i="8"/>
  <c r="F158" i="8" s="1"/>
  <c r="K158" i="8" s="1"/>
  <c r="H178" i="14"/>
  <c r="O178" i="14" s="1"/>
  <c r="J178" i="14"/>
  <c r="J56" i="8"/>
  <c r="K56" i="8" s="1"/>
  <c r="J53" i="14"/>
  <c r="J12" i="8"/>
  <c r="K12" i="8" s="1"/>
  <c r="J9" i="14"/>
  <c r="J40" i="8"/>
  <c r="J61" i="8"/>
  <c r="K61" i="8" s="1"/>
  <c r="J58" i="14"/>
  <c r="J16" i="8"/>
  <c r="K16" i="8" s="1"/>
  <c r="J13" i="14"/>
  <c r="J41" i="8"/>
  <c r="J47" i="8"/>
  <c r="J44" i="14"/>
  <c r="J45" i="8"/>
  <c r="J42" i="14"/>
  <c r="J24" i="8"/>
  <c r="K24" i="8" s="1"/>
  <c r="J21" i="14"/>
  <c r="J39" i="8"/>
  <c r="K39" i="8" s="1"/>
  <c r="J38" i="8"/>
  <c r="J54" i="8"/>
  <c r="K54" i="8" s="1"/>
  <c r="J51" i="14"/>
  <c r="J55" i="8"/>
  <c r="K55" i="8" s="1"/>
  <c r="J52" i="14"/>
  <c r="J64" i="8"/>
  <c r="K64" i="8" s="1"/>
  <c r="J61" i="14"/>
  <c r="J85" i="8"/>
  <c r="K85" i="8" s="1"/>
  <c r="J82" i="14"/>
  <c r="J70" i="8"/>
  <c r="K70" i="8" s="1"/>
  <c r="J67" i="14"/>
  <c r="J81" i="8"/>
  <c r="K81" i="8" s="1"/>
  <c r="J78" i="14"/>
  <c r="J73" i="8"/>
  <c r="K73" i="8" s="1"/>
  <c r="J70" i="14"/>
  <c r="J57" i="8"/>
  <c r="J82" i="8"/>
  <c r="K82" i="8" s="1"/>
  <c r="J79" i="14"/>
  <c r="J26" i="8"/>
  <c r="K26" i="8" s="1"/>
  <c r="J23" i="14"/>
  <c r="H165" i="14"/>
  <c r="O165" i="14" s="1"/>
  <c r="J165" i="14"/>
  <c r="H138" i="14"/>
  <c r="O138" i="14" s="1"/>
  <c r="J138" i="14"/>
  <c r="H161" i="14"/>
  <c r="O161" i="14" s="1"/>
  <c r="J161" i="14"/>
  <c r="H143" i="14"/>
  <c r="O143" i="14" s="1"/>
  <c r="J143" i="14"/>
  <c r="H137" i="14"/>
  <c r="O137" i="14" s="1"/>
  <c r="J137" i="14"/>
  <c r="H139" i="14"/>
  <c r="O139" i="14" s="1"/>
  <c r="J139" i="14"/>
  <c r="H188" i="14"/>
  <c r="O188" i="14" s="1"/>
  <c r="J188" i="14"/>
  <c r="H187" i="14"/>
  <c r="O187" i="14" s="1"/>
  <c r="J187" i="14"/>
  <c r="J43" i="8"/>
  <c r="J40" i="14"/>
  <c r="J8" i="8"/>
  <c r="K8" i="8" s="1"/>
  <c r="J5" i="14"/>
  <c r="J42" i="8"/>
  <c r="J39" i="14"/>
  <c r="J31" i="8"/>
  <c r="J28" i="14"/>
  <c r="J9" i="8"/>
  <c r="K9" i="8" s="1"/>
  <c r="J6" i="14"/>
  <c r="J27" i="8"/>
  <c r="J24" i="14"/>
  <c r="J62" i="8"/>
  <c r="K62" i="8" s="1"/>
  <c r="J59" i="14"/>
  <c r="J28" i="8"/>
  <c r="J25" i="14"/>
  <c r="J32" i="8"/>
  <c r="K32" i="8" s="1"/>
  <c r="J34" i="8"/>
  <c r="J31" i="14"/>
  <c r="J22" i="8"/>
  <c r="K22" i="8" s="1"/>
  <c r="J19" i="14"/>
  <c r="J49" i="8"/>
  <c r="J59" i="8"/>
  <c r="K59" i="8" s="1"/>
  <c r="J56" i="14"/>
  <c r="J63" i="8"/>
  <c r="K63" i="8" s="1"/>
  <c r="J60" i="14"/>
  <c r="J83" i="8"/>
  <c r="K83" i="8" s="1"/>
  <c r="J80" i="14"/>
  <c r="J74" i="8"/>
  <c r="K74" i="8" s="1"/>
  <c r="J71" i="14"/>
  <c r="J66" i="8"/>
  <c r="K66" i="8" s="1"/>
  <c r="J63" i="14"/>
  <c r="J76" i="8"/>
  <c r="K76" i="8" s="1"/>
  <c r="J73" i="14"/>
  <c r="J60" i="8"/>
  <c r="K60" i="8" s="1"/>
  <c r="J57" i="14"/>
  <c r="J44" i="8"/>
  <c r="J41" i="14"/>
  <c r="J21" i="8"/>
  <c r="J18" i="14"/>
  <c r="J58" i="8"/>
  <c r="K58" i="8" s="1"/>
  <c r="J55" i="14"/>
  <c r="J48" i="8"/>
  <c r="K48" i="8" s="1"/>
  <c r="J14" i="8"/>
  <c r="J11" i="14"/>
  <c r="J52" i="8"/>
  <c r="J49" i="14"/>
  <c r="J18" i="8"/>
  <c r="K18" i="8" s="1"/>
  <c r="J15" i="14"/>
  <c r="J23" i="8"/>
  <c r="J20" i="14"/>
  <c r="J33" i="8"/>
  <c r="J19" i="8"/>
  <c r="K19" i="8" s="1"/>
  <c r="J16" i="14"/>
  <c r="J53" i="8"/>
  <c r="K53" i="8" s="1"/>
  <c r="J50" i="14"/>
  <c r="J68" i="8"/>
  <c r="K68" i="8" s="1"/>
  <c r="J65" i="14"/>
  <c r="J65" i="8"/>
  <c r="J62" i="14"/>
  <c r="J75" i="8"/>
  <c r="K75" i="8" s="1"/>
  <c r="J72" i="14"/>
  <c r="J84" i="8"/>
  <c r="J81" i="14"/>
  <c r="J67" i="8"/>
  <c r="K67" i="8" s="1"/>
  <c r="J64" i="14"/>
  <c r="J72" i="8"/>
  <c r="K72" i="8" s="1"/>
  <c r="J69" i="14"/>
  <c r="J80" i="8"/>
  <c r="K80" i="8" s="1"/>
  <c r="J77" i="14"/>
  <c r="J17" i="8"/>
  <c r="K17" i="8" s="1"/>
  <c r="J14" i="14"/>
  <c r="J29" i="8"/>
  <c r="K29" i="8" s="1"/>
  <c r="J26" i="14"/>
  <c r="H186" i="14"/>
  <c r="O186" i="14" s="1"/>
  <c r="J186" i="14"/>
  <c r="H189" i="14"/>
  <c r="O189" i="14" s="1"/>
  <c r="J189" i="14"/>
  <c r="J11" i="8"/>
  <c r="K11" i="8" s="1"/>
  <c r="J8" i="14"/>
  <c r="J15" i="8"/>
  <c r="K15" i="8" s="1"/>
  <c r="J12" i="14"/>
  <c r="J10" i="8"/>
  <c r="K10" i="8" s="1"/>
  <c r="J7" i="14"/>
  <c r="J20" i="8"/>
  <c r="K20" i="8" s="1"/>
  <c r="J17" i="14"/>
  <c r="J7" i="8"/>
  <c r="K7" i="8" s="1"/>
  <c r="J4" i="14"/>
  <c r="J46" i="8"/>
  <c r="J43" i="14"/>
  <c r="J50" i="8"/>
  <c r="J47" i="14"/>
  <c r="J36" i="8"/>
  <c r="K36" i="8" s="1"/>
  <c r="J35" i="8"/>
  <c r="J13" i="8"/>
  <c r="K13" i="8" s="1"/>
  <c r="J10" i="14"/>
  <c r="J51" i="8"/>
  <c r="K51" i="8" s="1"/>
  <c r="J48" i="14"/>
  <c r="J25" i="8"/>
  <c r="K25" i="8" s="1"/>
  <c r="J22" i="14"/>
  <c r="J77" i="8"/>
  <c r="K77" i="8" s="1"/>
  <c r="J74" i="14"/>
  <c r="J71" i="8"/>
  <c r="J68" i="14"/>
  <c r="J79" i="8"/>
  <c r="K79" i="8" s="1"/>
  <c r="J76" i="14"/>
  <c r="J37" i="8"/>
  <c r="J34" i="14"/>
  <c r="J69" i="8"/>
  <c r="K69" i="8" s="1"/>
  <c r="J66" i="14"/>
  <c r="J86" i="8"/>
  <c r="J83" i="14"/>
  <c r="J78" i="8"/>
  <c r="K78" i="8" s="1"/>
  <c r="J75" i="14"/>
  <c r="J30" i="8"/>
  <c r="K30" i="8" s="1"/>
  <c r="J27" i="14"/>
  <c r="H168" i="14"/>
  <c r="O168" i="14" s="1"/>
  <c r="J168" i="14"/>
  <c r="H181" i="14"/>
  <c r="O181" i="14" s="1"/>
  <c r="J181" i="14"/>
  <c r="H150" i="14"/>
  <c r="O150" i="14" s="1"/>
  <c r="J150" i="14"/>
  <c r="H183" i="14"/>
  <c r="O183" i="14" s="1"/>
  <c r="J183" i="14"/>
  <c r="H127" i="14"/>
  <c r="O127" i="14" s="1"/>
  <c r="J127" i="14"/>
  <c r="H144" i="14"/>
  <c r="O144" i="14" s="1"/>
  <c r="J144" i="14"/>
  <c r="H25" i="14"/>
  <c r="O25" i="14" s="1"/>
  <c r="H21" i="14"/>
  <c r="O21" i="14" s="1"/>
  <c r="H40" i="14"/>
  <c r="O40" i="14" s="1"/>
  <c r="H15" i="14"/>
  <c r="O15" i="14" s="1"/>
  <c r="H44" i="14"/>
  <c r="O44" i="14" s="1"/>
  <c r="H43" i="14"/>
  <c r="O43" i="14" s="1"/>
  <c r="E192" i="8"/>
  <c r="F192" i="8" s="1"/>
  <c r="K192" i="8" s="1"/>
  <c r="H45" i="8"/>
  <c r="I45" i="8" s="1"/>
  <c r="H37" i="8"/>
  <c r="I37" i="8" s="1"/>
  <c r="H123" i="8"/>
  <c r="I123" i="8" s="1"/>
  <c r="H44" i="8"/>
  <c r="I44" i="8" s="1"/>
  <c r="H42" i="8"/>
  <c r="I42" i="8" s="1"/>
  <c r="H36" i="8"/>
  <c r="I36" i="8" s="1"/>
  <c r="H31" i="8"/>
  <c r="I31" i="8" s="1"/>
  <c r="H122" i="8"/>
  <c r="I122" i="8" s="1"/>
  <c r="H39" i="8"/>
  <c r="I39" i="8" s="1"/>
  <c r="H35" i="8"/>
  <c r="I35" i="8" s="1"/>
  <c r="H41" i="8"/>
  <c r="I41" i="8" s="1"/>
  <c r="H33" i="8"/>
  <c r="I33" i="8" s="1"/>
  <c r="H34" i="8"/>
  <c r="I34" i="8" s="1"/>
  <c r="H40" i="8"/>
  <c r="I40" i="8" s="1"/>
  <c r="H121" i="8"/>
  <c r="I121" i="8" s="1"/>
  <c r="E186" i="8"/>
  <c r="F186" i="8" s="1"/>
  <c r="K186" i="8" s="1"/>
  <c r="D54" i="14"/>
  <c r="E57" i="8"/>
  <c r="F57" i="8" s="1"/>
  <c r="D158" i="14"/>
  <c r="N158" i="14" s="1"/>
  <c r="D131" i="14"/>
  <c r="N131" i="14" s="1"/>
  <c r="E140" i="8"/>
  <c r="F140" i="8" s="1"/>
  <c r="K140" i="8" s="1"/>
  <c r="D140" i="14"/>
  <c r="N140" i="14" s="1"/>
  <c r="D171" i="14"/>
  <c r="N171" i="14" s="1"/>
  <c r="D175" i="14"/>
  <c r="N175" i="14" s="1"/>
  <c r="E43" i="8"/>
  <c r="F43" i="8" s="1"/>
  <c r="D33" i="14"/>
  <c r="E34" i="8"/>
  <c r="F34" i="8" s="1"/>
  <c r="E169" i="8"/>
  <c r="F169" i="8" s="1"/>
  <c r="E194" i="8"/>
  <c r="F194" i="8" s="1"/>
  <c r="K194" i="8" s="1"/>
  <c r="E46" i="8"/>
  <c r="F46" i="8" s="1"/>
  <c r="E31" i="8"/>
  <c r="F31" i="8" s="1"/>
  <c r="D129" i="14"/>
  <c r="N129" i="14" s="1"/>
  <c r="E132" i="8"/>
  <c r="F132" i="8" s="1"/>
  <c r="E195" i="8"/>
  <c r="F195" i="8" s="1"/>
  <c r="K195" i="8" s="1"/>
  <c r="D36" i="14"/>
  <c r="E205" i="8"/>
  <c r="F205" i="8" s="1"/>
  <c r="K205" i="8" s="1"/>
  <c r="E189" i="8"/>
  <c r="F189" i="8" s="1"/>
  <c r="K189" i="8" s="1"/>
  <c r="D142" i="14"/>
  <c r="N142" i="14" s="1"/>
  <c r="E191" i="8"/>
  <c r="F191" i="8" s="1"/>
  <c r="K191" i="8" s="1"/>
  <c r="E190" i="8"/>
  <c r="F190" i="8" s="1"/>
  <c r="K190" i="8" s="1"/>
  <c r="D163" i="14"/>
  <c r="N163" i="14" s="1"/>
  <c r="D184" i="14"/>
  <c r="N184" i="14" s="1"/>
  <c r="E187" i="8"/>
  <c r="F187" i="8" s="1"/>
  <c r="K187" i="8" s="1"/>
  <c r="E188" i="8"/>
  <c r="F188" i="8" s="1"/>
  <c r="K188" i="8" s="1"/>
  <c r="D185" i="14"/>
  <c r="N185" i="14" s="1"/>
  <c r="D119" i="14"/>
  <c r="N119" i="14" s="1"/>
  <c r="E122" i="8"/>
  <c r="F122" i="8" s="1"/>
  <c r="E44" i="8"/>
  <c r="F44" i="8" s="1"/>
  <c r="E45" i="8"/>
  <c r="F45" i="8" s="1"/>
  <c r="E47" i="8"/>
  <c r="F47" i="8" s="1"/>
  <c r="E37" i="8"/>
  <c r="F37" i="8" s="1"/>
  <c r="D141" i="14"/>
  <c r="N141" i="14" s="1"/>
  <c r="E144" i="8"/>
  <c r="F144" i="8" s="1"/>
  <c r="D136" i="14"/>
  <c r="N136" i="14" s="1"/>
  <c r="E142" i="8"/>
  <c r="F142" i="8" s="1"/>
  <c r="E164" i="8"/>
  <c r="F164" i="8" s="1"/>
  <c r="K164" i="8" s="1"/>
  <c r="D156" i="14"/>
  <c r="N156" i="14" s="1"/>
  <c r="E153" i="8"/>
  <c r="F153" i="8" s="1"/>
  <c r="D174" i="14"/>
  <c r="N174" i="14" s="1"/>
  <c r="E42" i="8"/>
  <c r="F42" i="8" s="1"/>
  <c r="E181" i="8"/>
  <c r="F181" i="8" s="1"/>
  <c r="K181" i="8" s="1"/>
  <c r="E170" i="8"/>
  <c r="F170" i="8" s="1"/>
  <c r="D167" i="14"/>
  <c r="N167" i="14" s="1"/>
  <c r="D35" i="14"/>
  <c r="E38" i="8"/>
  <c r="F38" i="8" s="1"/>
  <c r="D46" i="14"/>
  <c r="E49" i="8"/>
  <c r="F49" i="8" s="1"/>
  <c r="D134" i="14"/>
  <c r="N134" i="14" s="1"/>
  <c r="E137" i="8"/>
  <c r="F137" i="8" s="1"/>
  <c r="E128" i="8"/>
  <c r="F128" i="8" s="1"/>
  <c r="K128" i="8" s="1"/>
  <c r="D125" i="14"/>
  <c r="N125" i="14" s="1"/>
  <c r="D124" i="14"/>
  <c r="N124" i="14" s="1"/>
  <c r="E127" i="8"/>
  <c r="F127" i="8" s="1"/>
  <c r="D145" i="14"/>
  <c r="N145" i="14" s="1"/>
  <c r="E148" i="8"/>
  <c r="F148" i="8" s="1"/>
  <c r="K148" i="8" s="1"/>
  <c r="D123" i="14"/>
  <c r="N123" i="14" s="1"/>
  <c r="E149" i="8"/>
  <c r="F149" i="8" s="1"/>
  <c r="K149" i="8" s="1"/>
  <c r="D146" i="14"/>
  <c r="N146" i="14" s="1"/>
  <c r="D133" i="14"/>
  <c r="N133" i="14" s="1"/>
  <c r="E136" i="8"/>
  <c r="F136" i="8" s="1"/>
  <c r="D176" i="14"/>
  <c r="N176" i="14" s="1"/>
  <c r="D160" i="14"/>
  <c r="N160" i="14" s="1"/>
  <c r="E163" i="8"/>
  <c r="F163" i="8" s="1"/>
  <c r="D170" i="14"/>
  <c r="N170" i="14" s="1"/>
  <c r="E173" i="8"/>
  <c r="F173" i="8" s="1"/>
  <c r="K173" i="8" s="1"/>
  <c r="D159" i="14"/>
  <c r="N159" i="14" s="1"/>
  <c r="E162" i="8"/>
  <c r="F162" i="8" s="1"/>
  <c r="D164" i="14"/>
  <c r="N164" i="14" s="1"/>
  <c r="E167" i="8"/>
  <c r="F167" i="8" s="1"/>
  <c r="D153" i="14"/>
  <c r="N153" i="14" s="1"/>
  <c r="E156" i="8"/>
  <c r="F156" i="8" s="1"/>
  <c r="K156" i="8" s="1"/>
  <c r="D135" i="14"/>
  <c r="N135" i="14" s="1"/>
  <c r="E138" i="8"/>
  <c r="F138" i="8" s="1"/>
  <c r="D172" i="14"/>
  <c r="N172" i="14" s="1"/>
  <c r="E175" i="8"/>
  <c r="F175" i="8" s="1"/>
  <c r="D121" i="14"/>
  <c r="N121" i="14" s="1"/>
  <c r="E124" i="8"/>
  <c r="F124" i="8" s="1"/>
  <c r="K124" i="8" s="1"/>
  <c r="D154" i="14"/>
  <c r="N154" i="14" s="1"/>
  <c r="E157" i="8"/>
  <c r="F157" i="8" s="1"/>
  <c r="E151" i="8"/>
  <c r="F151" i="8" s="1"/>
  <c r="K151" i="8" s="1"/>
  <c r="D148" i="14"/>
  <c r="N148" i="14" s="1"/>
  <c r="D149" i="14"/>
  <c r="N149" i="14" s="1"/>
  <c r="E152" i="8"/>
  <c r="F152" i="8" s="1"/>
  <c r="D179" i="14"/>
  <c r="N179" i="14" s="1"/>
  <c r="E182" i="8"/>
  <c r="F182" i="8" s="1"/>
  <c r="K182" i="8" s="1"/>
  <c r="D37" i="14"/>
  <c r="E40" i="8"/>
  <c r="F40" i="8" s="1"/>
  <c r="D30" i="14"/>
  <c r="E33" i="8"/>
  <c r="D38" i="14"/>
  <c r="E41" i="8"/>
  <c r="F41" i="8" s="1"/>
  <c r="O55" i="14" l="1"/>
  <c r="O22" i="14"/>
  <c r="O4" i="14"/>
  <c r="O39" i="14"/>
  <c r="O28" i="14"/>
  <c r="O20" i="14"/>
  <c r="O34" i="14"/>
  <c r="O7" i="14"/>
  <c r="O13" i="14"/>
  <c r="O42" i="14"/>
  <c r="O18" i="14"/>
  <c r="O31" i="14"/>
  <c r="O41" i="14"/>
  <c r="K138" i="8"/>
  <c r="K65" i="8"/>
  <c r="K28" i="8"/>
  <c r="K27" i="8"/>
  <c r="J30" i="14"/>
  <c r="N30" i="14"/>
  <c r="J35" i="14"/>
  <c r="N35" i="14"/>
  <c r="J33" i="14"/>
  <c r="N33" i="14"/>
  <c r="H32" i="14"/>
  <c r="N32" i="14"/>
  <c r="H120" i="14"/>
  <c r="N120" i="14"/>
  <c r="J38" i="14"/>
  <c r="N38" i="14"/>
  <c r="J37" i="14"/>
  <c r="N37" i="14"/>
  <c r="J46" i="14"/>
  <c r="N46" i="14"/>
  <c r="J36" i="14"/>
  <c r="N36" i="14"/>
  <c r="H54" i="14"/>
  <c r="N54" i="14"/>
  <c r="J29" i="14"/>
  <c r="N29" i="14"/>
  <c r="J45" i="14"/>
  <c r="N45" i="14"/>
  <c r="K167" i="8"/>
  <c r="K142" i="8"/>
  <c r="K162" i="8"/>
  <c r="K127" i="8"/>
  <c r="K137" i="8"/>
  <c r="K163" i="8"/>
  <c r="H128" i="14"/>
  <c r="O128" i="14" s="1"/>
  <c r="K135" i="8"/>
  <c r="K171" i="8"/>
  <c r="K157" i="8"/>
  <c r="K175" i="8"/>
  <c r="K170" i="8"/>
  <c r="K14" i="8"/>
  <c r="K52" i="8"/>
  <c r="K86" i="8"/>
  <c r="K131" i="8"/>
  <c r="K104" i="8"/>
  <c r="K99" i="8"/>
  <c r="K132" i="8"/>
  <c r="K21" i="8"/>
  <c r="J128" i="14"/>
  <c r="K35" i="8"/>
  <c r="K23" i="8"/>
  <c r="K133" i="8"/>
  <c r="K139" i="8"/>
  <c r="K152" i="8"/>
  <c r="K166" i="8"/>
  <c r="K119" i="8"/>
  <c r="K123" i="8"/>
  <c r="K143" i="8"/>
  <c r="K98" i="8"/>
  <c r="J162" i="14"/>
  <c r="K96" i="8"/>
  <c r="K50" i="8"/>
  <c r="H162" i="14"/>
  <c r="O162" i="14" s="1"/>
  <c r="K153" i="8"/>
  <c r="K122" i="8"/>
  <c r="J155" i="14"/>
  <c r="J122" i="14"/>
  <c r="J132" i="14"/>
  <c r="H155" i="14"/>
  <c r="O155" i="14" s="1"/>
  <c r="H122" i="14"/>
  <c r="O122" i="14" s="1"/>
  <c r="H132" i="14"/>
  <c r="O132" i="14" s="1"/>
  <c r="K116" i="8"/>
  <c r="K144" i="8"/>
  <c r="K136" i="8"/>
  <c r="K71" i="8"/>
  <c r="K103" i="8"/>
  <c r="K178" i="8"/>
  <c r="J166" i="14"/>
  <c r="K161" i="8"/>
  <c r="K117" i="8"/>
  <c r="K169" i="8"/>
  <c r="H166" i="14"/>
  <c r="O166" i="14" s="1"/>
  <c r="K84" i="8"/>
  <c r="K165" i="8"/>
  <c r="K118" i="8"/>
  <c r="J130" i="14"/>
  <c r="J126" i="14"/>
  <c r="H182" i="14"/>
  <c r="O182" i="14" s="1"/>
  <c r="J182" i="14"/>
  <c r="H126" i="14"/>
  <c r="O126" i="14" s="1"/>
  <c r="J120" i="14"/>
  <c r="H45" i="14"/>
  <c r="H118" i="14"/>
  <c r="O118" i="14" s="1"/>
  <c r="J118" i="14"/>
  <c r="H29" i="14"/>
  <c r="K42" i="8"/>
  <c r="K45" i="8"/>
  <c r="H130" i="14"/>
  <c r="O130" i="14" s="1"/>
  <c r="K41" i="8"/>
  <c r="K38" i="8"/>
  <c r="J32" i="14"/>
  <c r="K40" i="8"/>
  <c r="K44" i="8"/>
  <c r="K37" i="8"/>
  <c r="K47" i="8"/>
  <c r="K31" i="8"/>
  <c r="K34" i="8"/>
  <c r="K49" i="8"/>
  <c r="K46" i="8"/>
  <c r="K57" i="8"/>
  <c r="F9" i="15"/>
  <c r="K43" i="8"/>
  <c r="J54" i="14"/>
  <c r="H171" i="14"/>
  <c r="O171" i="14" s="1"/>
  <c r="J171" i="14"/>
  <c r="H140" i="14"/>
  <c r="O140" i="14" s="1"/>
  <c r="J140" i="14"/>
  <c r="H179" i="14"/>
  <c r="O179" i="14" s="1"/>
  <c r="J179" i="14"/>
  <c r="H3" i="8"/>
  <c r="H141" i="14"/>
  <c r="O141" i="14" s="1"/>
  <c r="J141" i="14"/>
  <c r="H149" i="14"/>
  <c r="O149" i="14" s="1"/>
  <c r="J149" i="14"/>
  <c r="H154" i="14"/>
  <c r="O154" i="14" s="1"/>
  <c r="J154" i="14"/>
  <c r="H172" i="14"/>
  <c r="O172" i="14" s="1"/>
  <c r="J172" i="14"/>
  <c r="H153" i="14"/>
  <c r="O153" i="14" s="1"/>
  <c r="J153" i="14"/>
  <c r="H164" i="14"/>
  <c r="O164" i="14" s="1"/>
  <c r="J164" i="14"/>
  <c r="H170" i="14"/>
  <c r="O170" i="14" s="1"/>
  <c r="J170" i="14"/>
  <c r="H145" i="14"/>
  <c r="O145" i="14" s="1"/>
  <c r="J145" i="14"/>
  <c r="H124" i="14"/>
  <c r="O124" i="14" s="1"/>
  <c r="J124" i="14"/>
  <c r="H134" i="14"/>
  <c r="O134" i="14" s="1"/>
  <c r="J134" i="14"/>
  <c r="H174" i="14"/>
  <c r="O174" i="14" s="1"/>
  <c r="J174" i="14"/>
  <c r="H156" i="14"/>
  <c r="O156" i="14" s="1"/>
  <c r="J156" i="14"/>
  <c r="H136" i="14"/>
  <c r="O136" i="14" s="1"/>
  <c r="J136" i="14"/>
  <c r="H119" i="14"/>
  <c r="O119" i="14" s="1"/>
  <c r="J119" i="14"/>
  <c r="H184" i="14"/>
  <c r="O184" i="14" s="1"/>
  <c r="J184" i="14"/>
  <c r="H129" i="14"/>
  <c r="O129" i="14" s="1"/>
  <c r="J129" i="14"/>
  <c r="H131" i="14"/>
  <c r="O131" i="14" s="1"/>
  <c r="J131" i="14"/>
  <c r="H148" i="14"/>
  <c r="O148" i="14" s="1"/>
  <c r="J148" i="14"/>
  <c r="H123" i="14"/>
  <c r="O123" i="14" s="1"/>
  <c r="J123" i="14"/>
  <c r="H125" i="14"/>
  <c r="O125" i="14" s="1"/>
  <c r="J125" i="14"/>
  <c r="H167" i="14"/>
  <c r="O167" i="14" s="1"/>
  <c r="J167" i="14"/>
  <c r="H185" i="14"/>
  <c r="O185" i="14" s="1"/>
  <c r="J185" i="14"/>
  <c r="H163" i="14"/>
  <c r="O163" i="14" s="1"/>
  <c r="J163" i="14"/>
  <c r="H142" i="14"/>
  <c r="O142" i="14" s="1"/>
  <c r="J142" i="14"/>
  <c r="H158" i="14"/>
  <c r="O158" i="14" s="1"/>
  <c r="J158" i="14"/>
  <c r="J6" i="8"/>
  <c r="J3" i="8" s="1"/>
  <c r="J3" i="14"/>
  <c r="H121" i="14"/>
  <c r="O121" i="14" s="1"/>
  <c r="J121" i="14"/>
  <c r="H135" i="14"/>
  <c r="O135" i="14" s="1"/>
  <c r="J135" i="14"/>
  <c r="H159" i="14"/>
  <c r="O159" i="14" s="1"/>
  <c r="J159" i="14"/>
  <c r="H160" i="14"/>
  <c r="O160" i="14" s="1"/>
  <c r="J160" i="14"/>
  <c r="H133" i="14"/>
  <c r="O133" i="14" s="1"/>
  <c r="J133" i="14"/>
  <c r="H175" i="14"/>
  <c r="O175" i="14" s="1"/>
  <c r="J175" i="14"/>
  <c r="H176" i="14"/>
  <c r="O176" i="14" s="1"/>
  <c r="J176" i="14"/>
  <c r="H146" i="14"/>
  <c r="O146" i="14" s="1"/>
  <c r="J146" i="14"/>
  <c r="H38" i="14"/>
  <c r="H37" i="14"/>
  <c r="H35" i="14"/>
  <c r="H30" i="14"/>
  <c r="H46" i="14"/>
  <c r="H36" i="14"/>
  <c r="H33" i="14"/>
  <c r="F10" i="15"/>
  <c r="F5" i="15"/>
  <c r="F3" i="15"/>
  <c r="F12" i="15"/>
  <c r="F11" i="15"/>
  <c r="F6" i="15"/>
  <c r="F7" i="15"/>
  <c r="F8" i="15"/>
  <c r="F4" i="15"/>
  <c r="F13" i="15"/>
  <c r="F33" i="8"/>
  <c r="K33" i="8" s="1"/>
  <c r="O54" i="14" l="1"/>
  <c r="O32" i="14"/>
  <c r="O120" i="14"/>
  <c r="O29" i="14"/>
  <c r="O36" i="14"/>
  <c r="O37" i="14"/>
  <c r="O33" i="14"/>
  <c r="O30" i="14"/>
  <c r="O45" i="14"/>
  <c r="O46" i="14"/>
  <c r="O38" i="14"/>
  <c r="O35" i="14"/>
  <c r="D8" i="5"/>
  <c r="E8" i="5" s="1"/>
  <c r="D4" i="5"/>
  <c r="E4" i="5" s="1"/>
  <c r="D9" i="5"/>
  <c r="D6" i="5"/>
  <c r="E6" i="5" s="1"/>
  <c r="D5" i="5"/>
  <c r="E5" i="5" s="1"/>
  <c r="K6" i="8"/>
  <c r="C9" i="5" l="1"/>
  <c r="G9" i="5" s="1"/>
  <c r="E9" i="5" l="1"/>
  <c r="E179" i="8"/>
  <c r="F179" i="8" s="1"/>
  <c r="K179" i="8" s="1"/>
  <c r="E126" i="8"/>
  <c r="F126" i="8" s="1"/>
  <c r="K126" i="8" s="1"/>
  <c r="D169" i="14"/>
  <c r="J169" i="14" s="1"/>
  <c r="E172" i="8"/>
  <c r="N169" i="14" l="1"/>
  <c r="H169" i="14"/>
  <c r="D10" i="5"/>
  <c r="E10" i="5" s="1"/>
  <c r="F172" i="8"/>
  <c r="K172" i="8" s="1"/>
  <c r="O169" i="14" l="1"/>
  <c r="D14" i="5"/>
  <c r="E14" i="5" s="1"/>
  <c r="D13" i="5"/>
  <c r="E13" i="5" s="1"/>
  <c r="D17" i="5" l="1"/>
  <c r="E17" i="5" s="1"/>
  <c r="C18" i="5"/>
  <c r="G18" i="5" s="1"/>
  <c r="G201" i="14"/>
  <c r="E5" i="9"/>
  <c r="E17" i="9" s="1"/>
  <c r="E173" i="14"/>
  <c r="D173" i="14" s="1"/>
  <c r="C31" i="6"/>
  <c r="E31" i="6" s="1"/>
  <c r="E1" i="6" s="1"/>
  <c r="C7" i="5"/>
  <c r="G7" i="5" s="1"/>
  <c r="E242" i="14"/>
  <c r="D242" i="14" s="1"/>
  <c r="J242" i="14" s="1"/>
  <c r="E209" i="14"/>
  <c r="D209" i="14" s="1"/>
  <c r="N209" i="14" s="1"/>
  <c r="K760" i="11"/>
  <c r="E151" i="14"/>
  <c r="K284" i="11"/>
  <c r="E157" i="14"/>
  <c r="D157" i="14" s="1"/>
  <c r="K279" i="11"/>
  <c r="E152" i="14"/>
  <c r="E155" i="8" s="1"/>
  <c r="F155" i="8" s="1"/>
  <c r="K155" i="8" s="1"/>
  <c r="C11" i="5"/>
  <c r="G11" i="5" s="1"/>
  <c r="C15" i="5"/>
  <c r="G15" i="5" s="1"/>
  <c r="K416" i="11"/>
  <c r="E202" i="14"/>
  <c r="D202" i="14" s="1"/>
  <c r="H202" i="14" s="1"/>
  <c r="K513" i="11"/>
  <c r="G32" i="16"/>
  <c r="G37" i="16" s="1"/>
  <c r="H5" i="9" s="1"/>
  <c r="H17" i="9" s="1"/>
  <c r="E244" i="14"/>
  <c r="D244" i="14" s="1"/>
  <c r="K615" i="11"/>
  <c r="K703" i="11"/>
  <c r="L1227" i="11"/>
  <c r="K467" i="11"/>
  <c r="K340" i="11"/>
  <c r="D19" i="16" a="1"/>
  <c r="D19" i="16" s="1"/>
  <c r="K269" i="11"/>
  <c r="D15" i="5" l="1"/>
  <c r="E15" i="5" s="1"/>
  <c r="D16" i="5"/>
  <c r="E16" i="5" s="1"/>
  <c r="N201" i="14"/>
  <c r="O201" i="14" s="1"/>
  <c r="G280" i="14"/>
  <c r="E154" i="8"/>
  <c r="F154" i="8" s="1"/>
  <c r="K154" i="8" s="1"/>
  <c r="E280" i="14"/>
  <c r="J209" i="14"/>
  <c r="G36" i="16"/>
  <c r="H244" i="14"/>
  <c r="N244" i="14"/>
  <c r="J244" i="14"/>
  <c r="D152" i="14"/>
  <c r="J152" i="14" s="1"/>
  <c r="D151" i="14"/>
  <c r="H151" i="14" s="1"/>
  <c r="H209" i="14"/>
  <c r="O209" i="14" s="1"/>
  <c r="J202" i="14"/>
  <c r="N202" i="14"/>
  <c r="O202" i="14" s="1"/>
  <c r="L10" i="16" a="1"/>
  <c r="L10" i="16" s="1"/>
  <c r="J14" i="16" a="1"/>
  <c r="J14" i="16" s="1"/>
  <c r="L35" i="16" a="1"/>
  <c r="L35" i="16" s="1"/>
  <c r="E160" i="8"/>
  <c r="F160" i="8" s="1"/>
  <c r="K160" i="8" s="1"/>
  <c r="F6" i="9" a="1"/>
  <c r="F6" i="9" s="1"/>
  <c r="G6" i="9" s="1"/>
  <c r="J5" i="16" a="1"/>
  <c r="J5" i="16" s="1"/>
  <c r="H5" i="16" a="1"/>
  <c r="H5" i="16" s="1"/>
  <c r="F16" i="9" a="1"/>
  <c r="F16" i="9" s="1"/>
  <c r="G16" i="9" s="1"/>
  <c r="N5" i="16" a="1"/>
  <c r="N5" i="16" s="1"/>
  <c r="F3" i="9" a="1"/>
  <c r="F3" i="9" s="1"/>
  <c r="F11" i="9" a="1"/>
  <c r="F11" i="9" s="1"/>
  <c r="G11" i="9" s="1"/>
  <c r="F5" i="16" a="1"/>
  <c r="F5" i="16" s="1"/>
  <c r="D5" i="16" a="1"/>
  <c r="D5" i="16" s="1"/>
  <c r="L5" i="16" a="1"/>
  <c r="L5" i="16" s="1"/>
  <c r="F12" i="9" a="1"/>
  <c r="F12" i="9" s="1"/>
  <c r="G12" i="9" s="1"/>
  <c r="P5" i="16" a="1"/>
  <c r="P5" i="16" s="1"/>
  <c r="F7" i="9" a="1"/>
  <c r="F7" i="9" s="1"/>
  <c r="G7" i="9" s="1"/>
  <c r="F8" i="9" a="1"/>
  <c r="F8" i="9" s="1"/>
  <c r="G8" i="9" s="1"/>
  <c r="F13" i="9" a="1"/>
  <c r="F13" i="9" s="1"/>
  <c r="G13" i="9" s="1"/>
  <c r="F5" i="9" a="1"/>
  <c r="F5" i="9" s="1"/>
  <c r="G5" i="9" s="1"/>
  <c r="F14" i="9" a="1"/>
  <c r="F14" i="9" s="1"/>
  <c r="G14" i="9" s="1"/>
  <c r="F4" i="9" a="1"/>
  <c r="F4" i="9" s="1"/>
  <c r="G4" i="9" s="1"/>
  <c r="N6" i="16" a="1"/>
  <c r="N6" i="16" s="1"/>
  <c r="L14" i="16" a="1"/>
  <c r="L14" i="16" s="1"/>
  <c r="P13" i="16" a="1"/>
  <c r="P13" i="16" s="1"/>
  <c r="H22" i="16" a="1"/>
  <c r="H22" i="16" s="1"/>
  <c r="P24" i="16" a="1"/>
  <c r="P24" i="16" s="1"/>
  <c r="N16" i="16" a="1"/>
  <c r="N16" i="16" s="1"/>
  <c r="L11" i="16" a="1"/>
  <c r="L11" i="16" s="1"/>
  <c r="L6" i="16" a="1"/>
  <c r="L6" i="16" s="1"/>
  <c r="H6" i="16" a="1"/>
  <c r="H6" i="16" s="1"/>
  <c r="D26" i="16" a="1"/>
  <c r="D26" i="16" s="1"/>
  <c r="D27" i="16" a="1"/>
  <c r="D27" i="16" s="1"/>
  <c r="F17" i="16" a="1"/>
  <c r="F17" i="16" s="1"/>
  <c r="F26" i="16" a="1"/>
  <c r="F26" i="16" s="1"/>
  <c r="P29" i="16" a="1"/>
  <c r="P29" i="16" s="1"/>
  <c r="P14" i="16" a="1"/>
  <c r="P14" i="16" s="1"/>
  <c r="H23" i="16" a="1"/>
  <c r="H23" i="16" s="1"/>
  <c r="N35" i="16" a="1"/>
  <c r="N35" i="16" s="1"/>
  <c r="P22" i="16" a="1"/>
  <c r="P22" i="16" s="1"/>
  <c r="L28" i="16" a="1"/>
  <c r="L28" i="16" s="1"/>
  <c r="J25" i="16" a="1"/>
  <c r="J25" i="16" s="1"/>
  <c r="D8" i="16" a="1"/>
  <c r="D8" i="16" s="1"/>
  <c r="P32" i="16" a="1"/>
  <c r="P32" i="16" s="1"/>
  <c r="H30" i="16" a="1"/>
  <c r="H30" i="16" s="1"/>
  <c r="D24" i="16" a="1"/>
  <c r="D24" i="16" s="1"/>
  <c r="J29" i="16" a="1"/>
  <c r="J29" i="16" s="1"/>
  <c r="P8" i="16" a="1"/>
  <c r="P8" i="16" s="1"/>
  <c r="F35" i="16" a="1"/>
  <c r="F35" i="16" s="1"/>
  <c r="J32" i="16" a="1"/>
  <c r="J32" i="16" s="1"/>
  <c r="F13" i="16" a="1"/>
  <c r="F13" i="16" s="1"/>
  <c r="F15" i="9" a="1"/>
  <c r="F15" i="9" s="1"/>
  <c r="G15" i="9" s="1"/>
  <c r="F9" i="16" a="1"/>
  <c r="F9" i="16" s="1"/>
  <c r="L24" i="16" a="1"/>
  <c r="L24" i="16" s="1"/>
  <c r="N15" i="16" a="1"/>
  <c r="N15" i="16" s="1"/>
  <c r="D35" i="16" a="1"/>
  <c r="D35" i="16" s="1"/>
  <c r="F29" i="16" a="1"/>
  <c r="F29" i="16" s="1"/>
  <c r="N27" i="16" a="1"/>
  <c r="N27" i="16" s="1"/>
  <c r="N11" i="16" a="1"/>
  <c r="N11" i="16" s="1"/>
  <c r="J13" i="16" a="1"/>
  <c r="J13" i="16" s="1"/>
  <c r="H8" i="16" a="1"/>
  <c r="H8" i="16" s="1"/>
  <c r="F22" i="16" a="1"/>
  <c r="F22" i="16" s="1"/>
  <c r="J34" i="16" a="1"/>
  <c r="J34" i="16" s="1"/>
  <c r="N34" i="16" a="1"/>
  <c r="N34" i="16" s="1"/>
  <c r="J17" i="16" a="1"/>
  <c r="J17" i="16" s="1"/>
  <c r="L31" i="16" a="1"/>
  <c r="L31" i="16" s="1"/>
  <c r="H25" i="16" a="1"/>
  <c r="H25" i="16" s="1"/>
  <c r="N9" i="16" a="1"/>
  <c r="N9" i="16" s="1"/>
  <c r="D30" i="16" a="1"/>
  <c r="D30" i="16" s="1"/>
  <c r="N30" i="16" a="1"/>
  <c r="N30" i="16" s="1"/>
  <c r="H29" i="16" a="1"/>
  <c r="H29" i="16" s="1"/>
  <c r="N17" i="16" a="1"/>
  <c r="N17" i="16" s="1"/>
  <c r="L15" i="16" a="1"/>
  <c r="L15" i="16" s="1"/>
  <c r="H13" i="16" a="1"/>
  <c r="H13" i="16" s="1"/>
  <c r="N22" i="16" a="1"/>
  <c r="N22" i="16" s="1"/>
  <c r="L25" i="16" a="1"/>
  <c r="L25" i="16" s="1"/>
  <c r="L23" i="16" a="1"/>
  <c r="L23" i="16" s="1"/>
  <c r="D21" i="16" a="1"/>
  <c r="D21" i="16" s="1"/>
  <c r="P12" i="16" a="1"/>
  <c r="P12" i="16" s="1"/>
  <c r="L32" i="16" a="1"/>
  <c r="L32" i="16" s="1"/>
  <c r="J6" i="16" a="1"/>
  <c r="J6" i="16" s="1"/>
  <c r="F9" i="9" a="1"/>
  <c r="F9" i="9" s="1"/>
  <c r="G9" i="9" s="1"/>
  <c r="F10" i="9" a="1"/>
  <c r="F10" i="9" s="1"/>
  <c r="G10" i="9" s="1"/>
  <c r="H27" i="16" a="1"/>
  <c r="H27" i="16" s="1"/>
  <c r="D9" i="16" a="1"/>
  <c r="D9" i="16" s="1"/>
  <c r="P15" i="16" a="1"/>
  <c r="P15" i="16" s="1"/>
  <c r="F8" i="16" a="1"/>
  <c r="F8" i="16" s="1"/>
  <c r="H18" i="16" a="1"/>
  <c r="H18" i="16" s="1"/>
  <c r="J31" i="16" a="1"/>
  <c r="J31" i="16" s="1"/>
  <c r="J10" i="16" a="1"/>
  <c r="J10" i="16" s="1"/>
  <c r="P11" i="16" a="1"/>
  <c r="P11" i="16" s="1"/>
  <c r="L21" i="16" a="1"/>
  <c r="L21" i="16" s="1"/>
  <c r="P9" i="16" a="1"/>
  <c r="P9" i="16" s="1"/>
  <c r="J8" i="16" a="1"/>
  <c r="J8" i="16" s="1"/>
  <c r="D7" i="16" a="1"/>
  <c r="D7" i="16" s="1"/>
  <c r="F30" i="16" a="1"/>
  <c r="F30" i="16" s="1"/>
  <c r="J28" i="16" a="1"/>
  <c r="J28" i="16" s="1"/>
  <c r="F27" i="16" a="1"/>
  <c r="F27" i="16" s="1"/>
  <c r="H9" i="16" a="1"/>
  <c r="H9" i="16" s="1"/>
  <c r="F11" i="16" a="1"/>
  <c r="F11" i="16" s="1"/>
  <c r="J26" i="16" a="1"/>
  <c r="J26" i="16" s="1"/>
  <c r="P28" i="16" a="1"/>
  <c r="P28" i="16" s="1"/>
  <c r="L20" i="16" a="1"/>
  <c r="L20" i="16" s="1"/>
  <c r="J30" i="16" a="1"/>
  <c r="J30" i="16" s="1"/>
  <c r="N32" i="16" a="1"/>
  <c r="N32" i="16" s="1"/>
  <c r="N23" i="16" a="1"/>
  <c r="N23" i="16" s="1"/>
  <c r="H28" i="16" a="1"/>
  <c r="H28" i="16" s="1"/>
  <c r="L30" i="16" a="1"/>
  <c r="L30" i="16" s="1"/>
  <c r="D11" i="16" a="1"/>
  <c r="D11" i="16" s="1"/>
  <c r="H32" i="16" a="1"/>
  <c r="H32" i="16" s="1"/>
  <c r="F33" i="16" a="1"/>
  <c r="F33" i="16" s="1"/>
  <c r="N24" i="16" a="1"/>
  <c r="N24" i="16" s="1"/>
  <c r="H31" i="16" a="1"/>
  <c r="H31" i="16" s="1"/>
  <c r="F16" i="16" a="1"/>
  <c r="F16" i="16" s="1"/>
  <c r="D12" i="16" a="1"/>
  <c r="D12" i="16" s="1"/>
  <c r="L16" i="16" a="1"/>
  <c r="L16" i="16" s="1"/>
  <c r="P6" i="16" a="1"/>
  <c r="P6" i="16" s="1"/>
  <c r="D6" i="16" a="1"/>
  <c r="D6" i="16" s="1"/>
  <c r="J7" i="16" a="1"/>
  <c r="J7" i="16" s="1"/>
  <c r="N8" i="16" a="1"/>
  <c r="N8" i="16" s="1"/>
  <c r="F12" i="16" a="1"/>
  <c r="F12" i="16" s="1"/>
  <c r="J33" i="16" a="1"/>
  <c r="J33" i="16" s="1"/>
  <c r="D22" i="16" a="1"/>
  <c r="D22" i="16" s="1"/>
  <c r="H35" i="16" a="1"/>
  <c r="H35" i="16" s="1"/>
  <c r="D14" i="16" a="1"/>
  <c r="D14" i="16" s="1"/>
  <c r="P35" i="16" a="1"/>
  <c r="P35" i="16" s="1"/>
  <c r="D32" i="16" a="1"/>
  <c r="D32" i="16" s="1"/>
  <c r="H7" i="16" a="1"/>
  <c r="H7" i="16" s="1"/>
  <c r="D34" i="16" a="1"/>
  <c r="D34" i="16" s="1"/>
  <c r="N7" i="16" a="1"/>
  <c r="N7" i="16" s="1"/>
  <c r="F32" i="16" a="1"/>
  <c r="F32" i="16" s="1"/>
  <c r="L26" i="16" a="1"/>
  <c r="L26" i="16" s="1"/>
  <c r="D20" i="16" a="1"/>
  <c r="D20" i="16" s="1"/>
  <c r="N10" i="16" a="1"/>
  <c r="N10" i="16" s="1"/>
  <c r="N33" i="16" a="1"/>
  <c r="N33" i="16" s="1"/>
  <c r="D31" i="16" a="1"/>
  <c r="D31" i="16" s="1"/>
  <c r="D29" i="16" a="1"/>
  <c r="D29" i="16" s="1"/>
  <c r="L22" i="16" a="1"/>
  <c r="L22" i="16" s="1"/>
  <c r="P25" i="16" a="1"/>
  <c r="P25" i="16" s="1"/>
  <c r="F10" i="16" a="1"/>
  <c r="F10" i="16" s="1"/>
  <c r="F31" i="16" a="1"/>
  <c r="F31" i="16" s="1"/>
  <c r="L34" i="16" a="1"/>
  <c r="L34" i="16" s="1"/>
  <c r="H15" i="16" a="1"/>
  <c r="H15" i="16" s="1"/>
  <c r="J35" i="16" a="1"/>
  <c r="J35" i="16" s="1"/>
  <c r="J12" i="16" a="1"/>
  <c r="J12" i="16" s="1"/>
  <c r="N20" i="16" a="1"/>
  <c r="N20" i="16" s="1"/>
  <c r="D13" i="16" a="1"/>
  <c r="D13" i="16" s="1"/>
  <c r="N21" i="16" a="1"/>
  <c r="N21" i="16" s="1"/>
  <c r="H17" i="16" a="1"/>
  <c r="H17" i="16" s="1"/>
  <c r="H33" i="16" a="1"/>
  <c r="H33" i="16" s="1"/>
  <c r="H10" i="16" a="1"/>
  <c r="H10" i="16" s="1"/>
  <c r="H11" i="16" a="1"/>
  <c r="H11" i="16" s="1"/>
  <c r="J16" i="16" a="1"/>
  <c r="J16" i="16" s="1"/>
  <c r="J24" i="16" a="1"/>
  <c r="J24" i="16" s="1"/>
  <c r="F19" i="16" a="1"/>
  <c r="F19" i="16" s="1"/>
  <c r="J21" i="16" a="1"/>
  <c r="J21" i="16" s="1"/>
  <c r="D10" i="16" a="1"/>
  <c r="D10" i="16" s="1"/>
  <c r="H34" i="16" a="1"/>
  <c r="H34" i="16" s="1"/>
  <c r="N12" i="16" a="1"/>
  <c r="N12" i="16" s="1"/>
  <c r="D25" i="16" a="1"/>
  <c r="D25" i="16" s="1"/>
  <c r="L33" i="16" a="1"/>
  <c r="L33" i="16" s="1"/>
  <c r="N28" i="16" a="1"/>
  <c r="N28" i="16" s="1"/>
  <c r="N19" i="16" a="1"/>
  <c r="N19" i="16" s="1"/>
  <c r="P19" i="16" a="1"/>
  <c r="P19" i="16" s="1"/>
  <c r="J22" i="16" a="1"/>
  <c r="J22" i="16" s="1"/>
  <c r="L8" i="16" a="1"/>
  <c r="L8" i="16" s="1"/>
  <c r="H157" i="14"/>
  <c r="N157" i="14"/>
  <c r="J157" i="14"/>
  <c r="P33" i="16" a="1"/>
  <c r="P33" i="16" s="1"/>
  <c r="P30" i="16" a="1"/>
  <c r="P30" i="16" s="1"/>
  <c r="D18" i="16" a="1"/>
  <c r="D18" i="16" s="1"/>
  <c r="L19" i="16" a="1"/>
  <c r="L19" i="16" s="1"/>
  <c r="F28" i="16" a="1"/>
  <c r="F28" i="16" s="1"/>
  <c r="F18" i="16" a="1"/>
  <c r="F18" i="16" s="1"/>
  <c r="H26" i="16" a="1"/>
  <c r="H26" i="16" s="1"/>
  <c r="P10" i="16" a="1"/>
  <c r="P10" i="16" s="1"/>
  <c r="P16" i="16" a="1"/>
  <c r="P16" i="16" s="1"/>
  <c r="P17" i="16" a="1"/>
  <c r="P17" i="16" s="1"/>
  <c r="P7" i="16" a="1"/>
  <c r="P7" i="16" s="1"/>
  <c r="J23" i="16" a="1"/>
  <c r="J23" i="16" s="1"/>
  <c r="L12" i="16" a="1"/>
  <c r="L12" i="16" s="1"/>
  <c r="H19" i="16" a="1"/>
  <c r="H19" i="16" s="1"/>
  <c r="L29" i="16" a="1"/>
  <c r="L29" i="16" s="1"/>
  <c r="F7" i="16" a="1"/>
  <c r="F7" i="16" s="1"/>
  <c r="P20" i="16" a="1"/>
  <c r="P20" i="16" s="1"/>
  <c r="F23" i="16" a="1"/>
  <c r="F23" i="16" s="1"/>
  <c r="F15" i="16" a="1"/>
  <c r="F15" i="16" s="1"/>
  <c r="H20" i="16" a="1"/>
  <c r="H20" i="16" s="1"/>
  <c r="H21" i="16" a="1"/>
  <c r="H21" i="16" s="1"/>
  <c r="F34" i="16" a="1"/>
  <c r="F34" i="16" s="1"/>
  <c r="H24" i="16" a="1"/>
  <c r="H24" i="16" s="1"/>
  <c r="H173" i="14"/>
  <c r="N173" i="14"/>
  <c r="J173" i="14"/>
  <c r="L18" i="16" a="1"/>
  <c r="L18" i="16" s="1"/>
  <c r="F20" i="16" a="1"/>
  <c r="F20" i="16" s="1"/>
  <c r="D16" i="16" a="1"/>
  <c r="D16" i="16" s="1"/>
  <c r="P31" i="16" a="1"/>
  <c r="P31" i="16" s="1"/>
  <c r="D28" i="16" a="1"/>
  <c r="D28" i="16" s="1"/>
  <c r="H12" i="16" a="1"/>
  <c r="H12" i="16" s="1"/>
  <c r="F6" i="16" a="1"/>
  <c r="F6" i="16" s="1"/>
  <c r="H16" i="16" a="1"/>
  <c r="H16" i="16" s="1"/>
  <c r="L9" i="16" a="1"/>
  <c r="L9" i="16" s="1"/>
  <c r="L17" i="16" a="1"/>
  <c r="L17" i="16" s="1"/>
  <c r="J11" i="16" a="1"/>
  <c r="J11" i="16" s="1"/>
  <c r="D33" i="16" a="1"/>
  <c r="D33" i="16" s="1"/>
  <c r="P34" i="16" a="1"/>
  <c r="P34" i="16" s="1"/>
  <c r="J27" i="16" a="1"/>
  <c r="J27" i="16" s="1"/>
  <c r="N13" i="16" a="1"/>
  <c r="N13" i="16" s="1"/>
  <c r="J19" i="16" a="1"/>
  <c r="J19" i="16" s="1"/>
  <c r="L27" i="16" a="1"/>
  <c r="L27" i="16" s="1"/>
  <c r="F21" i="16" a="1"/>
  <c r="F21" i="16" s="1"/>
  <c r="J20" i="16" a="1"/>
  <c r="J20" i="16" s="1"/>
  <c r="P27" i="16" a="1"/>
  <c r="P27" i="16" s="1"/>
  <c r="N25" i="16" a="1"/>
  <c r="N25" i="16" s="1"/>
  <c r="H14" i="16" a="1"/>
  <c r="H14" i="16" s="1"/>
  <c r="J15" i="16" a="1"/>
  <c r="J15" i="16" s="1"/>
  <c r="L13" i="16" a="1"/>
  <c r="L13" i="16" s="1"/>
  <c r="D15" i="16" a="1"/>
  <c r="D15" i="16" s="1"/>
  <c r="N31" i="16" a="1"/>
  <c r="N31" i="16" s="1"/>
  <c r="F14" i="16" a="1"/>
  <c r="F14" i="16" s="1"/>
  <c r="J9" i="16" a="1"/>
  <c r="J9" i="16" s="1"/>
  <c r="D17" i="16" a="1"/>
  <c r="D17" i="16" s="1"/>
  <c r="F25" i="16" a="1"/>
  <c r="F25" i="16" s="1"/>
  <c r="J18" i="16" a="1"/>
  <c r="J18" i="16" s="1"/>
  <c r="N18" i="16" a="1"/>
  <c r="N18" i="16" s="1"/>
  <c r="N14" i="16" a="1"/>
  <c r="N14" i="16" s="1"/>
  <c r="P26" i="16" a="1"/>
  <c r="P26" i="16" s="1"/>
  <c r="P21" i="16" a="1"/>
  <c r="P21" i="16" s="1"/>
  <c r="D23" i="16" a="1"/>
  <c r="D23" i="16" s="1"/>
  <c r="F24" i="16" a="1"/>
  <c r="F24" i="16" s="1"/>
  <c r="N29" i="16" a="1"/>
  <c r="N29" i="16" s="1"/>
  <c r="P23" i="16" a="1"/>
  <c r="P23" i="16" s="1"/>
  <c r="P18" i="16" a="1"/>
  <c r="P18" i="16" s="1"/>
  <c r="L7" i="16" a="1"/>
  <c r="L7" i="16" s="1"/>
  <c r="N26" i="16" a="1"/>
  <c r="N26" i="16" s="1"/>
  <c r="H242" i="14"/>
  <c r="D18" i="5" s="1"/>
  <c r="E18" i="5" s="1"/>
  <c r="N242" i="14"/>
  <c r="E176" i="8"/>
  <c r="F176" i="8" s="1"/>
  <c r="K176" i="8" s="1"/>
  <c r="O1227" i="11"/>
  <c r="D12" i="5" l="1"/>
  <c r="E12" i="5" s="1"/>
  <c r="D11" i="5"/>
  <c r="E11" i="5" s="1"/>
  <c r="O157" i="14"/>
  <c r="O173" i="14"/>
  <c r="O244" i="14"/>
  <c r="O242" i="14"/>
  <c r="J151" i="14"/>
  <c r="J280" i="14" s="1"/>
  <c r="N151" i="14"/>
  <c r="O151" i="14" s="1"/>
  <c r="N152" i="14"/>
  <c r="H152" i="14"/>
  <c r="H280" i="14" s="1"/>
  <c r="K3" i="8"/>
  <c r="H36" i="16"/>
  <c r="E3" i="8"/>
  <c r="L36" i="16"/>
  <c r="G3" i="9"/>
  <c r="F17" i="9"/>
  <c r="G17" i="9" s="1"/>
  <c r="J36" i="16"/>
  <c r="D36" i="16"/>
  <c r="N36" i="16"/>
  <c r="P36" i="16"/>
  <c r="F36" i="16"/>
  <c r="N280" i="14" l="1"/>
  <c r="O152" i="14"/>
  <c r="D7" i="5"/>
  <c r="E7"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Sarah Booysen</author>
  </authors>
  <commentList>
    <comment ref="J5" authorId="0" shapeId="0" xr:uid="{46A7DBFE-0823-4FDB-A96A-771EC8133829}">
      <text>
        <r>
          <rPr>
            <b/>
            <sz val="9"/>
            <color indexed="81"/>
            <rFont val="Tahoma"/>
            <family val="2"/>
          </rPr>
          <t xml:space="preserve">Freight/post is not included. </t>
        </r>
        <r>
          <rPr>
            <sz val="9"/>
            <color indexed="81"/>
            <rFont val="Tahoma"/>
            <family val="2"/>
          </rPr>
          <t xml:space="preserve">
</t>
        </r>
      </text>
    </comment>
    <comment ref="J6" authorId="0" shapeId="0" xr:uid="{5C122E42-7A58-4A74-B85B-631A70B8A503}">
      <text>
        <r>
          <rPr>
            <b/>
            <sz val="9"/>
            <color indexed="81"/>
            <rFont val="Tahoma"/>
            <family val="2"/>
          </rPr>
          <t>Use the same cost price per item</t>
        </r>
        <r>
          <rPr>
            <sz val="9"/>
            <color indexed="81"/>
            <rFont val="Tahoma"/>
            <family val="2"/>
          </rPr>
          <t xml:space="preserve">
</t>
        </r>
      </text>
    </comment>
    <comment ref="N11" authorId="0" shapeId="0" xr:uid="{6C7E295A-B9E1-4F9E-AAC7-9C90B0FF5748}">
      <text>
        <r>
          <rPr>
            <b/>
            <sz val="9"/>
            <color indexed="81"/>
            <rFont val="Tahoma"/>
            <family val="2"/>
          </rPr>
          <t>This uses the average cost price</t>
        </r>
        <r>
          <rPr>
            <sz val="9"/>
            <color indexed="81"/>
            <rFont val="Tahoma"/>
            <family val="2"/>
          </rPr>
          <t xml:space="preserve">
</t>
        </r>
      </text>
    </comment>
    <comment ref="J22" authorId="0" shapeId="0" xr:uid="{6EB6B747-9A20-4C97-9240-77344A1824FC}">
      <text>
        <r>
          <rPr>
            <b/>
            <sz val="9"/>
            <color indexed="81"/>
            <rFont val="Tahoma"/>
            <family val="2"/>
          </rPr>
          <t xml:space="preserve">Freight/post is not included. </t>
        </r>
        <r>
          <rPr>
            <sz val="9"/>
            <color indexed="81"/>
            <rFont val="Tahoma"/>
            <family val="2"/>
          </rPr>
          <t xml:space="preserve">
</t>
        </r>
      </text>
    </comment>
    <comment ref="N23" authorId="0" shapeId="0" xr:uid="{C2ED1404-117C-45F3-9998-1510BD839A41}">
      <text>
        <r>
          <rPr>
            <b/>
            <sz val="9"/>
            <color indexed="81"/>
            <rFont val="Tahoma"/>
            <family val="2"/>
          </rPr>
          <t>Using the average cost price</t>
        </r>
      </text>
    </comment>
    <comment ref="J30" authorId="0" shapeId="0" xr:uid="{00B50D60-6051-4934-8442-540D95F241D2}">
      <text>
        <r>
          <rPr>
            <b/>
            <sz val="9"/>
            <color indexed="81"/>
            <rFont val="Tahoma"/>
            <family val="2"/>
          </rPr>
          <t xml:space="preserve">Freight/post is not included. </t>
        </r>
        <r>
          <rPr>
            <sz val="9"/>
            <color indexed="81"/>
            <rFont val="Tahoma"/>
            <family val="2"/>
          </rPr>
          <t xml:space="preserve">
</t>
        </r>
      </text>
    </comment>
    <comment ref="N31" authorId="0" shapeId="0" xr:uid="{E194E3AA-E502-4FEA-93B6-C2A046FA5CC9}">
      <text>
        <r>
          <rPr>
            <b/>
            <sz val="9"/>
            <color indexed="81"/>
            <rFont val="Tahoma"/>
            <family val="2"/>
          </rPr>
          <t>Using the average cost price</t>
        </r>
        <r>
          <rPr>
            <sz val="9"/>
            <color indexed="81"/>
            <rFont val="Tahoma"/>
            <family val="2"/>
          </rPr>
          <t xml:space="preserve">
</t>
        </r>
      </text>
    </comment>
    <comment ref="J38" authorId="0" shapeId="0" xr:uid="{E3058F80-ADC9-469D-A30E-9D08714D9288}">
      <text>
        <r>
          <rPr>
            <b/>
            <sz val="9"/>
            <color indexed="81"/>
            <rFont val="Tahoma"/>
            <family val="2"/>
          </rPr>
          <t>This is the price of velvet $9.98 added to the price of the zip $0.97 to get the total price of the cushion of $13.74</t>
        </r>
        <r>
          <rPr>
            <sz val="9"/>
            <color indexed="81"/>
            <rFont val="Tahoma"/>
            <family val="2"/>
          </rPr>
          <t xml:space="preserve">
</t>
        </r>
      </text>
    </comment>
    <comment ref="N39" authorId="0" shapeId="0" xr:uid="{35DDCCAF-2AD5-462F-95E4-043CE01BBCAC}">
      <text>
        <r>
          <rPr>
            <b/>
            <sz val="9"/>
            <color indexed="81"/>
            <rFont val="Tahoma"/>
            <family val="2"/>
          </rPr>
          <t>This is the sale price which includes the markup to cover labor costs to make the cushion and to make a profit. Your markup needs to be set by yourself based on current market business trends for your type of business.</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<sst xmlns="http://schemas.openxmlformats.org/spreadsheetml/2006/main" count="4861" uniqueCount="692">
  <si>
    <t>MENU</t>
  </si>
  <si>
    <r>
      <t xml:space="preserve">Reminder: the value of stock on hand in this workbook is based on the </t>
    </r>
    <r>
      <rPr>
        <u/>
        <sz val="11"/>
        <color theme="5" tint="-0.249977111117893"/>
        <rFont val="Calibri"/>
        <family val="2"/>
        <scheme val="minor"/>
      </rPr>
      <t>average</t>
    </r>
    <r>
      <rPr>
        <sz val="11"/>
        <color theme="5" tint="-0.249977111117893"/>
        <rFont val="Calibri"/>
        <family val="2"/>
        <scheme val="minor"/>
      </rPr>
      <t xml:space="preserve"> value. If you require FIFO or LIFO this is not the right workbook for you</t>
    </r>
  </si>
  <si>
    <t xml:space="preserve">The Examples Sheet </t>
  </si>
  <si>
    <t>This sheet has some simple examples so you can see how to enter stock purchased, sold or manufactured.  There are red triangles in the top-right corner of some cells in the Examples sheet with more tips.</t>
  </si>
  <si>
    <t>Menu</t>
  </si>
  <si>
    <t>This sheet is the main navigation menu. Every sheet in this workbook links to it.</t>
  </si>
  <si>
    <t>Vendors</t>
  </si>
  <si>
    <t>Enter here all the names of your Vendors/Suppliers. All the monthly sheets are linked to this list by a drop-down arrow so you can select the one you want.</t>
  </si>
  <si>
    <t>Customers</t>
  </si>
  <si>
    <t>Enter here all the names of your Customers. All the monthly sheets are linked to this list by a drop-down arrow so you can select the one you want.</t>
  </si>
  <si>
    <t>Stock Manager</t>
  </si>
  <si>
    <t>On this sheet you will enter the names of all your stock items, allocate an ID Number (not compulsory), enter your Re-Order level, starting stock on hand quantity and value if you already have stock, and stock location if required. You can also enter the Vendor or Supplier that you usually buy this stock item from.</t>
  </si>
  <si>
    <t>Inventory Report</t>
  </si>
  <si>
    <t>You do not need to enter anything into this sheet. All the information comes from the Item sheets. So every Item sheet is linked to this report.</t>
  </si>
  <si>
    <t>Monthly</t>
  </si>
  <si>
    <t>If you want to maintain periodical inventory in your bookkeeping records. On say the 1st of the month, when you've got all your stock entries up-to-date in this workbook up to the last day of the previous month, take the total stock on hand from cell L2 on the Inventory Report and type it into the relevant month/year cell.</t>
  </si>
  <si>
    <t>Item Sheets</t>
  </si>
  <si>
    <t>This is where you will regularly update your purchases and sales and other related transactions such as returns, manufacture, damaged stock etc.</t>
  </si>
  <si>
    <t>Currency and Cell Formats</t>
  </si>
  <si>
    <r>
      <t xml:space="preserve">Many cells are set to the </t>
    </r>
    <r>
      <rPr>
        <u/>
        <sz val="12"/>
        <color theme="4" tint="-0.499984740745262"/>
        <rFont val="Calibri"/>
        <family val="2"/>
        <scheme val="minor"/>
      </rPr>
      <t>Currency</t>
    </r>
    <r>
      <rPr>
        <sz val="12"/>
        <color theme="4" tint="-0.499984740745262"/>
        <rFont val="Calibri"/>
        <family val="2"/>
        <scheme val="minor"/>
      </rPr>
      <t xml:space="preserve"> format with the $ symbol. If you need to change it to your currency symbol, select the cells that need changing then right-click &gt; Format Cells &gt; Number &gt; Currency &gt; select what you want to display, or set to None to see no currency. If you would prefer to see a dash instead of a 0.00 in every cell with a formula, choose the </t>
    </r>
    <r>
      <rPr>
        <u/>
        <sz val="12"/>
        <color theme="4" tint="-0.499984740745262"/>
        <rFont val="Calibri"/>
        <family val="2"/>
        <scheme val="minor"/>
      </rPr>
      <t>Accounting</t>
    </r>
    <r>
      <rPr>
        <sz val="12"/>
        <color theme="4" tint="-0.499984740745262"/>
        <rFont val="Calibri"/>
        <family val="2"/>
        <scheme val="minor"/>
      </rPr>
      <t xml:space="preserve"> format rather than the Currency format, but note the numbers don't turn red if they go into a negative value.</t>
    </r>
  </si>
  <si>
    <t>Adding New Items</t>
  </si>
  <si>
    <t>This is a very manual process because this workbook does not contain macros or vba coding. Below are the instructions for adding new Items:</t>
  </si>
  <si>
    <t>1. First Go to the Stock Manager sheet and scroll down to the last Item on your list (Row 303)</t>
  </si>
  <si>
    <t>2. Copy Row 303 and paste or insert it however many times you need to, to account for your additional stock items.</t>
  </si>
  <si>
    <t xml:space="preserve">3. Change the Item Number for each row (each new stock item) </t>
  </si>
  <si>
    <t>4. If you want them to be linked to the new Item sheets we are about to add (like all the other Items in this column), you can update the Hyperlink arrows (&gt;&gt;) later.</t>
  </si>
  <si>
    <r>
      <t>5.  When you change data in the cells the formatting sometimes reverts to Excel generic formats. To get the new cells looking the same as the original cells, select an original cell, select </t>
    </r>
    <r>
      <rPr>
        <i/>
        <sz val="12"/>
        <color theme="4" tint="-0.499984740745262"/>
        <rFont val="Calibri"/>
        <family val="2"/>
        <scheme val="minor"/>
      </rPr>
      <t>Format Painter</t>
    </r>
    <r>
      <rPr>
        <sz val="12"/>
        <color theme="4" tint="-0.499984740745262"/>
        <rFont val="Calibri"/>
        <family val="2"/>
        <scheme val="minor"/>
      </rPr>
      <t> in the </t>
    </r>
    <r>
      <rPr>
        <i/>
        <sz val="12"/>
        <color theme="4" tint="-0.499984740745262"/>
        <rFont val="Calibri"/>
        <family val="2"/>
        <scheme val="minor"/>
      </rPr>
      <t>Home </t>
    </r>
    <r>
      <rPr>
        <sz val="12"/>
        <color theme="4" tint="-0.499984740745262"/>
        <rFont val="Calibri"/>
        <family val="2"/>
        <scheme val="minor"/>
      </rPr>
      <t>&gt; </t>
    </r>
    <r>
      <rPr>
        <i/>
        <sz val="12"/>
        <color theme="4" tint="-0.499984740745262"/>
        <rFont val="Calibri"/>
        <family val="2"/>
        <scheme val="minor"/>
      </rPr>
      <t>Clipboard </t>
    </r>
    <r>
      <rPr>
        <sz val="12"/>
        <color theme="4" tint="-0.499984740745262"/>
        <rFont val="Calibri"/>
        <family val="2"/>
        <scheme val="minor"/>
      </rPr>
      <t>menu at the top of the Excel screen (or right-click and select the paintbrush icon) then click on your new cell - it should now match the original.</t>
    </r>
  </si>
  <si>
    <t>6. Give your new stock their names, ID no’s Re-Order levels etc.</t>
  </si>
  <si>
    <t>7. For the “Current Quantity” you need to update the Inventory Report, instructions further down below</t>
  </si>
  <si>
    <t>New Items Sheets</t>
  </si>
  <si>
    <t>1. Now you are going to leave the Stock Manager Sheet and go to the very last Item sheet (Item #700.)</t>
  </si>
  <si>
    <t>2. Right click on the tab name and select Move or Copy</t>
  </si>
  <si>
    <t>3. Then tick on Create a copy. </t>
  </si>
  <si>
    <t>4. Then scroll down to the end of the list under Before sheet: and select (move to end)</t>
  </si>
  <si>
    <t>5. Then click on OK</t>
  </si>
  <si>
    <t>6. If you had details of another stock item already in the sheet you just copied, delete those out (but not my formulas or headings etc.) of your new copy so that your new sheet is a blank canvas ready for your new stock Item.</t>
  </si>
  <si>
    <t>7. Rename the sheet tab to whatever you want the sheet tab to be.</t>
  </si>
  <si>
    <t>8. Do this as many times as you need for the number of new Item sheets you need.</t>
  </si>
  <si>
    <t>9. Now each new sheet has to be adjusted.</t>
  </si>
  <si>
    <t>Adjusting the New Items Sheets</t>
  </si>
  <si>
    <t>1. In your first additional sheet, change the Item # in Cell B2.</t>
  </si>
  <si>
    <t xml:space="preserve">2. In Cell C2/D2 you are going to change the linking formula to get the correct name of your new stock item. </t>
  </si>
  <si>
    <t>3. Click on Cell C2/D2, enter = then go to the Stock Manager sheet (right-click between the two right arrows on the bottom left of the Excel screen and navigate to Stock Manager), then select the name of your new Item from Column D, Row ?? [take from your new additional Item], press enter.</t>
  </si>
  <si>
    <t>4. Repeat the above for each new Item.</t>
  </si>
  <si>
    <t>Updating the Inventory Report</t>
  </si>
  <si>
    <t>1. Go to the Inventory Report sheet.</t>
  </si>
  <si>
    <t>2. Insert a new row at the bottom of the list.</t>
  </si>
  <si>
    <r>
      <t>3.  Insert linking formulas so that Columns C to Column L on the Inventory report in your new Item row/s are linked to the matching totals in Row 2 of each new Item sheet. For example, for Item #300 click in cell C304, look in the formula bar up above, you will see the formula is ='Item #300'!$C$2 - the formula for your new sheet should read 'Item #30</t>
    </r>
    <r>
      <rPr>
        <sz val="12"/>
        <color theme="5" tint="-0.249977111117893"/>
        <rFont val="Calibri"/>
        <family val="2"/>
        <scheme val="minor"/>
      </rPr>
      <t>1</t>
    </r>
    <r>
      <rPr>
        <sz val="12"/>
        <color theme="4" tint="-0.499984740745262"/>
        <rFont val="Calibri"/>
        <family val="2"/>
        <scheme val="minor"/>
      </rPr>
      <t>'!$C$2 for your new Item.</t>
    </r>
  </si>
  <si>
    <t>4. Do the same linking update for your new Item row for each total from Column D to K on the Inventory Report.</t>
  </si>
  <si>
    <t>Location</t>
  </si>
  <si>
    <t>Overall Quantity on Hand</t>
  </si>
  <si>
    <t>Overall Value on Hand</t>
  </si>
  <si>
    <t xml:space="preserve">Total Quantity </t>
  </si>
  <si>
    <t>Average Cost</t>
  </si>
  <si>
    <t>Total Value</t>
  </si>
  <si>
    <t>Total Quantity</t>
  </si>
  <si>
    <t>Average Price</t>
  </si>
  <si>
    <t>ID NO.</t>
  </si>
  <si>
    <t>Example</t>
  </si>
  <si>
    <t>Item #1</t>
  </si>
  <si>
    <t>Red T-Shirts XL</t>
  </si>
  <si>
    <t>Row 1, Shelf 2</t>
  </si>
  <si>
    <t>Example 01</t>
  </si>
  <si>
    <t>Description</t>
  </si>
  <si>
    <t>Purchases and Returns | Other</t>
  </si>
  <si>
    <t>Sales and Sales Returns | Other</t>
  </si>
  <si>
    <t>Date</t>
  </si>
  <si>
    <t>Transaction Type</t>
  </si>
  <si>
    <t>Vendor | Supplier</t>
  </si>
  <si>
    <t>Customer</t>
  </si>
  <si>
    <t>Other</t>
  </si>
  <si>
    <t>Invoice #</t>
  </si>
  <si>
    <t>Quantity</t>
  </si>
  <si>
    <t>Cost per Item</t>
  </si>
  <si>
    <t>Total Cost</t>
  </si>
  <si>
    <t>Price per Item</t>
  </si>
  <si>
    <t>Total Sales</t>
  </si>
  <si>
    <t>Quantity in Stock</t>
  </si>
  <si>
    <t>Purchase</t>
  </si>
  <si>
    <t>AA Supplies</t>
  </si>
  <si>
    <t>Purchase Return</t>
  </si>
  <si>
    <t>Faulty items returned to vendor</t>
  </si>
  <si>
    <t>100123a</t>
  </si>
  <si>
    <t>Sale</t>
  </si>
  <si>
    <t>MyWorx</t>
  </si>
  <si>
    <t>Sale Return</t>
  </si>
  <si>
    <t>2015a</t>
  </si>
  <si>
    <t>CT Wear</t>
  </si>
  <si>
    <t>32FG1</t>
  </si>
  <si>
    <t>All That Stuff</t>
  </si>
  <si>
    <t>Stock Stolen</t>
  </si>
  <si>
    <t>Taken from reception</t>
  </si>
  <si>
    <t>Journal</t>
  </si>
  <si>
    <t>John Smith</t>
  </si>
  <si>
    <t>45HH2</t>
  </si>
  <si>
    <t>Stock Adjustment</t>
  </si>
  <si>
    <t>Inventory Count - Reduction</t>
  </si>
  <si>
    <t>The following 3 examples are connected to the same story - some Fabric and a Zipper were taken from stock to manufacture (consolidate) into the Velvet Cushion Cover</t>
  </si>
  <si>
    <t>Please note:  taking some items from stock to manufacture into another stock item has to be done manually in this workbook, it is not currently set-up to do this automatically</t>
  </si>
  <si>
    <t>First Example</t>
  </si>
  <si>
    <t>Item #2</t>
  </si>
  <si>
    <t>Green Velvet Fabric</t>
  </si>
  <si>
    <t>Bin 3, Workshop</t>
  </si>
  <si>
    <t>Example 02</t>
  </si>
  <si>
    <t>First Part</t>
  </si>
  <si>
    <t>Fabric Wholesalers</t>
  </si>
  <si>
    <t>Stock Used in Manufacture</t>
  </si>
  <si>
    <t>To make Cushion Cover</t>
  </si>
  <si>
    <t>Second Example</t>
  </si>
  <si>
    <t>Item #3</t>
  </si>
  <si>
    <t>Zippers</t>
  </si>
  <si>
    <t>Box 5, Workshop</t>
  </si>
  <si>
    <t>Example 03</t>
  </si>
  <si>
    <t>Second Part</t>
  </si>
  <si>
    <t>Zip Wholesalers</t>
  </si>
  <si>
    <t>Third Example</t>
  </si>
  <si>
    <t>Item #4</t>
  </si>
  <si>
    <t>Green Velvet Cushion Cover with Zip</t>
  </si>
  <si>
    <t>Shop Front</t>
  </si>
  <si>
    <t>Example 04</t>
  </si>
  <si>
    <t>Consolidated</t>
  </si>
  <si>
    <t>Part</t>
  </si>
  <si>
    <t>Stock Introduced</t>
  </si>
  <si>
    <t>In-house manufacture</t>
  </si>
  <si>
    <t>My Customer</t>
  </si>
  <si>
    <t>تامین کنندگان</t>
  </si>
  <si>
    <t>نام</t>
  </si>
  <si>
    <t>آدرس</t>
  </si>
  <si>
    <t>مشتریان</t>
  </si>
  <si>
    <t>فریده</t>
  </si>
  <si>
    <t>هنگامه بهزادی</t>
  </si>
  <si>
    <t>نام کالا</t>
  </si>
  <si>
    <t>موجودی فعلی</t>
  </si>
  <si>
    <t>کت نقره ای زارا</t>
  </si>
  <si>
    <t>شلوار تور جدید</t>
  </si>
  <si>
    <t>شلوار کرم ترک</t>
  </si>
  <si>
    <t>شلوار گرمکن</t>
  </si>
  <si>
    <t>گرمکن ترک</t>
  </si>
  <si>
    <t>دامن شلوار دیپلمات کمردار</t>
  </si>
  <si>
    <t>شلوارک جین</t>
  </si>
  <si>
    <t>گزارش انبار</t>
  </si>
  <si>
    <t>کل تعداد خرید</t>
  </si>
  <si>
    <t>کل ارزش خرید</t>
  </si>
  <si>
    <t>کل تعداد فروش</t>
  </si>
  <si>
    <t>کل ارزش فروش</t>
  </si>
  <si>
    <t xml:space="preserve"> کل تعداد موجودی</t>
  </si>
  <si>
    <t xml:space="preserve"> کل ارزش موجودی</t>
  </si>
  <si>
    <t>شرح</t>
  </si>
  <si>
    <t>خریدها</t>
  </si>
  <si>
    <t>فروش ها</t>
  </si>
  <si>
    <t>کد</t>
  </si>
  <si>
    <t>قیمت میانگین خرید</t>
  </si>
  <si>
    <t>قیمت میانگین فروش</t>
  </si>
  <si>
    <t>تعداد موجودی</t>
  </si>
  <si>
    <t>ارزش موجودی</t>
  </si>
  <si>
    <t>خروج</t>
  </si>
  <si>
    <t>تاریخ</t>
  </si>
  <si>
    <t>نوع عملیات</t>
  </si>
  <si>
    <t>فروشنده</t>
  </si>
  <si>
    <t>کالا</t>
  </si>
  <si>
    <t>شماره فاکتور</t>
  </si>
  <si>
    <t>تعداد</t>
  </si>
  <si>
    <t>قیمت واحد</t>
  </si>
  <si>
    <t>قیمت کل</t>
  </si>
  <si>
    <t>سال</t>
  </si>
  <si>
    <t>ماه</t>
  </si>
  <si>
    <t>روز</t>
  </si>
  <si>
    <t>فروش</t>
  </si>
  <si>
    <t>خرید</t>
  </si>
  <si>
    <t>برگشت از خرید</t>
  </si>
  <si>
    <t>برگشت از فروش</t>
  </si>
  <si>
    <t>خراب شده</t>
  </si>
  <si>
    <t>موجودی اولیه</t>
  </si>
  <si>
    <t>سایر</t>
  </si>
  <si>
    <t>انواع عملیات</t>
  </si>
  <si>
    <t>لیبل ها</t>
  </si>
  <si>
    <t>Search and Select</t>
  </si>
  <si>
    <t>نام کالا:</t>
  </si>
  <si>
    <t>لیست کالاها:</t>
  </si>
  <si>
    <t>کالای جایگزین:</t>
  </si>
  <si>
    <t>کالای فعلی:</t>
  </si>
  <si>
    <t>UserForm</t>
  </si>
  <si>
    <t>btnClose</t>
  </si>
  <si>
    <t>frm1</t>
  </si>
  <si>
    <t>frm2</t>
  </si>
  <si>
    <t>txtShow</t>
  </si>
  <si>
    <t>txtSearch</t>
  </si>
  <si>
    <t>btnConfirm</t>
  </si>
  <si>
    <t>تایید</t>
  </si>
  <si>
    <t>موجودی</t>
  </si>
  <si>
    <t>کفش</t>
  </si>
  <si>
    <t>گروه کالا</t>
  </si>
  <si>
    <t>لباس مجلسی</t>
  </si>
  <si>
    <t>لباس اسپرت</t>
  </si>
  <si>
    <t>کیف</t>
  </si>
  <si>
    <t>لباس زیر</t>
  </si>
  <si>
    <t>اکسسوری</t>
  </si>
  <si>
    <t>شال و روسری</t>
  </si>
  <si>
    <t>ارزش کالا</t>
  </si>
  <si>
    <t>ارزش فروش</t>
  </si>
  <si>
    <t>قیمت تمام شده</t>
  </si>
  <si>
    <t>مانتو پاپیون</t>
  </si>
  <si>
    <t>مانتو دیپلمات</t>
  </si>
  <si>
    <t>مانتو کتان</t>
  </si>
  <si>
    <t>شومیز مراکشی</t>
  </si>
  <si>
    <t>شومیز پلنگی</t>
  </si>
  <si>
    <t>شال LV</t>
  </si>
  <si>
    <t>بلوز کرکره</t>
  </si>
  <si>
    <t>شلوار مازراتی</t>
  </si>
  <si>
    <t>بلوز بافت صورتی</t>
  </si>
  <si>
    <t>شلوار مام</t>
  </si>
  <si>
    <t>متفرقه</t>
  </si>
  <si>
    <t>شلوار جین دمپا</t>
  </si>
  <si>
    <t>فاکتور</t>
  </si>
  <si>
    <t>سود</t>
  </si>
  <si>
    <t>تسویه</t>
  </si>
  <si>
    <t>نقدی</t>
  </si>
  <si>
    <t>اعتباری</t>
  </si>
  <si>
    <t>دامن لینن کتان</t>
  </si>
  <si>
    <t>نیم تنه چپ و راستی</t>
  </si>
  <si>
    <t>کت و شلوار لینن مشکی</t>
  </si>
  <si>
    <t>پیراهن شانتون</t>
  </si>
  <si>
    <t>شنل و شلوار</t>
  </si>
  <si>
    <t>دامن لینن</t>
  </si>
  <si>
    <t>نیم تنه مشکی</t>
  </si>
  <si>
    <t>شلوار گشاد مازراتی</t>
  </si>
  <si>
    <t>وست</t>
  </si>
  <si>
    <t>بلوز سرشونه چین دار</t>
  </si>
  <si>
    <t>کت و شلوار مازراتی</t>
  </si>
  <si>
    <t>شلوارک مازراتی و لینن</t>
  </si>
  <si>
    <t>ژیله مازراتی و لینن</t>
  </si>
  <si>
    <t>شلوار لینن کمر سفید</t>
  </si>
  <si>
    <t>بلوز جیر جلو کوتاه پشت بلند</t>
  </si>
  <si>
    <t>کت فانتزی لینن</t>
  </si>
  <si>
    <t>بلوز و شلوار لینن جلو بسته</t>
  </si>
  <si>
    <t>شلوار لمه</t>
  </si>
  <si>
    <t>شومیز شلوار لینن جلوباز</t>
  </si>
  <si>
    <t>کراپ شلوار لینن</t>
  </si>
  <si>
    <t>کت تک مازراتی</t>
  </si>
  <si>
    <t>پیراهن ترک آستین پف مشکی</t>
  </si>
  <si>
    <t>نیم تنه دامن گره ای</t>
  </si>
  <si>
    <t>دامن کرم کمردار</t>
  </si>
  <si>
    <t>دامن سفید ریش ریش</t>
  </si>
  <si>
    <t>دامن بلند تور مشکی</t>
  </si>
  <si>
    <t>تاپ و شلوار دیسکو</t>
  </si>
  <si>
    <t>کراپ کت سفید و مشکی</t>
  </si>
  <si>
    <t>نیم تنه دامن آبی ترک</t>
  </si>
  <si>
    <t>تیشرت alo</t>
  </si>
  <si>
    <t>کراپ پلنگی</t>
  </si>
  <si>
    <t>تیشرت تک زنجیر</t>
  </si>
  <si>
    <t>کت پارچه شنل</t>
  </si>
  <si>
    <t>بلوز نخی سنتی بازار</t>
  </si>
  <si>
    <t>بافت ترک کرم زنجیردار</t>
  </si>
  <si>
    <t>کت مانتو دیپلمات کرم سرمه ای طلایی</t>
  </si>
  <si>
    <t>کت مانتو ژکارد آبی کمرنگ</t>
  </si>
  <si>
    <t>مانتو تدی</t>
  </si>
  <si>
    <t>بادی های بازار</t>
  </si>
  <si>
    <t>بادی آستین کوتاه خط سفید</t>
  </si>
  <si>
    <t>دامن کلوش زنجیر پائین تور</t>
  </si>
  <si>
    <t>دامن ترک سرمه ای</t>
  </si>
  <si>
    <t>دامن پلنگی کوتاه</t>
  </si>
  <si>
    <t>دامن شلوار مشکی کوتاه</t>
  </si>
  <si>
    <t>شلوارک ترک پارچه ای</t>
  </si>
  <si>
    <t>یقه اسکی بلند بافت ترک</t>
  </si>
  <si>
    <t>سرهمی مشکی حلقه ای</t>
  </si>
  <si>
    <t>شلوار بافت راه راه</t>
  </si>
  <si>
    <t>بلوز تک آستین گیپور</t>
  </si>
  <si>
    <t>شلوار پارچه ای تک راه 4 دگمه</t>
  </si>
  <si>
    <t>شلوار فول بگ جین</t>
  </si>
  <si>
    <t>شلوار مشکی فیت 2 دگمه</t>
  </si>
  <si>
    <t>آزاد نخی دگمه دار فری سایز</t>
  </si>
  <si>
    <t>بوتکات کمردار مشکی</t>
  </si>
  <si>
    <t>شلوار جین طوسی زاب دار</t>
  </si>
  <si>
    <t>دامن جین بلند</t>
  </si>
  <si>
    <t>کمربند</t>
  </si>
  <si>
    <t>کیف ویکتوریا</t>
  </si>
  <si>
    <t>کیف طوسی</t>
  </si>
  <si>
    <t>گوشواره</t>
  </si>
  <si>
    <t>کش سر</t>
  </si>
  <si>
    <t>عطر LCW</t>
  </si>
  <si>
    <t>دامن پلیسه و یقه تور یه آستین</t>
  </si>
  <si>
    <t>تی تی - سالن</t>
  </si>
  <si>
    <t>ملیکا ناخن - سالن</t>
  </si>
  <si>
    <t>پیراهن ساحلی طوسی</t>
  </si>
  <si>
    <t>نازنین</t>
  </si>
  <si>
    <t>تاپ مشکی</t>
  </si>
  <si>
    <t>شومیز خودم</t>
  </si>
  <si>
    <t>دامن دیپلمات</t>
  </si>
  <si>
    <t>فریماه صندوق - سالن</t>
  </si>
  <si>
    <t>سود فروش</t>
  </si>
  <si>
    <t>کل فروش</t>
  </si>
  <si>
    <t>تسویه شده</t>
  </si>
  <si>
    <t>مانده</t>
  </si>
  <si>
    <t>نحوه تسویه</t>
  </si>
  <si>
    <t>تلفن</t>
  </si>
  <si>
    <t>سالن</t>
  </si>
  <si>
    <t>فاز 11، زون 5</t>
  </si>
  <si>
    <t>پرداخت</t>
  </si>
  <si>
    <t>کارت خوان 1</t>
  </si>
  <si>
    <t>کارت خوان 2</t>
  </si>
  <si>
    <t>کل خرید</t>
  </si>
  <si>
    <t>ایمیل</t>
  </si>
  <si>
    <t>دریافت</t>
  </si>
  <si>
    <t>پرداختی ها</t>
  </si>
  <si>
    <t>حساب 1090</t>
  </si>
  <si>
    <t>بافت شنل قهوه ای</t>
  </si>
  <si>
    <t>تاپ مروارید</t>
  </si>
  <si>
    <t>فاطمه - سالن</t>
  </si>
  <si>
    <t>فرشته (نهال) - سالن</t>
  </si>
  <si>
    <t>کوتون سفید</t>
  </si>
  <si>
    <t>سالن - دستیار میترا میکاپ</t>
  </si>
  <si>
    <t>شلوار 4 دکمه مشکی</t>
  </si>
  <si>
    <t>هستی</t>
  </si>
  <si>
    <t>واریزی ها</t>
  </si>
  <si>
    <t>شومیز مشکی</t>
  </si>
  <si>
    <t>سالن - رنگ</t>
  </si>
  <si>
    <t>نرگس - سالن</t>
  </si>
  <si>
    <t>سالن - دوست عاطی</t>
  </si>
  <si>
    <t>09374508985</t>
  </si>
  <si>
    <t>میترا جون و دخترش</t>
  </si>
  <si>
    <t>شلوار جین بگ</t>
  </si>
  <si>
    <t>آزیتا</t>
  </si>
  <si>
    <t>بلوز سفید و مشکی آزاد</t>
  </si>
  <si>
    <t>تیشرت زنجیردار</t>
  </si>
  <si>
    <t>خانم طایفی</t>
  </si>
  <si>
    <t>استفاده خودم</t>
  </si>
  <si>
    <t>بانک</t>
  </si>
  <si>
    <t>صاحب حساب</t>
  </si>
  <si>
    <t>جمع</t>
  </si>
  <si>
    <t>Month</t>
  </si>
  <si>
    <t>نیم تنه مشکی ترک</t>
  </si>
  <si>
    <t>ست خانگی پشت باز</t>
  </si>
  <si>
    <t>تاپ پولکی مشکی</t>
  </si>
  <si>
    <t>کراپ تاپ دلگشا</t>
  </si>
  <si>
    <t>رویه مشکی طلائی</t>
  </si>
  <si>
    <t>یقه اسکی ویار</t>
  </si>
  <si>
    <t>کت و شلوار سبز</t>
  </si>
  <si>
    <t>کت و شلوار دیپلمات سنجاق سینه</t>
  </si>
  <si>
    <t>کراپ آستین حریر گره ای</t>
  </si>
  <si>
    <t>کراپ مجلسی سفید</t>
  </si>
  <si>
    <t>تیشرت طوسی ترک</t>
  </si>
  <si>
    <t>دامن پلیسه کوتاه</t>
  </si>
  <si>
    <t>دامن عروسکی تور</t>
  </si>
  <si>
    <t>شلوار جین شافل</t>
  </si>
  <si>
    <t>شلوار دم پا کج راه مشکی</t>
  </si>
  <si>
    <t>کفش اسپرت مشکی</t>
  </si>
  <si>
    <t>حساب 5802</t>
  </si>
  <si>
    <t>شومیز دلگشا</t>
  </si>
  <si>
    <t>دامن کارگو</t>
  </si>
  <si>
    <t>شلوار گشاد مازراتی تک بند</t>
  </si>
  <si>
    <t>میترا - سالن</t>
  </si>
  <si>
    <t>خانم اقبالی - سالن</t>
  </si>
  <si>
    <t>گندم - سالن</t>
  </si>
  <si>
    <t>تیشرت سالسا</t>
  </si>
  <si>
    <t>تیشرت عکس دار</t>
  </si>
  <si>
    <t>کراپ قفل دار</t>
  </si>
  <si>
    <t>دامن حلزونی مشکی</t>
  </si>
  <si>
    <t>دامن تور پلنگی</t>
  </si>
  <si>
    <t>دامن تور پلنگی چین دار</t>
  </si>
  <si>
    <t>دامن تور ساده مشکی</t>
  </si>
  <si>
    <t>تاپ ووگ</t>
  </si>
  <si>
    <t>ست مکرومه نیم تنه دامن</t>
  </si>
  <si>
    <t>تاپ چشم نظر</t>
  </si>
  <si>
    <t>شومیز سفید 1018</t>
  </si>
  <si>
    <t>ست نیم تنه دامن ساتن 1006</t>
  </si>
  <si>
    <t>ست نیم تنه دامن گل بزرگ 1245</t>
  </si>
  <si>
    <t>نیم تنه کار شده سنتی 808</t>
  </si>
  <si>
    <t>مانتو پولکی</t>
  </si>
  <si>
    <t>تاپ پرادا</t>
  </si>
  <si>
    <t>تاپ گل تک</t>
  </si>
  <si>
    <t>تاپ والنسی</t>
  </si>
  <si>
    <t>شومیز بافت کوتاه</t>
  </si>
  <si>
    <t>کیسه، چرخی، موتور و ...</t>
  </si>
  <si>
    <t>مانتو مزون</t>
  </si>
  <si>
    <t>بنزین و ...</t>
  </si>
  <si>
    <t>کت کوتاه و دامن 1115</t>
  </si>
  <si>
    <t>کت و شلوار جیر و چرم</t>
  </si>
  <si>
    <t>ست خانگی Sperso</t>
  </si>
  <si>
    <t>کت کراپ</t>
  </si>
  <si>
    <t>پیراهن نقره ای خودم</t>
  </si>
  <si>
    <t>گرمکن زارا</t>
  </si>
  <si>
    <t>شلوار جین تک</t>
  </si>
  <si>
    <t>فروخته شده</t>
  </si>
  <si>
    <t>حساب ها</t>
  </si>
  <si>
    <t>فروشنده کالا</t>
  </si>
  <si>
    <t>ارزش کالای فروخته شده</t>
  </si>
  <si>
    <t>فروشنده / مشتری</t>
  </si>
  <si>
    <t>بلوز سفید عبدو</t>
  </si>
  <si>
    <t>ست نیم تنه دامن ایتالیایی</t>
  </si>
  <si>
    <t>بلرسود</t>
  </si>
  <si>
    <t>عبدل آباد</t>
  </si>
  <si>
    <t>مانده حساب پرداخت نشده</t>
  </si>
  <si>
    <t>بازار</t>
  </si>
  <si>
    <t>ست خانگی StarBox</t>
  </si>
  <si>
    <t>بادی سفید خودم</t>
  </si>
  <si>
    <t>راه راه سفید مشکی خودم</t>
  </si>
  <si>
    <t>بلوز و شلوار ابر و بادی</t>
  </si>
  <si>
    <t>تاپ مشکی گشاد</t>
  </si>
  <si>
    <t>بلوز New York</t>
  </si>
  <si>
    <t>بلوز طوسی زیپ دار</t>
  </si>
  <si>
    <t>شلوار کرم گرمکن</t>
  </si>
  <si>
    <t>دامن ترک سفید</t>
  </si>
  <si>
    <t>سوئیشرت کلاه دار ترک</t>
  </si>
  <si>
    <t>کمربند دامن</t>
  </si>
  <si>
    <t>مانتو دیپلمات بلند</t>
  </si>
  <si>
    <t>نیلوفر - سالن</t>
  </si>
  <si>
    <t>پیراهن کرم کوتاه عبدو</t>
  </si>
  <si>
    <t>دامن کمردار عبدو</t>
  </si>
  <si>
    <t>شلوار مشکی Pery</t>
  </si>
  <si>
    <t>شومیز Prey طرح دار</t>
  </si>
  <si>
    <t>شلوار کج راه پاکتی مشکی عبدو</t>
  </si>
  <si>
    <t>پیراهن طرحدار کوتاه عبدو</t>
  </si>
  <si>
    <t>شلوارک و شومیز کوتاه عبدو</t>
  </si>
  <si>
    <t>پیراهن شلواری کوتاه عبدو</t>
  </si>
  <si>
    <t>پیراهن کوتاه سفید مجلسی عبدو</t>
  </si>
  <si>
    <t>شلوار کرم لنین عبدو</t>
  </si>
  <si>
    <t>عاطفه</t>
  </si>
  <si>
    <t>آرزو دوست عاطفه</t>
  </si>
  <si>
    <t>شومیز رنگی Tork</t>
  </si>
  <si>
    <t>سوگل مژه - سالن</t>
  </si>
  <si>
    <t>مهشید خدمه - سالن</t>
  </si>
  <si>
    <t>دامن کوتاه مشکی خودم</t>
  </si>
  <si>
    <t>الهه - سالن</t>
  </si>
  <si>
    <t>سمیرا - سالن</t>
  </si>
  <si>
    <t>پرستو - سالن</t>
  </si>
  <si>
    <t>دامن کرم ترک خودم</t>
  </si>
  <si>
    <t>دامن کرم عبدو</t>
  </si>
  <si>
    <t>کت دامن مشکی عبدو</t>
  </si>
  <si>
    <t>کلیپس</t>
  </si>
  <si>
    <t>مهدیه صندوق - سالن</t>
  </si>
  <si>
    <t>شهرزاد ناخن - سالن</t>
  </si>
  <si>
    <t>درصد سود</t>
  </si>
  <si>
    <t>Total</t>
  </si>
  <si>
    <t>وان ترکیه</t>
  </si>
  <si>
    <t>سرورجون - سالن</t>
  </si>
  <si>
    <t>مهناز مژه - سالن</t>
  </si>
  <si>
    <t>مهسا - سالن</t>
  </si>
  <si>
    <t>گپ مشکی</t>
  </si>
  <si>
    <t>نیم تنه ترک گره ای</t>
  </si>
  <si>
    <t>استانبول</t>
  </si>
  <si>
    <t>کوتون XSIDE</t>
  </si>
  <si>
    <t>فاطیما</t>
  </si>
  <si>
    <t>شلوار بوتکات خودم</t>
  </si>
  <si>
    <t>تولیدی پوشاک تین استایل</t>
  </si>
  <si>
    <t>گم/دزدیده شده</t>
  </si>
  <si>
    <t>تعدیل موجودی</t>
  </si>
  <si>
    <t>انتقال حساب</t>
  </si>
  <si>
    <t>سرهمی خودم</t>
  </si>
  <si>
    <t>تیشرت چین</t>
  </si>
  <si>
    <t>بابت پروتئین و رنگساژ</t>
  </si>
  <si>
    <t>دلگشا</t>
  </si>
  <si>
    <t>خودم</t>
  </si>
  <si>
    <t>خانی آباد</t>
  </si>
  <si>
    <t>سیروس</t>
  </si>
  <si>
    <t>هدیه تولد</t>
  </si>
  <si>
    <t>ست خانگی پشت باز دلگشا</t>
  </si>
  <si>
    <t>پیراهن حریر گلدار</t>
  </si>
  <si>
    <t>شومیز Perry</t>
  </si>
  <si>
    <t>پیراهن ترک سفید و مشکی</t>
  </si>
  <si>
    <t>شومیز راه راه پشت پیلی</t>
  </si>
  <si>
    <t>شومیز راه راه یقه بسته</t>
  </si>
  <si>
    <t>شومیز راه راه درشت</t>
  </si>
  <si>
    <t>شافل ساده</t>
  </si>
  <si>
    <t>سرای ملی</t>
  </si>
  <si>
    <t>شافل ترک</t>
  </si>
  <si>
    <t>مام فیت ترک</t>
  </si>
  <si>
    <t>مام فیت کمرکش</t>
  </si>
  <si>
    <t>شلوارک جین روشن</t>
  </si>
  <si>
    <t>تاپ بند ماکارونی</t>
  </si>
  <si>
    <t>ساحلی سفید</t>
  </si>
  <si>
    <t>شومیز دگمه جدید</t>
  </si>
  <si>
    <t>جین واید لگ تیره</t>
  </si>
  <si>
    <t>جین واید لگ روشن</t>
  </si>
  <si>
    <t>مهتاب خدمه - سالن</t>
  </si>
  <si>
    <t>سمیرا ناخن - سالن</t>
  </si>
  <si>
    <t>پابند</t>
  </si>
  <si>
    <t>میترا صندوق - سالن</t>
  </si>
  <si>
    <t>یگانه ناخن - سالن</t>
  </si>
  <si>
    <t>زهرا کراتین - سالن</t>
  </si>
  <si>
    <t>شورت لیزری</t>
  </si>
  <si>
    <t>عسل طراح شهرزاد - سالن</t>
  </si>
  <si>
    <t>خلاصه عملکرد ماهانه</t>
  </si>
  <si>
    <t>خلاصه عملکرد روزانه</t>
  </si>
  <si>
    <t>خلاصه عملکرد و موجودی کالا</t>
  </si>
  <si>
    <t>شومیز Prey عبدو</t>
  </si>
  <si>
    <t>شلوار کمر گیپور</t>
  </si>
  <si>
    <t>شلوار اوشو بگ</t>
  </si>
  <si>
    <t>تین 312</t>
  </si>
  <si>
    <t>ف 312</t>
  </si>
  <si>
    <t>ع 401</t>
  </si>
  <si>
    <t>ع 402</t>
  </si>
  <si>
    <t>ب 312</t>
  </si>
  <si>
    <t>ب 402</t>
  </si>
  <si>
    <t>ب 401</t>
  </si>
  <si>
    <t>د 312</t>
  </si>
  <si>
    <t>س 312</t>
  </si>
  <si>
    <t>و 309</t>
  </si>
  <si>
    <t>اس 311</t>
  </si>
  <si>
    <t>م 1971</t>
  </si>
  <si>
    <t>م 1970</t>
  </si>
  <si>
    <t>ع 312</t>
  </si>
  <si>
    <t>سند اصلاحی</t>
  </si>
  <si>
    <t>سایر اطلاعات</t>
  </si>
  <si>
    <t>لگ مشکی سیملس</t>
  </si>
  <si>
    <t>سوتین کرم</t>
  </si>
  <si>
    <t>شلوار 4 دکمه کرم</t>
  </si>
  <si>
    <t>رکسانا - سالن</t>
  </si>
  <si>
    <t>کت تک - کت دامن مشکی عبدو</t>
  </si>
  <si>
    <t>دامن تک - کت دامن مشکی عبدو</t>
  </si>
  <si>
    <t>09190438289</t>
  </si>
  <si>
    <t>فاطمه فرشته - سالن</t>
  </si>
  <si>
    <t>دامن طبقه ای ترک عبدو</t>
  </si>
  <si>
    <t>فاطمه شاه بهار - سالن</t>
  </si>
  <si>
    <t>شاه بهار - سالن</t>
  </si>
  <si>
    <t>پیراهن رنگی عبدو</t>
  </si>
  <si>
    <t>دامن شلوار عبدو</t>
  </si>
  <si>
    <t>دامن خط دار عبدو</t>
  </si>
  <si>
    <t>مهشید</t>
  </si>
  <si>
    <t>حساب هستی</t>
  </si>
  <si>
    <t>سپیده صدری</t>
  </si>
  <si>
    <t>سوسن - خدمه</t>
  </si>
  <si>
    <t>لیلا - سالن</t>
  </si>
  <si>
    <t>پیراهن مهناز</t>
  </si>
  <si>
    <t>سارینا - سالن</t>
  </si>
  <si>
    <t>مهناز - تولیدی</t>
  </si>
  <si>
    <t>ست بلوز و شلوار مهناز</t>
  </si>
  <si>
    <t>مانتو مهناز</t>
  </si>
  <si>
    <t>دامن مهناز</t>
  </si>
  <si>
    <t>بلوز کوتاه چپ و راستی مهناز</t>
  </si>
  <si>
    <t>کت لینن مهناز</t>
  </si>
  <si>
    <t>م 402</t>
  </si>
  <si>
    <t>کراپ تاپ خودم</t>
  </si>
  <si>
    <t>شلوار بگ</t>
  </si>
  <si>
    <t>ع 403</t>
  </si>
  <si>
    <t>شومیز عبدو</t>
  </si>
  <si>
    <t>دکلته بندی</t>
  </si>
  <si>
    <t>تاپ قیطونی</t>
  </si>
  <si>
    <t>تاپ برای خودم</t>
  </si>
  <si>
    <t>خانم خلج زاده</t>
  </si>
  <si>
    <t>سحر رنگ - سالن</t>
  </si>
  <si>
    <t>کت پاستلی</t>
  </si>
  <si>
    <t>بازار پارسیان</t>
  </si>
  <si>
    <t>کارت هنگامه</t>
  </si>
  <si>
    <t>ست پاپیونی</t>
  </si>
  <si>
    <t>ست 4PS</t>
  </si>
  <si>
    <t>پانچ اورال</t>
  </si>
  <si>
    <t>پیراهن جین</t>
  </si>
  <si>
    <t>بادی توری طرح دار</t>
  </si>
  <si>
    <t>کت و شلوار Ozel</t>
  </si>
  <si>
    <t>ست لینن صدفی</t>
  </si>
  <si>
    <t>تاپ مجلسی مشکی</t>
  </si>
  <si>
    <t>شومیز تور کوتاه</t>
  </si>
  <si>
    <t>شومیز تور آستین بلند</t>
  </si>
  <si>
    <t>کمربند سفید</t>
  </si>
  <si>
    <t>کمربند کنفی</t>
  </si>
  <si>
    <t>کمربند سگک دار</t>
  </si>
  <si>
    <t>شلوارک عبدو</t>
  </si>
  <si>
    <t>شومیز زارا</t>
  </si>
  <si>
    <t>پیراهن بلند وارداتی</t>
  </si>
  <si>
    <t>شلوار قهوه ای Bisu</t>
  </si>
  <si>
    <t>تاپ ساده کبریتی</t>
  </si>
  <si>
    <t>کراپ یقه دلبری</t>
  </si>
  <si>
    <t>دامن پاستلی</t>
  </si>
  <si>
    <t>تاپ خشتی بلند</t>
  </si>
  <si>
    <t>شورت فانتزی</t>
  </si>
  <si>
    <t>کت دامن لینن چین دار</t>
  </si>
  <si>
    <t>دامن ساتن پیلی</t>
  </si>
  <si>
    <t>کت سارافون لینن</t>
  </si>
  <si>
    <t>پیراهن بند ماکارون کوتاه</t>
  </si>
  <si>
    <t>پیراهن یقه خشتی</t>
  </si>
  <si>
    <t>تیشرت لویی</t>
  </si>
  <si>
    <t>لباس خواب نگین دار</t>
  </si>
  <si>
    <t>تولیدی رونیا</t>
  </si>
  <si>
    <t>دنیا رنگ - سالن</t>
  </si>
  <si>
    <t>تاپ دکلته</t>
  </si>
  <si>
    <t>شومیز Perry سرای ملی</t>
  </si>
  <si>
    <t>مانده حساب</t>
  </si>
  <si>
    <t>درصد باقیمانده</t>
  </si>
  <si>
    <t>فروشنده نامشخص</t>
  </si>
  <si>
    <t>ش 402</t>
  </si>
  <si>
    <t>ن 402</t>
  </si>
  <si>
    <t>س 403</t>
  </si>
  <si>
    <t>خواهر سحر رنگ</t>
  </si>
  <si>
    <t>سپیده سحر رنگ</t>
  </si>
  <si>
    <t>منیره بهزادی</t>
  </si>
  <si>
    <t>سمانه میترا بهزادی</t>
  </si>
  <si>
    <t>سارا خاله</t>
  </si>
  <si>
    <t>نیم تنه ایتالیایی</t>
  </si>
  <si>
    <t>دامن ایتالیایی</t>
  </si>
  <si>
    <t>سحر سودابه - سالن</t>
  </si>
  <si>
    <t>شلوار کمر کنفی</t>
  </si>
  <si>
    <t>شلوار سرخ پوستی</t>
  </si>
  <si>
    <t>دامن کمر کنفی</t>
  </si>
  <si>
    <t>ست اوشو</t>
  </si>
  <si>
    <t>کارکرد</t>
  </si>
  <si>
    <t>رونیا 403</t>
  </si>
  <si>
    <t>ست چوبی Bisu</t>
  </si>
  <si>
    <t>شلوار مشکی گرل</t>
  </si>
  <si>
    <t>شومیز Perry سفید</t>
  </si>
  <si>
    <t>زهره فرشته</t>
  </si>
  <si>
    <t>خانم کیا - سالن</t>
  </si>
  <si>
    <t>پیراهن کوتاه عبدو</t>
  </si>
  <si>
    <t>مهتاب صندوق - سالن</t>
  </si>
  <si>
    <t>پونه - سالن</t>
  </si>
  <si>
    <t>راحیل فرشته - سالن</t>
  </si>
  <si>
    <t>شال ایرانی هستی</t>
  </si>
  <si>
    <t>شال وارداتی هستی</t>
  </si>
  <si>
    <t>پرداخت رضا</t>
  </si>
  <si>
    <t>هستی هنگامه</t>
  </si>
  <si>
    <t>ه 403</t>
  </si>
  <si>
    <t>پ 403</t>
  </si>
  <si>
    <t>حساب بلو</t>
  </si>
  <si>
    <t>سوگل رنگ - سالن</t>
  </si>
  <si>
    <t>مایو یه تیکه</t>
  </si>
  <si>
    <t>مهگام - سالن</t>
  </si>
  <si>
    <t>زیر و رو زنجیردار</t>
  </si>
  <si>
    <t>مهسا اکستنشن - سالن</t>
  </si>
  <si>
    <t>مهسا اپیلاسیون - سالن</t>
  </si>
  <si>
    <t>فرشته ناخن - سالن</t>
  </si>
  <si>
    <t>زهرا ناحن - سالن</t>
  </si>
  <si>
    <t>شومیز گلدار گره ای</t>
  </si>
  <si>
    <t>مرجان میکاپ - سالن</t>
  </si>
  <si>
    <t>مایو دو تکه</t>
  </si>
  <si>
    <t>شورت</t>
  </si>
  <si>
    <t>مریم رنگ - سالن</t>
  </si>
  <si>
    <t>ست کرم کت و شلوار</t>
  </si>
  <si>
    <t>ع 404</t>
  </si>
  <si>
    <t>ست اورال و کت کرم</t>
  </si>
  <si>
    <t>شومیز جدید کوتاه</t>
  </si>
  <si>
    <t>شال گیپور عبدو</t>
  </si>
  <si>
    <t>ست دانتل</t>
  </si>
  <si>
    <t>مزون دانتل</t>
  </si>
  <si>
    <t>د 404</t>
  </si>
  <si>
    <t>پیراهن Perry</t>
  </si>
  <si>
    <t>شومیز Bisu کوتاه</t>
  </si>
  <si>
    <t>کراپ کوتاه عبدو</t>
  </si>
  <si>
    <t>عطر lcw</t>
  </si>
  <si>
    <t>پریسا وکس - سالن</t>
  </si>
  <si>
    <t>شلوار مام سفید</t>
  </si>
  <si>
    <t>مونا میکاپ - سالن</t>
  </si>
  <si>
    <t>نگین ناخن - سالن</t>
  </si>
  <si>
    <t>فاطمه مژه - سالن</t>
  </si>
  <si>
    <t>دکلته alo</t>
  </si>
  <si>
    <t>دکلته رینگ</t>
  </si>
  <si>
    <t>شلوار سیلک</t>
  </si>
  <si>
    <t>س 501</t>
  </si>
  <si>
    <t>ست مروا</t>
  </si>
  <si>
    <t>شومیز کوتاه میو میو</t>
  </si>
  <si>
    <t>شومیز کوتاه شنل</t>
  </si>
  <si>
    <t>تاپ و دامن Dior</t>
  </si>
  <si>
    <t>تیشرت زنانه پروانه</t>
  </si>
  <si>
    <t>تیشرت نگین دار</t>
  </si>
  <si>
    <t>ست مروارید</t>
  </si>
  <si>
    <t>ست خرسی</t>
  </si>
  <si>
    <t>شومیز خامه دوزی</t>
  </si>
  <si>
    <t>گل سر هستی</t>
  </si>
  <si>
    <t>شلوار مشکی واید</t>
  </si>
  <si>
    <t>شلوار کمر کنفی 2</t>
  </si>
  <si>
    <t>ع 501</t>
  </si>
  <si>
    <t>شلوار مام قهوه ای</t>
  </si>
  <si>
    <t>کمر گیپور</t>
  </si>
  <si>
    <t>شومیز آبی Bisu</t>
  </si>
  <si>
    <t>ع 405</t>
  </si>
  <si>
    <t>کراپ رینگ</t>
  </si>
  <si>
    <t>تاپ ساده کوتاه کبریتی</t>
  </si>
  <si>
    <t>بند ماکارون سفید و مشکی</t>
  </si>
  <si>
    <t>یقه دلبری</t>
  </si>
  <si>
    <t>شومیز Bisu دوتیکه</t>
  </si>
  <si>
    <t>کراپ میو میو</t>
  </si>
  <si>
    <t>پیراهن راه راه بلند</t>
  </si>
  <si>
    <t>کراپ آستین حریر</t>
  </si>
  <si>
    <t>پیراهن استانبول</t>
  </si>
  <si>
    <t>ست گلدار</t>
  </si>
  <si>
    <t>شلوار طرح دار قهوه ای</t>
  </si>
  <si>
    <t>شومیز Bisu</t>
  </si>
  <si>
    <t>ع 502</t>
  </si>
  <si>
    <t>دامن شلواری</t>
  </si>
  <si>
    <t>شلوار ایتالیایی</t>
  </si>
  <si>
    <t>عسل عاطفه - سالن</t>
  </si>
  <si>
    <t>تیشرت LCW</t>
  </si>
  <si>
    <t>دامن پفکی</t>
  </si>
  <si>
    <t>تاپ اعلا</t>
  </si>
  <si>
    <t>دامن صابونی</t>
  </si>
  <si>
    <t>دامن کنفی</t>
  </si>
  <si>
    <t>سوسن خدمه - سالن</t>
  </si>
  <si>
    <t>نگین 2 - سالن</t>
  </si>
  <si>
    <t>پرستو دستیار - سالن</t>
  </si>
  <si>
    <t>شومیز طرح Perry</t>
  </si>
  <si>
    <t>ف 501</t>
  </si>
  <si>
    <t>زهرا شینیون - سالن</t>
  </si>
  <si>
    <t>سودابه شینیون - سالن</t>
  </si>
  <si>
    <t>بابت شمع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</si>
</sst>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_);[Red]\(&quot;$&quot;#,##0.00\)"/>
    <numFmt numFmtId="41" formatCode="_(* #,##0_);_(* \(#,##0\);_(* &quot;-&quot;_);_(@_)"/>
    <numFmt numFmtId="43" formatCode="_(* #,##0.00_);_(* \(#,##0.00\);_(* &quot;-&quot;??_);_(@_)"/>
    <numFmt numFmtId="164" formatCode="&quot;$&quot;#,##0.00"/>
    <numFmt numFmtId="165" formatCode="#,##0.00_ ;[Red]\-#,##0.00\ "/>
    <numFmt numFmtId="166" formatCode="&quot;$&quot;#,##0.00;[Red]\-&quot;$&quot;#,##0.00"/>
    <numFmt numFmtId="167" formatCode="mmm\-dd\-yyyy"/>
    <numFmt numFmtId="168" formatCode="&quot;$&quot;#,##0.00;[Red]&quot;$&quot;#,##0.00"/>
    <numFmt numFmtId="169" formatCode="&quot;$&quot;#,##0.00;\-&quot;$&quot;#,##0.00"/>
    <numFmt numFmtId="170" formatCode="_-* #,##0.00_-;\-* #,##0.00_-;_-* &quot;-&quot;??_-;_-@_-"/>
    <numFmt numFmtId="171" formatCode="&quot;14&quot;00"/>
    <numFmt numFmtId="172" formatCode="00"/>
    <numFmt numFmtId="173" formatCode="#,##0;\-#,##0;;@"/>
    <numFmt numFmtId="174" formatCode="#,##0\ \ر\و\ز"/>
  </numFmts>
  <fonts count="69" x14ac:knownFonts="1">
    <font>
      <sz val="11"/>
      <color theme="1"/>
      <name val="Calibri"/>
      <family val="2"/>
      <scheme val="minor"/>
    </font>
    <font>
      <sz val="11"/>
      <color theme="1"/>
      <name val="Calibri"/>
      <family val="2"/>
      <scheme val="minor"/>
    </font>
    <font>
      <sz val="18"/>
      <color theme="3"/>
      <name val="Calibri Light"/>
      <family val="2"/>
      <scheme val="major"/>
    </font>
    <font>
      <b/>
      <sz val="13"/>
      <color theme="3"/>
      <name val="Calibri"/>
      <family val="2"/>
      <scheme val="minor"/>
    </font>
    <font>
      <b/>
      <sz val="11"/>
      <color theme="3"/>
      <name val="Calibri"/>
      <family val="2"/>
      <scheme val="minor"/>
    </font>
    <font>
      <sz val="11"/>
      <color rgb="FF9C5700"/>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u/>
      <sz val="11"/>
      <color theme="0"/>
      <name val="Calibri"/>
      <family val="2"/>
      <scheme val="minor"/>
    </font>
    <font>
      <sz val="10"/>
      <name val="Arial"/>
      <family val="2"/>
    </font>
    <font>
      <u/>
      <sz val="10"/>
      <color theme="10"/>
      <name val="Arial"/>
      <family val="2"/>
    </font>
    <font>
      <sz val="11"/>
      <color theme="5" tint="-0.249977111117893"/>
      <name val="Calibri"/>
      <family val="2"/>
      <scheme val="minor"/>
    </font>
    <font>
      <u/>
      <sz val="11"/>
      <color theme="5" tint="-0.249977111117893"/>
      <name val="Calibri"/>
      <family val="2"/>
      <scheme val="minor"/>
    </font>
    <font>
      <b/>
      <sz val="14"/>
      <color theme="3"/>
      <name val="Calibri"/>
      <family val="2"/>
      <scheme val="minor"/>
    </font>
    <font>
      <sz val="11"/>
      <name val="Calibri"/>
      <family val="2"/>
      <scheme val="minor"/>
    </font>
    <font>
      <sz val="12"/>
      <color theme="4" tint="-0.499984740745262"/>
      <name val="Calibri"/>
      <family val="2"/>
      <scheme val="minor"/>
    </font>
    <font>
      <u/>
      <sz val="12"/>
      <color theme="4" tint="-0.499984740745262"/>
      <name val="Calibri"/>
      <family val="2"/>
      <scheme val="minor"/>
    </font>
    <font>
      <i/>
      <sz val="12"/>
      <color theme="4" tint="-0.499984740745262"/>
      <name val="Calibri"/>
      <family val="2"/>
      <scheme val="minor"/>
    </font>
    <font>
      <b/>
      <sz val="12"/>
      <color theme="4" tint="-0.499984740745262"/>
      <name val="Calibri"/>
      <family val="2"/>
      <scheme val="minor"/>
    </font>
    <font>
      <sz val="12"/>
      <color theme="5" tint="-0.249977111117893"/>
      <name val="Calibri"/>
      <family val="2"/>
      <scheme val="minor"/>
    </font>
    <font>
      <b/>
      <sz val="12"/>
      <color theme="1"/>
      <name val="Calibri"/>
      <family val="2"/>
      <scheme val="minor"/>
    </font>
    <font>
      <b/>
      <sz val="14"/>
      <color rgb="FFFF0000"/>
      <name val="Calibri"/>
      <family val="2"/>
      <scheme val="minor"/>
    </font>
    <font>
      <b/>
      <u/>
      <sz val="11"/>
      <color theme="7" tint="0.39997558519241921"/>
      <name val="Calibri"/>
      <family val="2"/>
      <scheme val="minor"/>
    </font>
    <font>
      <b/>
      <sz val="16"/>
      <color theme="1"/>
      <name val="Calibri"/>
      <family val="2"/>
      <scheme val="minor"/>
    </font>
    <font>
      <sz val="11"/>
      <color theme="2" tint="-0.749992370372631"/>
      <name val="Calibri"/>
      <family val="2"/>
    </font>
    <font>
      <b/>
      <sz val="12"/>
      <color theme="0"/>
      <name val="Calibri"/>
      <family val="2"/>
      <scheme val="minor"/>
    </font>
    <font>
      <sz val="16"/>
      <color theme="1"/>
      <name val="Calibri"/>
      <family val="2"/>
      <scheme val="minor"/>
    </font>
    <font>
      <sz val="10"/>
      <color theme="1"/>
      <name val="Arial"/>
      <family val="2"/>
    </font>
    <font>
      <i/>
      <sz val="10"/>
      <color theme="1"/>
      <name val="Arial"/>
      <family val="2"/>
    </font>
    <font>
      <b/>
      <sz val="16"/>
      <color rgb="FFFF0000"/>
      <name val="Calibri"/>
      <family val="2"/>
      <scheme val="minor"/>
    </font>
    <font>
      <b/>
      <sz val="16"/>
      <name val="Calibri"/>
      <family val="2"/>
      <scheme val="minor"/>
    </font>
    <font>
      <sz val="16"/>
      <color theme="5" tint="-0.249977111117893"/>
      <name val="Calibri"/>
      <family val="2"/>
      <scheme val="minor"/>
    </font>
    <font>
      <sz val="10"/>
      <color theme="1"/>
      <name val="Calibri"/>
      <family val="2"/>
      <scheme val="minor"/>
    </font>
    <font>
      <b/>
      <sz val="9"/>
      <color indexed="81"/>
      <name val="Tahoma"/>
      <family val="2"/>
    </font>
    <font>
      <sz val="9"/>
      <color indexed="81"/>
      <name val="Tahoma"/>
      <family val="2"/>
    </font>
    <font>
      <b/>
      <sz val="18"/>
      <color theme="3"/>
      <name val="Calibri Light"/>
      <family val="2"/>
      <scheme val="major"/>
    </font>
    <font>
      <b/>
      <sz val="13"/>
      <color theme="0"/>
      <name val="Calibri"/>
      <family val="2"/>
      <scheme val="minor"/>
    </font>
    <font>
      <i/>
      <sz val="11"/>
      <color rgb="FFFF0000"/>
      <name val="Calibri"/>
      <family val="2"/>
      <scheme val="minor"/>
    </font>
    <font>
      <b/>
      <sz val="11"/>
      <color theme="1"/>
      <name val="B Nazanin"/>
      <charset val="178"/>
    </font>
    <font>
      <b/>
      <sz val="16"/>
      <color theme="1"/>
      <name val="B Nazanin"/>
      <charset val="178"/>
    </font>
    <font>
      <sz val="11"/>
      <color theme="1"/>
      <name val="B Nazanin"/>
      <charset val="178"/>
    </font>
    <font>
      <sz val="10"/>
      <color theme="1"/>
      <name val="B Nazanin"/>
      <charset val="178"/>
    </font>
    <font>
      <sz val="16"/>
      <color theme="1"/>
      <name val="B Nazanin"/>
      <charset val="178"/>
    </font>
    <font>
      <b/>
      <sz val="12"/>
      <name val="B Nazanin"/>
      <charset val="178"/>
    </font>
    <font>
      <sz val="10"/>
      <color theme="4"/>
      <name val="B Nazanin"/>
      <charset val="178"/>
    </font>
    <font>
      <b/>
      <sz val="12"/>
      <color theme="1"/>
      <name val="B Nazanin"/>
      <charset val="178"/>
    </font>
    <font>
      <b/>
      <sz val="20"/>
      <color theme="1"/>
      <name val="B Nazanin"/>
      <charset val="178"/>
    </font>
    <font>
      <b/>
      <sz val="18"/>
      <color theme="1"/>
      <name val="Calibri Light"/>
      <family val="2"/>
      <scheme val="major"/>
    </font>
    <font>
      <b/>
      <sz val="11"/>
      <color theme="1" tint="4.9989318521683403E-2"/>
      <name val="B Nazanin"/>
      <charset val="178"/>
    </font>
    <font>
      <b/>
      <sz val="10"/>
      <color theme="1" tint="4.9989318521683403E-2"/>
      <name val="Calibri Light"/>
      <family val="2"/>
      <scheme val="major"/>
    </font>
    <font>
      <sz val="10"/>
      <name val="B Nazanin"/>
      <charset val="178"/>
    </font>
    <font>
      <b/>
      <sz val="11"/>
      <color theme="3"/>
      <name val="Calibri Light"/>
      <family val="2"/>
      <scheme val="major"/>
    </font>
    <font>
      <b/>
      <sz val="11"/>
      <name val="Calibri"/>
      <family val="2"/>
      <scheme val="minor"/>
    </font>
    <font>
      <sz val="10"/>
      <color rgb="FFFF0000"/>
      <name val="Calibri"/>
      <family val="2"/>
      <scheme val="minor"/>
    </font>
    <font>
      <sz val="11"/>
      <name val="Calibri Light"/>
      <family val="2"/>
      <scheme val="major"/>
    </font>
    <font>
      <sz val="11"/>
      <name val="B Nazanin"/>
      <charset val="178"/>
    </font>
    <font>
      <b/>
      <sz val="12"/>
      <color theme="0"/>
      <name val="B Nazanin"/>
      <charset val="178"/>
    </font>
    <font>
      <sz val="10"/>
      <color theme="0"/>
      <name val="B Nazanin"/>
      <charset val="178"/>
    </font>
    <font>
      <b/>
      <sz val="11"/>
      <name val="B Nazanin"/>
      <charset val="178"/>
    </font>
    <font>
      <b/>
      <sz val="11"/>
      <color theme="0"/>
      <name val="B Nazanin"/>
      <charset val="178"/>
    </font>
    <font>
      <sz val="10"/>
      <color rgb="FFFF0000"/>
      <name val="B Nazanin"/>
      <charset val="178"/>
    </font>
    <font>
      <sz val="8"/>
      <name val="Calibri"/>
      <family val="2"/>
      <scheme val="minor"/>
    </font>
    <font>
      <b/>
      <sz val="11"/>
      <color rgb="FFEE0000"/>
      <name val="B Nazanin"/>
      <charset val="178"/>
    </font>
    <font>
      <sz val="11"/>
      <color rgb="FFEE0000"/>
      <name val="B Nazanin"/>
      <charset val="178"/>
    </font>
    <font>
      <b/>
      <sz val="12"/>
      <color rgb="FFEE0000"/>
      <name val="B Nazanin"/>
      <charset val="178"/>
    </font>
    <font>
      <sz val="11"/>
      <color rgb="FFFF0000"/>
      <name val="Calibri"/>
      <family val="2"/>
      <scheme val="minor"/>
    </font>
    <font>
      <sz val="11"/>
      <color theme="1"/>
      <name val="Calibri Light"/>
      <family val="2"/>
      <scheme val="major"/>
    </font>
    <font>
      <sz val="10"/>
      <name val="Calibri"/>
      <family val="2"/>
      <scheme val="minor"/>
    </font>
  </fonts>
  <fills count="30">
    <fill>
      <patternFill patternType="none"/>
    </fill>
    <fill>
      <patternFill patternType="gray125"/>
    </fill>
    <fill>
      <patternFill patternType="solid">
        <fgColor rgb="FFFFEB9C"/>
      </patternFill>
    </fill>
    <fill>
      <patternFill patternType="solid">
        <fgColor theme="4"/>
      </patternFill>
    </fill>
    <fill>
      <patternFill patternType="solid">
        <fgColor rgb="FFFFFF00"/>
        <bgColor indexed="64"/>
      </patternFill>
    </fill>
    <fill>
      <patternFill patternType="solid">
        <fgColor theme="2"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8"/>
        <bgColor theme="8"/>
      </patternFill>
    </fill>
    <fill>
      <patternFill patternType="solid">
        <fgColor theme="8" tint="-0.249977111117893"/>
        <bgColor theme="8" tint="-0.249977111117893"/>
      </patternFill>
    </fill>
    <fill>
      <patternFill patternType="solid">
        <fgColor theme="1"/>
        <bgColor theme="1"/>
      </patternFill>
    </fill>
    <fill>
      <patternFill patternType="solid">
        <fgColor theme="1"/>
        <bgColor indexed="64"/>
      </patternFill>
    </fill>
    <fill>
      <patternFill patternType="solid">
        <fgColor theme="9"/>
        <bgColor theme="9"/>
      </patternFill>
    </fill>
    <fill>
      <patternFill patternType="solid">
        <fgColor theme="9" tint="-0.249977111117893"/>
        <bgColor theme="9" tint="-0.249977111117893"/>
      </patternFill>
    </fill>
    <fill>
      <patternFill patternType="solid">
        <fgColor theme="4" tint="0.39997558519241921"/>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4" tint="0.59999389629810485"/>
        <bgColor theme="4" tint="0.59999389629810485"/>
      </patternFill>
    </fill>
    <fill>
      <patternFill patternType="solid">
        <fgColor theme="9"/>
        <bgColor indexed="64"/>
      </patternFill>
    </fill>
    <fill>
      <patternFill patternType="solid">
        <fgColor theme="9" tint="0.79998168889431442"/>
        <bgColor theme="4" tint="0.79998168889431442"/>
      </patternFill>
    </fill>
    <fill>
      <patternFill patternType="solid">
        <fgColor theme="9" tint="0.59999389629810485"/>
        <bgColor theme="4" tint="0.59999389629810485"/>
      </patternFill>
    </fill>
    <fill>
      <patternFill patternType="solid">
        <fgColor theme="9" tint="-0.249977111117893"/>
        <bgColor theme="4" tint="0.79998168889431442"/>
      </patternFill>
    </fill>
    <fill>
      <patternFill patternType="solid">
        <fgColor theme="4" tint="-0.249977111117893"/>
        <bgColor theme="4" tint="0.79998168889431442"/>
      </patternFill>
    </fill>
    <fill>
      <patternFill patternType="solid">
        <fgColor theme="4" tint="0.79998168889431442"/>
        <bgColor theme="4" tint="0.59999389629810485"/>
      </patternFill>
    </fill>
    <fill>
      <patternFill patternType="solid">
        <fgColor rgb="FFFF0000"/>
        <bgColor indexed="64"/>
      </patternFill>
    </fill>
  </fills>
  <borders count="128">
    <border>
      <left/>
      <right/>
      <top/>
      <bottom/>
      <diagonal/>
    </border>
    <border>
      <left/>
      <right/>
      <top/>
      <bottom style="thick">
        <color theme="4" tint="0.499984740745262"/>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medium">
        <color theme="2" tint="-0.499984740745262"/>
      </bottom>
      <diagonal/>
    </border>
    <border>
      <left style="medium">
        <color theme="2" tint="-0.499984740745262"/>
      </left>
      <right/>
      <top/>
      <bottom style="medium">
        <color theme="2" tint="-0.499984740745262"/>
      </bottom>
      <diagonal/>
    </border>
    <border>
      <left/>
      <right style="thin">
        <color theme="0"/>
      </right>
      <top/>
      <bottom style="medium">
        <color theme="2" tint="-0.499984740745262"/>
      </bottom>
      <diagonal/>
    </border>
    <border>
      <left style="thick">
        <color theme="0"/>
      </left>
      <right style="thick">
        <color theme="0"/>
      </right>
      <top style="medium">
        <color theme="2" tint="-0.499984740745262"/>
      </top>
      <bottom style="medium">
        <color theme="2" tint="-0.499984740745262"/>
      </bottom>
      <diagonal/>
    </border>
    <border>
      <left style="thin">
        <color theme="0"/>
      </left>
      <right style="thin">
        <color theme="0"/>
      </right>
      <top/>
      <bottom style="thin">
        <color theme="0"/>
      </bottom>
      <diagonal/>
    </border>
    <border>
      <left style="thin">
        <color theme="0"/>
      </left>
      <right style="medium">
        <color theme="2" tint="-0.499984740745262"/>
      </right>
      <top style="medium">
        <color theme="2" tint="-0.499984740745262"/>
      </top>
      <bottom style="medium">
        <color theme="2" tint="-0.499984740745262"/>
      </bottom>
      <diagonal/>
    </border>
    <border>
      <left style="medium">
        <color theme="2" tint="-0.499984740745262"/>
      </left>
      <right style="thin">
        <color theme="0"/>
      </right>
      <top/>
      <bottom style="thin">
        <color theme="0"/>
      </bottom>
      <diagonal/>
    </border>
    <border>
      <left style="thin">
        <color theme="0"/>
      </left>
      <right style="thin">
        <color theme="0"/>
      </right>
      <top style="thin">
        <color theme="0"/>
      </top>
      <bottom style="thin">
        <color theme="0"/>
      </bottom>
      <diagonal/>
    </border>
    <border>
      <left/>
      <right/>
      <top/>
      <bottom style="thin">
        <color theme="0"/>
      </bottom>
      <diagonal/>
    </border>
    <border>
      <left style="medium">
        <color theme="2" tint="-0.499984740745262"/>
      </left>
      <right/>
      <top style="medium">
        <color theme="2" tint="-0.499984740745262"/>
      </top>
      <bottom style="thin">
        <color theme="0" tint="-0.34998626667073579"/>
      </bottom>
      <diagonal/>
    </border>
    <border>
      <left/>
      <right/>
      <top style="medium">
        <color theme="2" tint="-0.499984740745262"/>
      </top>
      <bottom style="thin">
        <color theme="0" tint="-0.34998626667073579"/>
      </bottom>
      <diagonal/>
    </border>
    <border>
      <left/>
      <right style="medium">
        <color theme="0"/>
      </right>
      <top style="medium">
        <color theme="2" tint="-0.499984740745262"/>
      </top>
      <bottom style="thin">
        <color theme="0" tint="-0.34998626667073579"/>
      </bottom>
      <diagonal/>
    </border>
    <border>
      <left style="medium">
        <color theme="0"/>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medium">
        <color theme="0"/>
      </right>
      <top style="thin">
        <color theme="0"/>
      </top>
      <bottom style="thin">
        <color theme="0" tint="-0.34998626667073579"/>
      </bottom>
      <diagonal/>
    </border>
    <border>
      <left style="medium">
        <color theme="0"/>
      </left>
      <right/>
      <top style="thin">
        <color theme="0"/>
      </top>
      <bottom/>
      <diagonal/>
    </border>
    <border>
      <left style="medium">
        <color theme="2" tint="-0.499984740745262"/>
      </left>
      <right style="thin">
        <color theme="0" tint="-0.34998626667073579"/>
      </right>
      <top style="thin">
        <color theme="0" tint="-0.34998626667073579"/>
      </top>
      <bottom style="medium">
        <color theme="2" tint="-0.499984740745262"/>
      </bottom>
      <diagonal/>
    </border>
    <border>
      <left style="thin">
        <color theme="0" tint="-0.34998626667073579"/>
      </left>
      <right style="thin">
        <color theme="0" tint="-0.34998626667073579"/>
      </right>
      <top style="thin">
        <color theme="0" tint="-0.34998626667073579"/>
      </top>
      <bottom style="medium">
        <color theme="2" tint="-0.499984740745262"/>
      </bottom>
      <diagonal/>
    </border>
    <border>
      <left style="thin">
        <color theme="0" tint="-0.34998626667073579"/>
      </left>
      <right/>
      <top style="thin">
        <color theme="0" tint="-0.34998626667073579"/>
      </top>
      <bottom style="medium">
        <color theme="2" tint="-0.499984740745262"/>
      </bottom>
      <diagonal/>
    </border>
    <border>
      <left style="medium">
        <color theme="0"/>
      </left>
      <right style="thin">
        <color theme="0" tint="-0.34998626667073579"/>
      </right>
      <top/>
      <bottom style="medium">
        <color theme="2" tint="-0.499984740745262"/>
      </bottom>
      <diagonal/>
    </border>
    <border>
      <left style="thin">
        <color theme="0" tint="-0.34998626667073579"/>
      </left>
      <right style="thin">
        <color theme="0" tint="-0.34998626667073579"/>
      </right>
      <top/>
      <bottom style="medium">
        <color theme="2" tint="-0.499984740745262"/>
      </bottom>
      <diagonal/>
    </border>
    <border>
      <left style="thin">
        <color theme="0" tint="-0.34998626667073579"/>
      </left>
      <right style="medium">
        <color theme="0"/>
      </right>
      <top/>
      <bottom style="medium">
        <color theme="2" tint="-0.499984740745262"/>
      </bottom>
      <diagonal/>
    </border>
    <border>
      <left style="medium">
        <color theme="0"/>
      </left>
      <right style="thin">
        <color theme="0" tint="-0.34998626667073579"/>
      </right>
      <top style="thin">
        <color theme="0" tint="-0.34998626667073579"/>
      </top>
      <bottom style="medium">
        <color theme="2" tint="-0.499984740745262"/>
      </bottom>
      <diagonal/>
    </border>
    <border>
      <left style="thin">
        <color theme="0" tint="-0.34998626667073579"/>
      </left>
      <right style="medium">
        <color theme="2" tint="-0.499984740745262"/>
      </right>
      <top style="thin">
        <color theme="0" tint="-0.34998626667073579"/>
      </top>
      <bottom style="medium">
        <color theme="2" tint="-0.499984740745262"/>
      </bottom>
      <diagonal/>
    </border>
    <border>
      <left style="medium">
        <color theme="2" tint="-0.499984740745262"/>
      </left>
      <right style="medium">
        <color theme="2" tint="-0.499984740745262"/>
      </right>
      <top/>
      <bottom style="medium">
        <color theme="2" tint="-0.499984740745262"/>
      </bottom>
      <diagonal/>
    </border>
    <border>
      <left style="medium">
        <color theme="2" tint="-0.499984740745262"/>
      </left>
      <right style="thin">
        <color theme="0" tint="-0.24994659260841701"/>
      </right>
      <top style="medium">
        <color theme="2" tint="-0.499984740745262"/>
      </top>
      <bottom style="thin">
        <color theme="0" tint="-0.24994659260841701"/>
      </bottom>
      <diagonal/>
    </border>
    <border>
      <left style="thin">
        <color theme="0" tint="-0.24994659260841701"/>
      </left>
      <right style="thin">
        <color theme="0" tint="-0.24994659260841701"/>
      </right>
      <top style="medium">
        <color theme="2" tint="-0.499984740745262"/>
      </top>
      <bottom style="thin">
        <color theme="0" tint="-0.24994659260841701"/>
      </bottom>
      <diagonal/>
    </border>
    <border>
      <left style="thin">
        <color theme="0" tint="-0.24994659260841701"/>
      </left>
      <right/>
      <top style="medium">
        <color theme="2" tint="-0.499984740745262"/>
      </top>
      <bottom style="thin">
        <color theme="0" tint="-0.24994659260841701"/>
      </bottom>
      <diagonal/>
    </border>
    <border>
      <left style="thin">
        <color theme="0" tint="-0.24994659260841701"/>
      </left>
      <right style="thin">
        <color theme="0" tint="-0.34998626667073579"/>
      </right>
      <top style="medium">
        <color theme="2" tint="-0.499984740745262"/>
      </top>
      <bottom style="thin">
        <color theme="0" tint="-0.24994659260841701"/>
      </bottom>
      <diagonal/>
    </border>
    <border>
      <left style="thin">
        <color theme="0" tint="-0.34998626667073579"/>
      </left>
      <right style="thin">
        <color theme="0" tint="-0.34998626667073579"/>
      </right>
      <top style="medium">
        <color theme="2" tint="-0.499984740745262"/>
      </top>
      <bottom style="thin">
        <color theme="0" tint="-0.24994659260841701"/>
      </bottom>
      <diagonal/>
    </border>
    <border>
      <left style="thin">
        <color theme="0" tint="-0.34998626667073579"/>
      </left>
      <right/>
      <top style="medium">
        <color theme="2" tint="-0.499984740745262"/>
      </top>
      <bottom style="thin">
        <color theme="0" tint="-0.24994659260841701"/>
      </bottom>
      <diagonal/>
    </border>
    <border>
      <left style="thin">
        <color theme="0" tint="-0.24994659260841701"/>
      </left>
      <right style="medium">
        <color theme="2" tint="-0.499984740745262"/>
      </right>
      <top style="medium">
        <color theme="2" tint="-0.499984740745262"/>
      </top>
      <bottom style="thin">
        <color theme="0" tint="-0.24994659260841701"/>
      </bottom>
      <diagonal/>
    </border>
    <border>
      <left style="medium">
        <color theme="2" tint="-0.499984740745262"/>
      </left>
      <right style="thin">
        <color indexed="64"/>
      </right>
      <top style="medium">
        <color theme="2" tint="-0.499984740745262"/>
      </top>
      <bottom style="thin">
        <color theme="0" tint="-0.24994659260841701"/>
      </bottom>
      <diagonal/>
    </border>
    <border>
      <left/>
      <right style="medium">
        <color theme="2" tint="-0.499984740745262"/>
      </right>
      <top style="medium">
        <color theme="2" tint="-0.499984740745262"/>
      </top>
      <bottom style="thin">
        <color theme="0" tint="-0.34998626667073579"/>
      </bottom>
      <diagonal/>
    </border>
    <border>
      <left style="medium">
        <color theme="2"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top style="thin">
        <color theme="0" tint="-0.24994659260841701"/>
      </top>
      <bottom style="thin">
        <color theme="0" tint="-0.24994659260841701"/>
      </bottom>
      <diagonal/>
    </border>
    <border>
      <left style="thin">
        <color theme="0" tint="-0.24994659260841701"/>
      </left>
      <right style="medium">
        <color theme="2" tint="-0.499984740745262"/>
      </right>
      <top style="thin">
        <color theme="0" tint="-0.24994659260841701"/>
      </top>
      <bottom style="thin">
        <color theme="0" tint="-0.24994659260841701"/>
      </bottom>
      <diagonal/>
    </border>
    <border>
      <left style="medium">
        <color theme="2" tint="-0.499984740745262"/>
      </left>
      <right style="thin">
        <color indexed="64"/>
      </right>
      <top style="thin">
        <color theme="0" tint="-0.24994659260841701"/>
      </top>
      <bottom style="thin">
        <color theme="0" tint="-0.24994659260841701"/>
      </bottom>
      <diagonal/>
    </border>
    <border>
      <left/>
      <right style="medium">
        <color theme="2" tint="-0.499984740745262"/>
      </right>
      <top style="thin">
        <color theme="0" tint="-0.34998626667073579"/>
      </top>
      <bottom style="thin">
        <color theme="0" tint="-0.34998626667073579"/>
      </bottom>
      <diagonal/>
    </border>
    <border>
      <left style="medium">
        <color theme="2" tint="-0.499984740745262"/>
      </left>
      <right style="thin">
        <color theme="0" tint="-0.24994659260841701"/>
      </right>
      <top style="thin">
        <color theme="0" tint="-0.24994659260841701"/>
      </top>
      <bottom style="medium">
        <color theme="2" tint="-0.499984740745262"/>
      </bottom>
      <diagonal/>
    </border>
    <border>
      <left style="thin">
        <color theme="0" tint="-0.24994659260841701"/>
      </left>
      <right style="thin">
        <color theme="0" tint="-0.24994659260841701"/>
      </right>
      <top style="thin">
        <color theme="0" tint="-0.24994659260841701"/>
      </top>
      <bottom style="medium">
        <color theme="2" tint="-0.499984740745262"/>
      </bottom>
      <diagonal/>
    </border>
    <border>
      <left style="thin">
        <color theme="0" tint="-0.24994659260841701"/>
      </left>
      <right/>
      <top style="thin">
        <color theme="0" tint="-0.24994659260841701"/>
      </top>
      <bottom style="medium">
        <color theme="2" tint="-0.499984740745262"/>
      </bottom>
      <diagonal/>
    </border>
    <border>
      <left style="thin">
        <color theme="0" tint="-0.24994659260841701"/>
      </left>
      <right style="thin">
        <color theme="0" tint="-0.34998626667073579"/>
      </right>
      <top style="thin">
        <color theme="0" tint="-0.24994659260841701"/>
      </top>
      <bottom style="medium">
        <color theme="2" tint="-0.499984740745262"/>
      </bottom>
      <diagonal/>
    </border>
    <border>
      <left style="thin">
        <color theme="0" tint="-0.34998626667073579"/>
      </left>
      <right style="thin">
        <color theme="0" tint="-0.34998626667073579"/>
      </right>
      <top style="thin">
        <color theme="0" tint="-0.24994659260841701"/>
      </top>
      <bottom style="medium">
        <color theme="2" tint="-0.499984740745262"/>
      </bottom>
      <diagonal/>
    </border>
    <border>
      <left style="thin">
        <color theme="0" tint="-0.34998626667073579"/>
      </left>
      <right/>
      <top style="thin">
        <color theme="0" tint="-0.24994659260841701"/>
      </top>
      <bottom style="medium">
        <color theme="2" tint="-0.499984740745262"/>
      </bottom>
      <diagonal/>
    </border>
    <border>
      <left style="thin">
        <color theme="0" tint="-0.24994659260841701"/>
      </left>
      <right style="medium">
        <color theme="2" tint="-0.499984740745262"/>
      </right>
      <top style="thin">
        <color theme="0" tint="-0.24994659260841701"/>
      </top>
      <bottom style="medium">
        <color theme="2" tint="-0.499984740745262"/>
      </bottom>
      <diagonal/>
    </border>
    <border>
      <left style="medium">
        <color theme="2" tint="-0.499984740745262"/>
      </left>
      <right style="thin">
        <color indexed="64"/>
      </right>
      <top style="thin">
        <color theme="0" tint="-0.24994659260841701"/>
      </top>
      <bottom style="medium">
        <color theme="2" tint="-0.499984740745262"/>
      </bottom>
      <diagonal/>
    </border>
    <border>
      <left/>
      <right style="medium">
        <color theme="2" tint="-0.499984740745262"/>
      </right>
      <top style="thin">
        <color theme="0" tint="-0.34998626667073579"/>
      </top>
      <bottom style="medium">
        <color theme="2" tint="-0.499984740745262"/>
      </bottom>
      <diagonal/>
    </border>
    <border>
      <left style="medium">
        <color theme="1"/>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right/>
      <top style="medium">
        <color theme="2" tint="-0.499984740745262"/>
      </top>
      <bottom style="thin">
        <color theme="0" tint="-0.24994659260841701"/>
      </bottom>
      <diagonal/>
    </border>
    <border>
      <left style="thin">
        <color theme="0" tint="-0.24994659260841701"/>
      </left>
      <right style="thin">
        <color indexed="64"/>
      </right>
      <top style="medium">
        <color theme="2" tint="-0.499984740745262"/>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right/>
      <top style="thin">
        <color theme="0" tint="-0.24994659260841701"/>
      </top>
      <bottom style="medium">
        <color theme="2" tint="-0.499984740745262"/>
      </bottom>
      <diagonal/>
    </border>
    <border>
      <left style="thin">
        <color theme="0" tint="-0.24994659260841701"/>
      </left>
      <right style="thin">
        <color indexed="64"/>
      </right>
      <top style="thin">
        <color theme="0" tint="-0.24994659260841701"/>
      </top>
      <bottom style="medium">
        <color theme="2" tint="-0.499984740745262"/>
      </bottom>
      <diagonal/>
    </border>
    <border>
      <left style="medium">
        <color theme="1"/>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24994659260841701"/>
      </left>
      <right style="thin">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2" tint="-0.499984740745262"/>
      </bottom>
      <diagonal/>
    </border>
    <border>
      <left style="thin">
        <color theme="2" tint="-0.499984740745262"/>
      </left>
      <right/>
      <top style="thin">
        <color theme="2" tint="-0.499984740745262"/>
      </top>
      <bottom style="thin">
        <color theme="0" tint="-0.34998626667073579"/>
      </bottom>
      <diagonal/>
    </border>
    <border>
      <left/>
      <right style="thin">
        <color theme="0" tint="-0.34998626667073579"/>
      </right>
      <top style="thin">
        <color theme="2" tint="-0.499984740745262"/>
      </top>
      <bottom style="thin">
        <color theme="0" tint="-0.34998626667073579"/>
      </bottom>
      <diagonal/>
    </border>
    <border>
      <left/>
      <right style="medium">
        <color theme="0"/>
      </right>
      <top/>
      <bottom/>
      <diagonal/>
    </border>
    <border>
      <left style="thin">
        <color theme="2" tint="-0.499984740745262"/>
      </left>
      <right style="thin">
        <color theme="0" tint="-0.34998626667073579"/>
      </right>
      <top style="thin">
        <color theme="0" tint="-0.34998626667073579"/>
      </top>
      <bottom style="medium">
        <color theme="2" tint="-0.499984740745262"/>
      </bottom>
      <diagonal/>
    </border>
    <border>
      <left style="thin">
        <color theme="0" tint="-0.34998626667073579"/>
      </left>
      <right style="medium">
        <color theme="0"/>
      </right>
      <top style="thin">
        <color theme="0" tint="-0.34998626667073579"/>
      </top>
      <bottom style="medium">
        <color theme="2" tint="-0.499984740745262"/>
      </bottom>
      <diagonal/>
    </border>
    <border>
      <left style="thin">
        <color theme="0" tint="-0.34998626667073579"/>
      </left>
      <right style="thin">
        <color theme="1" tint="0.499984740745262"/>
      </right>
      <top style="thin">
        <color theme="0" tint="-0.34998626667073579"/>
      </top>
      <bottom style="medium">
        <color theme="2" tint="-0.499984740745262"/>
      </bottom>
      <diagonal/>
    </border>
    <border>
      <left style="thin">
        <color theme="2" tint="-0.499984740745262"/>
      </left>
      <right style="thin">
        <color theme="0" tint="-0.24994659260841701"/>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2" tint="-0.499984740745262"/>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medium">
        <color theme="2" tint="-0.499984740745262"/>
      </left>
      <right style="thin">
        <color theme="0" tint="-0.24994659260841701"/>
      </right>
      <top/>
      <bottom style="thin">
        <color theme="0" tint="-0.2499465926084170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theme="0"/>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style="medium">
        <color theme="0"/>
      </right>
      <top/>
      <bottom/>
      <diagonal/>
    </border>
    <border>
      <left/>
      <right/>
      <top style="thin">
        <color theme="0" tint="-0.34998626667073579"/>
      </top>
      <bottom/>
      <diagonal/>
    </border>
    <border>
      <left/>
      <right style="thin">
        <color theme="0" tint="-0.34998626667073579"/>
      </right>
      <top/>
      <bottom style="medium">
        <color theme="2" tint="-0.499984740745262"/>
      </bottom>
      <diagonal/>
    </border>
    <border>
      <left style="medium">
        <color theme="2" tint="-0.499984740745262"/>
      </left>
      <right/>
      <top style="thin">
        <color theme="0" tint="-0.34998626667073579"/>
      </top>
      <bottom/>
      <diagonal/>
    </border>
    <border>
      <left/>
      <right style="thin">
        <color theme="0" tint="-0.34998626667073579"/>
      </right>
      <top style="thin">
        <color theme="0" tint="-0.34998626667073579"/>
      </top>
      <bottom/>
      <diagonal/>
    </border>
    <border>
      <left style="thin">
        <color theme="0" tint="-0.24994659260841701"/>
      </left>
      <right style="thin">
        <color theme="0" tint="-0.24994659260841701"/>
      </right>
      <top/>
      <bottom/>
      <diagonal/>
    </border>
    <border>
      <left/>
      <right/>
      <top style="thin">
        <color theme="4" tint="0.39997558519241921"/>
      </top>
      <bottom style="thin">
        <color theme="4" tint="0.39997558519241921"/>
      </bottom>
      <diagonal/>
    </border>
    <border>
      <left style="thin">
        <color theme="0" tint="-0.24994659260841701"/>
      </left>
      <right/>
      <top/>
      <bottom style="thin">
        <color theme="0" tint="-0.24994659260841701"/>
      </bottom>
      <diagonal/>
    </border>
    <border>
      <left style="medium">
        <color theme="0" tint="-0.24994659260841701"/>
      </left>
      <right style="thin">
        <color theme="0" tint="-0.24994659260841701"/>
      </right>
      <top/>
      <bottom style="medium">
        <color theme="0" tint="-0.24994659260841701"/>
      </bottom>
      <diagonal/>
    </border>
    <border>
      <left/>
      <right style="thin">
        <color theme="0" tint="-0.24994659260841701"/>
      </right>
      <top/>
      <bottom style="medium">
        <color theme="0" tint="-0.24994659260841701"/>
      </bottom>
      <diagonal/>
    </border>
    <border>
      <left style="thin">
        <color theme="0" tint="-0.24994659260841701"/>
      </left>
      <right style="thin">
        <color theme="0" tint="-0.24994659260841701"/>
      </right>
      <top/>
      <bottom style="medium">
        <color theme="0" tint="-0.24994659260841701"/>
      </bottom>
      <diagonal/>
    </border>
    <border>
      <left style="thin">
        <color theme="0" tint="-0.24994659260841701"/>
      </left>
      <right/>
      <top/>
      <bottom/>
      <diagonal/>
    </border>
    <border>
      <left style="thin">
        <color theme="0" tint="-0.24994659260841701"/>
      </left>
      <right/>
      <top/>
      <bottom style="medium">
        <color theme="0" tint="-0.24994659260841701"/>
      </bottom>
      <diagonal/>
    </border>
    <border>
      <left/>
      <right/>
      <top/>
      <bottom style="medium">
        <color theme="0" tint="-0.24994659260841701"/>
      </bottom>
      <diagonal/>
    </border>
    <border>
      <left style="thin">
        <color rgb="FFBFBFBF"/>
      </left>
      <right style="thin">
        <color theme="0"/>
      </right>
      <top style="medium">
        <color rgb="FFBFBFBF"/>
      </top>
      <bottom style="medium">
        <color theme="0" tint="-0.24994659260841701"/>
      </bottom>
      <diagonal/>
    </border>
    <border>
      <left/>
      <right/>
      <top/>
      <bottom style="thin">
        <color indexed="64"/>
      </bottom>
      <diagonal/>
    </border>
    <border>
      <left style="medium">
        <color theme="0"/>
      </left>
      <right/>
      <top/>
      <bottom/>
      <diagonal/>
    </border>
    <border>
      <left style="medium">
        <color theme="0"/>
      </left>
      <right/>
      <top/>
      <bottom style="thin">
        <color theme="0" tint="-0.34998626667073579"/>
      </bottom>
      <diagonal/>
    </border>
    <border>
      <left/>
      <right style="thin">
        <color theme="1" tint="0.499984740745262"/>
      </right>
      <top/>
      <bottom style="thin">
        <color theme="0" tint="-0.34998626667073579"/>
      </bottom>
      <diagonal/>
    </border>
    <border>
      <left style="thin">
        <color theme="0" tint="-0.34998626667073579"/>
      </left>
      <right style="medium">
        <color theme="0"/>
      </right>
      <top/>
      <bottom style="thin">
        <color theme="0" tint="-0.34998626667073579"/>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style="medium">
        <color theme="2" tint="-0.499984740745262"/>
      </left>
      <right style="thin">
        <color theme="0" tint="-0.24994659260841701"/>
      </right>
      <top style="thin">
        <color theme="0" tint="-0.24994659260841701"/>
      </top>
      <bottom/>
      <diagonal/>
    </border>
    <border>
      <left style="thin">
        <color theme="0" tint="-0.24994659260841701"/>
      </left>
      <right style="medium">
        <color theme="2" tint="-0.499984740745262"/>
      </right>
      <top style="thin">
        <color theme="0" tint="-0.24994659260841701"/>
      </top>
      <bottom/>
      <diagonal/>
    </border>
    <border>
      <left style="thin">
        <color theme="0" tint="-0.24994659260841701"/>
      </left>
      <right/>
      <top style="thin">
        <color theme="0" tint="-0.24994659260841701"/>
      </top>
      <bottom/>
      <diagonal/>
    </border>
    <border>
      <left style="thin">
        <color theme="0"/>
      </left>
      <right/>
      <top/>
      <bottom/>
      <diagonal/>
    </border>
    <border>
      <left style="thin">
        <color theme="0"/>
      </left>
      <right style="thin">
        <color theme="0"/>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medium">
        <color theme="0"/>
      </bottom>
      <diagonal/>
    </border>
    <border>
      <left style="thin">
        <color theme="4" tint="0.39997558519241921"/>
      </left>
      <right/>
      <top/>
      <bottom/>
      <diagonal/>
    </border>
    <border>
      <left style="thin">
        <color theme="4" tint="0.39997558519241921"/>
      </left>
      <right/>
      <top style="thin">
        <color theme="4" tint="0.39997558519241921"/>
      </top>
      <bottom/>
      <diagonal/>
    </border>
    <border>
      <left style="thin">
        <color theme="0"/>
      </left>
      <right/>
      <top style="thin">
        <color theme="4" tint="0.39997558519241921"/>
      </top>
      <bottom/>
      <diagonal/>
    </border>
    <border>
      <left style="thin">
        <color theme="0"/>
      </left>
      <right/>
      <top style="medium">
        <color theme="4"/>
      </top>
      <bottom style="thin">
        <color theme="4" tint="0.39997558519241921"/>
      </bottom>
      <diagonal/>
    </border>
    <border>
      <left style="thin">
        <color theme="4" tint="0.39997558519241921"/>
      </left>
      <right/>
      <top style="medium">
        <color theme="4"/>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thin">
        <color theme="4" tint="0.39997558519241921"/>
      </left>
      <right/>
      <top style="thin">
        <color theme="4" tint="0.39997558519241921"/>
      </top>
      <bottom style="thick">
        <color theme="1"/>
      </bottom>
      <diagonal/>
    </border>
    <border>
      <left/>
      <right style="thin">
        <color theme="4" tint="0.39997558519241921"/>
      </right>
      <top/>
      <bottom style="thin">
        <color theme="4" tint="0.39997558519241921"/>
      </bottom>
      <diagonal/>
    </border>
  </borders>
  <cellStyleXfs count="1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0" applyNumberFormat="0" applyFill="0" applyBorder="0" applyAlignment="0" applyProtection="0"/>
    <xf numFmtId="0" fontId="5" fillId="2" borderId="0" applyNumberFormat="0" applyBorder="0" applyAlignment="0" applyProtection="0"/>
    <xf numFmtId="0" fontId="7" fillId="3" borderId="0" applyNumberFormat="0" applyBorder="0" applyAlignment="0" applyProtection="0"/>
    <xf numFmtId="0" fontId="8" fillId="0" borderId="0" applyNumberFormat="0" applyFill="0" applyBorder="0" applyAlignment="0" applyProtection="0"/>
    <xf numFmtId="0" fontId="10" fillId="0" borderId="0"/>
    <xf numFmtId="0" fontId="11" fillId="0" borderId="0" applyNumberFormat="0" applyFill="0" applyBorder="0" applyAlignment="0" applyProtection="0"/>
    <xf numFmtId="170"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396">
    <xf numFmtId="0" fontId="0" fillId="0" borderId="0" xfId="0"/>
    <xf numFmtId="0" fontId="9" fillId="3" borderId="2" xfId="5" applyFont="1" applyBorder="1" applyAlignment="1">
      <alignment horizontal="center" vertical="center" wrapText="1"/>
    </xf>
    <xf numFmtId="0" fontId="9" fillId="3" borderId="2" xfId="6" applyFont="1" applyFill="1" applyBorder="1" applyAlignment="1">
      <alignment horizontal="center" vertical="center" wrapText="1"/>
    </xf>
    <xf numFmtId="0" fontId="12" fillId="4" borderId="0" xfId="0" applyFont="1" applyFill="1" applyAlignment="1">
      <alignment horizontal="left" vertical="center" wrapText="1" indent="1"/>
    </xf>
    <xf numFmtId="0" fontId="12" fillId="0" borderId="0" xfId="0" applyFont="1" applyAlignment="1">
      <alignment horizontal="left" vertical="center"/>
    </xf>
    <xf numFmtId="0" fontId="14" fillId="0" borderId="0" xfId="3" applyFont="1"/>
    <xf numFmtId="0" fontId="15" fillId="0" borderId="0" xfId="0" applyFont="1"/>
    <xf numFmtId="0" fontId="16" fillId="0" borderId="0" xfId="0" applyFont="1" applyAlignment="1">
      <alignment vertical="top" wrapText="1"/>
    </xf>
    <xf numFmtId="0" fontId="16" fillId="0" borderId="0" xfId="0" applyFont="1"/>
    <xf numFmtId="0" fontId="19" fillId="0" borderId="0" xfId="0" applyFont="1" applyAlignment="1">
      <alignment vertical="top" wrapText="1"/>
    </xf>
    <xf numFmtId="0" fontId="1" fillId="0" borderId="0" xfId="0" applyFont="1"/>
    <xf numFmtId="0" fontId="6" fillId="0" borderId="3" xfId="0" applyFont="1" applyBorder="1"/>
    <xf numFmtId="0" fontId="21" fillId="0" borderId="3" xfId="0" applyFont="1" applyBorder="1" applyAlignment="1">
      <alignment horizontal="center" wrapText="1"/>
    </xf>
    <xf numFmtId="164" fontId="0" fillId="0" borderId="0" xfId="0" applyNumberFormat="1"/>
    <xf numFmtId="0" fontId="6" fillId="0" borderId="0" xfId="0" applyFont="1" applyAlignment="1">
      <alignment horizontal="center" wrapText="1"/>
    </xf>
    <xf numFmtId="0" fontId="6" fillId="0" borderId="0" xfId="0" applyFont="1" applyAlignment="1">
      <alignment horizontal="center"/>
    </xf>
    <xf numFmtId="0" fontId="22" fillId="4" borderId="0" xfId="0" applyFont="1" applyFill="1" applyAlignment="1">
      <alignment horizontal="center" vertical="center" wrapText="1"/>
    </xf>
    <xf numFmtId="0" fontId="23" fillId="5" borderId="4" xfId="6" applyFont="1" applyFill="1" applyBorder="1" applyAlignment="1">
      <alignment horizontal="center" vertical="center"/>
    </xf>
    <xf numFmtId="0" fontId="25" fillId="7" borderId="6" xfId="0" applyFont="1" applyFill="1" applyBorder="1" applyAlignment="1">
      <alignment horizontal="center" vertical="center" wrapText="1"/>
    </xf>
    <xf numFmtId="165" fontId="26" fillId="5" borderId="7" xfId="0" applyNumberFormat="1" applyFont="1" applyFill="1" applyBorder="1" applyAlignment="1">
      <alignment horizontal="center" vertical="center" wrapText="1"/>
    </xf>
    <xf numFmtId="166" fontId="26" fillId="5" borderId="8" xfId="0" applyNumberFormat="1" applyFont="1" applyFill="1" applyBorder="1" applyAlignment="1">
      <alignment horizontal="center" vertical="center" wrapText="1"/>
    </xf>
    <xf numFmtId="164" fontId="0" fillId="0" borderId="9" xfId="0" applyNumberFormat="1" applyBorder="1"/>
    <xf numFmtId="4" fontId="6" fillId="8" borderId="10" xfId="0" applyNumberFormat="1" applyFont="1" applyFill="1" applyBorder="1" applyAlignment="1">
      <alignment horizontal="right" vertical="center" indent="1"/>
    </xf>
    <xf numFmtId="164" fontId="6" fillId="8" borderId="10" xfId="0" applyNumberFormat="1" applyFont="1" applyFill="1" applyBorder="1" applyAlignment="1" applyProtection="1">
      <alignment horizontal="right" vertical="center" indent="1"/>
      <protection locked="0" hidden="1"/>
    </xf>
    <xf numFmtId="164" fontId="6" fillId="8" borderId="10" xfId="0" applyNumberFormat="1" applyFont="1" applyFill="1" applyBorder="1" applyAlignment="1">
      <alignment horizontal="right" vertical="center" indent="1"/>
    </xf>
    <xf numFmtId="0" fontId="0" fillId="0" borderId="7" xfId="0" applyBorder="1"/>
    <xf numFmtId="4" fontId="6" fillId="9" borderId="10" xfId="0" applyNumberFormat="1" applyFont="1" applyFill="1" applyBorder="1" applyAlignment="1">
      <alignment horizontal="right" vertical="center" indent="1"/>
    </xf>
    <xf numFmtId="164" fontId="6" fillId="9" borderId="10" xfId="0" applyNumberFormat="1" applyFont="1" applyFill="1" applyBorder="1" applyAlignment="1" applyProtection="1">
      <alignment horizontal="right" vertical="center" indent="1"/>
      <protection locked="0" hidden="1"/>
    </xf>
    <xf numFmtId="164" fontId="6" fillId="9" borderId="10" xfId="0" applyNumberFormat="1" applyFont="1" applyFill="1" applyBorder="1" applyAlignment="1">
      <alignment horizontal="right" vertical="center" indent="1"/>
    </xf>
    <xf numFmtId="0" fontId="0" fillId="0" borderId="11" xfId="0" applyBorder="1" applyAlignment="1">
      <alignment horizontal="center" vertical="center"/>
    </xf>
    <xf numFmtId="0" fontId="1" fillId="6" borderId="0" xfId="0" applyFont="1" applyFill="1"/>
    <xf numFmtId="0" fontId="24" fillId="8" borderId="15" xfId="0" applyFont="1" applyFill="1" applyBorder="1" applyAlignment="1">
      <alignment horizontal="centerContinuous"/>
    </xf>
    <xf numFmtId="0" fontId="27" fillId="8" borderId="16" xfId="0" applyFont="1" applyFill="1" applyBorder="1" applyAlignment="1">
      <alignment horizontal="centerContinuous"/>
    </xf>
    <xf numFmtId="0" fontId="27" fillId="8" borderId="17" xfId="0" applyFont="1" applyFill="1" applyBorder="1" applyAlignment="1">
      <alignment horizontal="centerContinuous"/>
    </xf>
    <xf numFmtId="0" fontId="24" fillId="9" borderId="18" xfId="0" applyFont="1" applyFill="1" applyBorder="1" applyAlignment="1">
      <alignment horizontal="centerContinuous"/>
    </xf>
    <xf numFmtId="0" fontId="24" fillId="9" borderId="0" xfId="0" applyFont="1" applyFill="1" applyAlignment="1">
      <alignment horizontal="centerContinuous"/>
    </xf>
    <xf numFmtId="0" fontId="0" fillId="0" borderId="3" xfId="0" applyBorder="1"/>
    <xf numFmtId="0" fontId="6" fillId="10" borderId="19" xfId="0" applyFont="1" applyFill="1" applyBorder="1" applyAlignment="1">
      <alignment horizontal="center" vertical="center" wrapText="1"/>
    </xf>
    <xf numFmtId="0" fontId="6" fillId="10" borderId="20" xfId="0" applyFont="1" applyFill="1" applyBorder="1" applyAlignment="1">
      <alignment horizontal="center" vertical="center" wrapText="1"/>
    </xf>
    <xf numFmtId="0" fontId="6" fillId="10" borderId="21" xfId="0" applyFont="1" applyFill="1" applyBorder="1" applyAlignment="1">
      <alignment horizontal="center" vertical="center" wrapText="1"/>
    </xf>
    <xf numFmtId="0" fontId="6" fillId="8" borderId="22" xfId="0" applyFont="1" applyFill="1" applyBorder="1" applyAlignment="1">
      <alignment horizontal="center" vertical="center" wrapText="1"/>
    </xf>
    <xf numFmtId="0" fontId="6" fillId="8" borderId="23" xfId="0" applyFont="1" applyFill="1" applyBorder="1" applyAlignment="1">
      <alignment horizontal="center" vertical="center" wrapText="1"/>
    </xf>
    <xf numFmtId="0" fontId="6" fillId="8" borderId="24" xfId="0" applyFont="1" applyFill="1" applyBorder="1" applyAlignment="1">
      <alignment horizontal="center" vertical="center" wrapText="1"/>
    </xf>
    <xf numFmtId="0" fontId="6" fillId="9" borderId="25" xfId="0" applyFont="1" applyFill="1" applyBorder="1" applyAlignment="1">
      <alignment horizontal="center" vertical="center" wrapText="1"/>
    </xf>
    <xf numFmtId="0" fontId="6" fillId="9" borderId="20" xfId="0" applyFont="1" applyFill="1" applyBorder="1" applyAlignment="1">
      <alignment horizontal="center" vertical="center" wrapText="1"/>
    </xf>
    <xf numFmtId="0" fontId="6" fillId="9" borderId="26" xfId="0" applyFont="1" applyFill="1" applyBorder="1" applyAlignment="1">
      <alignment horizontal="center" vertical="center" wrapText="1"/>
    </xf>
    <xf numFmtId="0" fontId="6" fillId="10" borderId="27" xfId="0" applyFont="1" applyFill="1" applyBorder="1" applyAlignment="1">
      <alignment horizontal="center" vertical="center" wrapText="1"/>
    </xf>
    <xf numFmtId="167" fontId="28" fillId="0" borderId="28" xfId="0" applyNumberFormat="1" applyFont="1" applyBorder="1"/>
    <xf numFmtId="14" fontId="28" fillId="0" borderId="29" xfId="0" applyNumberFormat="1" applyFont="1" applyBorder="1" applyAlignment="1">
      <alignment horizontal="left" indent="1"/>
    </xf>
    <xf numFmtId="14" fontId="28" fillId="0" borderId="30" xfId="0" applyNumberFormat="1" applyFont="1" applyBorder="1" applyAlignment="1">
      <alignment horizontal="left" indent="1"/>
    </xf>
    <xf numFmtId="0" fontId="28" fillId="0" borderId="31" xfId="0" applyFont="1" applyBorder="1" applyAlignment="1">
      <alignment horizontal="left" indent="1"/>
    </xf>
    <xf numFmtId="0" fontId="28" fillId="0" borderId="32" xfId="0" applyFont="1" applyBorder="1" applyAlignment="1">
      <alignment horizontal="left" indent="1"/>
    </xf>
    <xf numFmtId="0" fontId="28" fillId="0" borderId="33" xfId="0" applyFont="1" applyBorder="1" applyAlignment="1">
      <alignment horizontal="left" indent="1"/>
    </xf>
    <xf numFmtId="0" fontId="28" fillId="0" borderId="28" xfId="0" applyFont="1" applyBorder="1" applyAlignment="1">
      <alignment horizontal="right"/>
    </xf>
    <xf numFmtId="38" fontId="28" fillId="0" borderId="29" xfId="0" applyNumberFormat="1" applyFont="1" applyBorder="1"/>
    <xf numFmtId="8" fontId="28" fillId="0" borderId="29" xfId="0" applyNumberFormat="1" applyFont="1" applyBorder="1"/>
    <xf numFmtId="8" fontId="28" fillId="11" borderId="34" xfId="0" applyNumberFormat="1" applyFont="1" applyFill="1" applyBorder="1"/>
    <xf numFmtId="0" fontId="28" fillId="0" borderId="28" xfId="0" applyFont="1" applyBorder="1"/>
    <xf numFmtId="40" fontId="28" fillId="0" borderId="29" xfId="0" applyNumberFormat="1" applyFont="1" applyBorder="1"/>
    <xf numFmtId="8" fontId="28" fillId="0" borderId="34" xfId="0" applyNumberFormat="1" applyFont="1" applyBorder="1"/>
    <xf numFmtId="8" fontId="28" fillId="9" borderId="35" xfId="0" applyNumberFormat="1" applyFont="1" applyFill="1" applyBorder="1"/>
    <xf numFmtId="40" fontId="6" fillId="6" borderId="36" xfId="0" applyNumberFormat="1" applyFont="1" applyFill="1" applyBorder="1" applyAlignment="1">
      <alignment horizontal="right" indent="1"/>
    </xf>
    <xf numFmtId="167" fontId="28" fillId="0" borderId="37" xfId="0" applyNumberFormat="1" applyFont="1" applyBorder="1"/>
    <xf numFmtId="14" fontId="28" fillId="0" borderId="38" xfId="0" applyNumberFormat="1" applyFont="1" applyBorder="1" applyAlignment="1">
      <alignment horizontal="left" indent="1"/>
    </xf>
    <xf numFmtId="14" fontId="28" fillId="0" borderId="39" xfId="0" applyNumberFormat="1" applyFont="1" applyBorder="1" applyAlignment="1">
      <alignment horizontal="left" indent="1"/>
    </xf>
    <xf numFmtId="0" fontId="28" fillId="0" borderId="40" xfId="0" applyFont="1" applyBorder="1" applyAlignment="1">
      <alignment horizontal="left" indent="1"/>
    </xf>
    <xf numFmtId="0" fontId="28" fillId="0" borderId="41" xfId="0" applyFont="1" applyBorder="1" applyAlignment="1">
      <alignment horizontal="left" indent="1"/>
    </xf>
    <xf numFmtId="0" fontId="28" fillId="0" borderId="42" xfId="0" applyFont="1" applyBorder="1" applyAlignment="1">
      <alignment horizontal="left" indent="1"/>
    </xf>
    <xf numFmtId="0" fontId="28" fillId="0" borderId="37" xfId="0" applyFont="1" applyBorder="1" applyAlignment="1">
      <alignment horizontal="right"/>
    </xf>
    <xf numFmtId="38" fontId="28" fillId="0" borderId="38" xfId="0" applyNumberFormat="1" applyFont="1" applyBorder="1"/>
    <xf numFmtId="8" fontId="28" fillId="0" borderId="38" xfId="0" applyNumberFormat="1" applyFont="1" applyBorder="1"/>
    <xf numFmtId="8" fontId="28" fillId="11" borderId="43" xfId="0" applyNumberFormat="1" applyFont="1" applyFill="1" applyBorder="1"/>
    <xf numFmtId="0" fontId="28" fillId="0" borderId="37" xfId="0" quotePrefix="1" applyFont="1" applyBorder="1" applyAlignment="1">
      <alignment horizontal="right"/>
    </xf>
    <xf numFmtId="1" fontId="28" fillId="0" borderId="38" xfId="0" applyNumberFormat="1" applyFont="1" applyBorder="1"/>
    <xf numFmtId="8" fontId="28" fillId="0" borderId="43" xfId="0" applyNumberFormat="1" applyFont="1" applyBorder="1"/>
    <xf numFmtId="8" fontId="28" fillId="9" borderId="44" xfId="0" applyNumberFormat="1" applyFont="1" applyFill="1" applyBorder="1"/>
    <xf numFmtId="40" fontId="6" fillId="6" borderId="45" xfId="0" applyNumberFormat="1" applyFont="1" applyFill="1" applyBorder="1" applyAlignment="1">
      <alignment horizontal="right" indent="1"/>
    </xf>
    <xf numFmtId="0" fontId="28" fillId="0" borderId="37" xfId="0" applyFont="1" applyBorder="1"/>
    <xf numFmtId="168" fontId="1" fillId="0" borderId="0" xfId="0" applyNumberFormat="1" applyFont="1"/>
    <xf numFmtId="40" fontId="28" fillId="0" borderId="43" xfId="0" applyNumberFormat="1" applyFont="1" applyBorder="1"/>
    <xf numFmtId="167" fontId="28" fillId="0" borderId="46" xfId="0" applyNumberFormat="1" applyFont="1" applyBorder="1"/>
    <xf numFmtId="14" fontId="28" fillId="0" borderId="47" xfId="0" applyNumberFormat="1" applyFont="1" applyBorder="1" applyAlignment="1">
      <alignment horizontal="left" indent="1"/>
    </xf>
    <xf numFmtId="14" fontId="28" fillId="0" borderId="48" xfId="0" applyNumberFormat="1" applyFont="1" applyBorder="1" applyAlignment="1">
      <alignment horizontal="left" indent="1"/>
    </xf>
    <xf numFmtId="0" fontId="29" fillId="0" borderId="49" xfId="0" applyFont="1" applyBorder="1" applyAlignment="1">
      <alignment horizontal="left" indent="1"/>
    </xf>
    <xf numFmtId="0" fontId="28" fillId="0" borderId="50" xfId="0" applyFont="1" applyBorder="1" applyAlignment="1">
      <alignment horizontal="left" indent="1"/>
    </xf>
    <xf numFmtId="0" fontId="28" fillId="0" borderId="51" xfId="0" applyFont="1" applyBorder="1" applyAlignment="1">
      <alignment horizontal="left" indent="1"/>
    </xf>
    <xf numFmtId="0" fontId="28" fillId="0" borderId="46" xfId="0" applyFont="1" applyBorder="1" applyAlignment="1">
      <alignment horizontal="right"/>
    </xf>
    <xf numFmtId="38" fontId="28" fillId="0" borderId="47" xfId="0" applyNumberFormat="1" applyFont="1" applyBorder="1"/>
    <xf numFmtId="8" fontId="28" fillId="0" borderId="47" xfId="0" applyNumberFormat="1" applyFont="1" applyBorder="1"/>
    <xf numFmtId="8" fontId="28" fillId="11" borderId="52" xfId="0" applyNumberFormat="1" applyFont="1" applyFill="1" applyBorder="1"/>
    <xf numFmtId="8" fontId="28" fillId="9" borderId="53" xfId="0" applyNumberFormat="1" applyFont="1" applyFill="1" applyBorder="1"/>
    <xf numFmtId="40" fontId="6" fillId="6" borderId="54" xfId="0" applyNumberFormat="1" applyFont="1" applyFill="1" applyBorder="1" applyAlignment="1">
      <alignment horizontal="right" indent="1"/>
    </xf>
    <xf numFmtId="167" fontId="28" fillId="0" borderId="0" xfId="0" applyNumberFormat="1" applyFont="1"/>
    <xf numFmtId="14" fontId="28" fillId="0" borderId="0" xfId="0" applyNumberFormat="1" applyFont="1" applyAlignment="1">
      <alignment horizontal="left" indent="1"/>
    </xf>
    <xf numFmtId="0" fontId="29" fillId="0" borderId="0" xfId="0" applyFont="1" applyAlignment="1">
      <alignment horizontal="left" indent="1"/>
    </xf>
    <xf numFmtId="0" fontId="28" fillId="0" borderId="0" xfId="0" applyFont="1" applyAlignment="1">
      <alignment horizontal="left" indent="1"/>
    </xf>
    <xf numFmtId="0" fontId="28" fillId="0" borderId="0" xfId="0" applyFont="1" applyAlignment="1">
      <alignment horizontal="right"/>
    </xf>
    <xf numFmtId="38" fontId="28" fillId="0" borderId="0" xfId="0" applyNumberFormat="1" applyFont="1"/>
    <xf numFmtId="8" fontId="28" fillId="0" borderId="0" xfId="0" applyNumberFormat="1" applyFont="1"/>
    <xf numFmtId="0" fontId="15" fillId="6" borderId="0" xfId="0" applyFont="1" applyFill="1"/>
    <xf numFmtId="0" fontId="30" fillId="6" borderId="0" xfId="0" applyFont="1" applyFill="1"/>
    <xf numFmtId="0" fontId="31" fillId="6" borderId="0" xfId="0" applyFont="1" applyFill="1"/>
    <xf numFmtId="0" fontId="32" fillId="6" borderId="0" xfId="0" applyFont="1" applyFill="1"/>
    <xf numFmtId="0" fontId="1" fillId="6" borderId="0" xfId="0" applyFont="1" applyFill="1" applyAlignment="1">
      <alignment horizontal="center"/>
    </xf>
    <xf numFmtId="0" fontId="6" fillId="10" borderId="55" xfId="0" applyFont="1" applyFill="1" applyBorder="1" applyAlignment="1">
      <alignment horizontal="center" vertical="center" wrapText="1"/>
    </xf>
    <xf numFmtId="0" fontId="6" fillId="10" borderId="56" xfId="0" applyFont="1" applyFill="1" applyBorder="1" applyAlignment="1">
      <alignment horizontal="center" vertical="center" wrapText="1"/>
    </xf>
    <xf numFmtId="0" fontId="28" fillId="0" borderId="57" xfId="0" applyFont="1" applyBorder="1" applyAlignment="1">
      <alignment horizontal="left" indent="1"/>
    </xf>
    <xf numFmtId="169" fontId="28" fillId="11" borderId="58" xfId="0" applyNumberFormat="1" applyFont="1" applyFill="1" applyBorder="1"/>
    <xf numFmtId="166" fontId="28" fillId="9" borderId="58" xfId="0" applyNumberFormat="1" applyFont="1" applyFill="1" applyBorder="1"/>
    <xf numFmtId="14" fontId="28" fillId="4" borderId="38" xfId="0" applyNumberFormat="1" applyFont="1" applyFill="1" applyBorder="1" applyAlignment="1">
      <alignment horizontal="left" indent="1"/>
    </xf>
    <xf numFmtId="0" fontId="28" fillId="4" borderId="42" xfId="0" applyFont="1" applyFill="1" applyBorder="1" applyAlignment="1">
      <alignment horizontal="left" indent="1"/>
    </xf>
    <xf numFmtId="0" fontId="28" fillId="4" borderId="59" xfId="0" applyFont="1" applyFill="1" applyBorder="1" applyAlignment="1">
      <alignment horizontal="left" indent="1"/>
    </xf>
    <xf numFmtId="169" fontId="28" fillId="11" borderId="60" xfId="0" applyNumberFormat="1" applyFont="1" applyFill="1" applyBorder="1"/>
    <xf numFmtId="0" fontId="28" fillId="4" borderId="37" xfId="0" applyFont="1" applyFill="1" applyBorder="1"/>
    <xf numFmtId="165" fontId="28" fillId="4" borderId="38" xfId="0" applyNumberFormat="1" applyFont="1" applyFill="1" applyBorder="1"/>
    <xf numFmtId="8" fontId="28" fillId="4" borderId="38" xfId="0" applyNumberFormat="1" applyFont="1" applyFill="1" applyBorder="1"/>
    <xf numFmtId="166" fontId="28" fillId="4" borderId="60" xfId="0" applyNumberFormat="1" applyFont="1" applyFill="1" applyBorder="1"/>
    <xf numFmtId="0" fontId="28" fillId="0" borderId="49" xfId="0" applyFont="1" applyBorder="1" applyAlignment="1">
      <alignment horizontal="left" indent="1"/>
    </xf>
    <xf numFmtId="0" fontId="28" fillId="0" borderId="61" xfId="0" applyFont="1" applyBorder="1" applyAlignment="1">
      <alignment horizontal="left" indent="1"/>
    </xf>
    <xf numFmtId="0" fontId="28" fillId="0" borderId="46" xfId="0" applyFont="1" applyBorder="1"/>
    <xf numFmtId="169" fontId="28" fillId="11" borderId="62" xfId="0" applyNumberFormat="1" applyFont="1" applyFill="1" applyBorder="1"/>
    <xf numFmtId="166" fontId="28" fillId="9" borderId="62" xfId="0" applyNumberFormat="1" applyFont="1" applyFill="1" applyBorder="1"/>
    <xf numFmtId="0" fontId="28" fillId="0" borderId="0" xfId="0" applyFont="1"/>
    <xf numFmtId="40" fontId="6" fillId="6" borderId="0" xfId="0" applyNumberFormat="1" applyFont="1" applyFill="1" applyAlignment="1">
      <alignment horizontal="right" indent="1"/>
    </xf>
    <xf numFmtId="0" fontId="1" fillId="6" borderId="0" xfId="0" applyFont="1" applyFill="1" applyAlignment="1">
      <alignment horizontal="center" vertical="top"/>
    </xf>
    <xf numFmtId="0" fontId="6" fillId="10" borderId="63" xfId="0" applyFont="1" applyFill="1" applyBorder="1" applyAlignment="1">
      <alignment horizontal="center" vertical="center" wrapText="1"/>
    </xf>
    <xf numFmtId="0" fontId="6" fillId="10" borderId="64" xfId="0" applyFont="1" applyFill="1" applyBorder="1" applyAlignment="1">
      <alignment horizontal="center" vertical="center" wrapText="1"/>
    </xf>
    <xf numFmtId="0" fontId="6" fillId="10" borderId="65" xfId="0" applyFont="1" applyFill="1" applyBorder="1" applyAlignment="1">
      <alignment horizontal="center" vertical="center" wrapText="1"/>
    </xf>
    <xf numFmtId="14" fontId="28" fillId="4" borderId="29" xfId="0" applyNumberFormat="1" applyFont="1" applyFill="1" applyBorder="1" applyAlignment="1">
      <alignment horizontal="left" indent="1"/>
    </xf>
    <xf numFmtId="0" fontId="28" fillId="4" borderId="33" xfId="0" applyFont="1" applyFill="1" applyBorder="1" applyAlignment="1">
      <alignment horizontal="left" indent="1"/>
    </xf>
    <xf numFmtId="0" fontId="28" fillId="4" borderId="57" xfId="0" applyFont="1" applyFill="1" applyBorder="1" applyAlignment="1">
      <alignment horizontal="left" indent="1"/>
    </xf>
    <xf numFmtId="0" fontId="28" fillId="4" borderId="28" xfId="0" applyFont="1" applyFill="1" applyBorder="1" applyAlignment="1">
      <alignment horizontal="right"/>
    </xf>
    <xf numFmtId="38" fontId="28" fillId="4" borderId="29" xfId="0" applyNumberFormat="1" applyFont="1" applyFill="1" applyBorder="1"/>
    <xf numFmtId="8" fontId="28" fillId="4" borderId="29" xfId="0" applyNumberFormat="1" applyFont="1" applyFill="1" applyBorder="1"/>
    <xf numFmtId="0" fontId="28" fillId="0" borderId="59" xfId="0" applyFont="1" applyBorder="1" applyAlignment="1">
      <alignment horizontal="left" indent="1"/>
    </xf>
    <xf numFmtId="166" fontId="28" fillId="9" borderId="60" xfId="0" applyNumberFormat="1" applyFont="1" applyFill="1" applyBorder="1"/>
    <xf numFmtId="0" fontId="33" fillId="6" borderId="0" xfId="0" applyFont="1" applyFill="1" applyAlignment="1">
      <alignment horizontal="right"/>
    </xf>
    <xf numFmtId="40" fontId="1" fillId="6" borderId="0" xfId="0" applyNumberFormat="1" applyFont="1" applyFill="1"/>
    <xf numFmtId="0" fontId="36" fillId="0" borderId="0" xfId="1" applyFont="1" applyBorder="1" applyAlignment="1">
      <alignment vertical="center"/>
    </xf>
    <xf numFmtId="0" fontId="0" fillId="0" borderId="67" xfId="0" applyBorder="1" applyAlignment="1">
      <alignment vertical="center"/>
    </xf>
    <xf numFmtId="0" fontId="0" fillId="0" borderId="67" xfId="0" applyBorder="1" applyAlignment="1">
      <alignment horizontal="left" vertical="center" indent="1"/>
    </xf>
    <xf numFmtId="3" fontId="0" fillId="0" borderId="0" xfId="0" applyNumberFormat="1"/>
    <xf numFmtId="0" fontId="7" fillId="0" borderId="0" xfId="0" applyFont="1"/>
    <xf numFmtId="0" fontId="0" fillId="10" borderId="70" xfId="0" applyFill="1" applyBorder="1" applyAlignment="1">
      <alignment horizontal="centerContinuous" vertical="center"/>
    </xf>
    <xf numFmtId="0" fontId="0" fillId="0" borderId="76" xfId="0" applyBorder="1" applyAlignment="1">
      <alignment horizontal="left" indent="1"/>
    </xf>
    <xf numFmtId="3" fontId="0" fillId="0" borderId="67" xfId="0" applyNumberFormat="1" applyBorder="1" applyAlignment="1">
      <alignment horizontal="right" indent="1"/>
    </xf>
    <xf numFmtId="3" fontId="0" fillId="0" borderId="77" xfId="0" applyNumberFormat="1" applyBorder="1" applyAlignment="1">
      <alignment horizontal="right" indent="1"/>
    </xf>
    <xf numFmtId="4" fontId="0" fillId="0" borderId="0" xfId="0" applyNumberFormat="1"/>
    <xf numFmtId="172" fontId="42" fillId="0" borderId="76" xfId="0" applyNumberFormat="1" applyFont="1" applyBorder="1" applyAlignment="1">
      <alignment horizontal="center"/>
    </xf>
    <xf numFmtId="14" fontId="42" fillId="0" borderId="67" xfId="0" applyNumberFormat="1" applyFont="1" applyBorder="1" applyAlignment="1">
      <alignment horizontal="right" indent="1"/>
    </xf>
    <xf numFmtId="172" fontId="42" fillId="0" borderId="78" xfId="0" applyNumberFormat="1" applyFont="1" applyBorder="1" applyAlignment="1">
      <alignment horizontal="center"/>
    </xf>
    <xf numFmtId="14" fontId="42" fillId="0" borderId="38" xfId="0" applyNumberFormat="1" applyFont="1" applyBorder="1" applyAlignment="1">
      <alignment horizontal="right" indent="1"/>
    </xf>
    <xf numFmtId="0" fontId="41" fillId="0" borderId="0" xfId="0" applyFont="1"/>
    <xf numFmtId="0" fontId="5" fillId="2" borderId="80" xfId="4" applyBorder="1"/>
    <xf numFmtId="0" fontId="24" fillId="8" borderId="81" xfId="0" applyFont="1" applyFill="1" applyBorder="1" applyAlignment="1">
      <alignment horizontal="centerContinuous"/>
    </xf>
    <xf numFmtId="41" fontId="27" fillId="8" borderId="82" xfId="0" applyNumberFormat="1" applyFont="1" applyFill="1" applyBorder="1" applyAlignment="1">
      <alignment horizontal="centerContinuous"/>
    </xf>
    <xf numFmtId="41" fontId="27" fillId="8" borderId="83" xfId="0" applyNumberFormat="1" applyFont="1" applyFill="1" applyBorder="1" applyAlignment="1">
      <alignment horizontal="centerContinuous"/>
    </xf>
    <xf numFmtId="0" fontId="39" fillId="10" borderId="64" xfId="0" applyFont="1" applyFill="1" applyBorder="1" applyAlignment="1">
      <alignment horizontal="center" vertical="center" wrapText="1"/>
    </xf>
    <xf numFmtId="41" fontId="43" fillId="8" borderId="83" xfId="0" applyNumberFormat="1" applyFont="1" applyFill="1" applyBorder="1" applyAlignment="1">
      <alignment horizontal="centerContinuous"/>
    </xf>
    <xf numFmtId="0" fontId="40" fillId="8" borderId="81" xfId="0" applyFont="1" applyFill="1" applyBorder="1" applyAlignment="1">
      <alignment horizontal="centerContinuous"/>
    </xf>
    <xf numFmtId="40" fontId="42" fillId="0" borderId="79" xfId="0" applyNumberFormat="1" applyFont="1" applyBorder="1"/>
    <xf numFmtId="166" fontId="42" fillId="0" borderId="37" xfId="0" applyNumberFormat="1" applyFont="1" applyBorder="1"/>
    <xf numFmtId="0" fontId="42" fillId="0" borderId="37" xfId="0" applyFont="1" applyBorder="1" applyAlignment="1">
      <alignment horizontal="right"/>
    </xf>
    <xf numFmtId="3" fontId="0" fillId="12" borderId="89" xfId="0" applyNumberFormat="1" applyFill="1" applyBorder="1"/>
    <xf numFmtId="0" fontId="0" fillId="0" borderId="88" xfId="0" applyBorder="1" applyAlignment="1">
      <alignment vertical="center"/>
    </xf>
    <xf numFmtId="0" fontId="0" fillId="0" borderId="88" xfId="0" applyBorder="1" applyAlignment="1">
      <alignment horizontal="left" vertical="center" indent="1"/>
    </xf>
    <xf numFmtId="0" fontId="0" fillId="0" borderId="90" xfId="0" applyBorder="1" applyAlignment="1">
      <alignment vertical="center"/>
    </xf>
    <xf numFmtId="3" fontId="36" fillId="0" borderId="0" xfId="1" applyNumberFormat="1" applyFont="1" applyBorder="1" applyAlignment="1">
      <alignment vertical="center"/>
    </xf>
    <xf numFmtId="3" fontId="0" fillId="0" borderId="67" xfId="0" applyNumberFormat="1" applyBorder="1" applyAlignment="1">
      <alignment vertical="center"/>
    </xf>
    <xf numFmtId="3" fontId="0" fillId="0" borderId="88" xfId="0" applyNumberFormat="1" applyBorder="1" applyAlignment="1">
      <alignment vertical="center"/>
    </xf>
    <xf numFmtId="0" fontId="37" fillId="0" borderId="93" xfId="2" applyFont="1" applyFill="1" applyBorder="1" applyAlignment="1">
      <alignment horizontal="center" vertical="center" wrapText="1"/>
    </xf>
    <xf numFmtId="3" fontId="37" fillId="0" borderId="92" xfId="2" applyNumberFormat="1" applyFont="1" applyFill="1" applyBorder="1" applyAlignment="1">
      <alignment horizontal="center" vertical="center" wrapText="1"/>
    </xf>
    <xf numFmtId="0" fontId="37" fillId="0" borderId="92" xfId="2" applyFont="1" applyFill="1" applyBorder="1" applyAlignment="1">
      <alignment horizontal="center" vertical="center" wrapText="1"/>
    </xf>
    <xf numFmtId="0" fontId="37" fillId="0" borderId="91" xfId="2" applyFont="1" applyFill="1" applyBorder="1" applyAlignment="1">
      <alignment horizontal="center" vertical="center" wrapText="1"/>
    </xf>
    <xf numFmtId="3" fontId="37" fillId="15" borderId="66" xfId="2" applyNumberFormat="1" applyFont="1" applyFill="1" applyBorder="1" applyAlignment="1">
      <alignment horizontal="center" vertical="center" wrapText="1"/>
    </xf>
    <xf numFmtId="3" fontId="7" fillId="13" borderId="67" xfId="0" applyNumberFormat="1" applyFont="1" applyFill="1" applyBorder="1" applyAlignment="1">
      <alignment vertical="center"/>
    </xf>
    <xf numFmtId="3" fontId="7" fillId="14" borderId="67" xfId="0" applyNumberFormat="1" applyFont="1" applyFill="1" applyBorder="1" applyAlignment="1">
      <alignment vertical="center"/>
    </xf>
    <xf numFmtId="0" fontId="0" fillId="0" borderId="76" xfId="0" applyBorder="1" applyAlignment="1">
      <alignment horizontal="left" vertical="center" indent="1"/>
    </xf>
    <xf numFmtId="0" fontId="0" fillId="0" borderId="94" xfId="0" applyBorder="1" applyAlignment="1">
      <alignment vertical="center"/>
    </xf>
    <xf numFmtId="3" fontId="0" fillId="0" borderId="90" xfId="0" applyNumberFormat="1" applyBorder="1" applyAlignment="1">
      <alignment vertical="center"/>
    </xf>
    <xf numFmtId="3" fontId="0" fillId="0" borderId="94" xfId="0" applyNumberFormat="1" applyBorder="1" applyAlignment="1">
      <alignment vertical="center"/>
    </xf>
    <xf numFmtId="41" fontId="0" fillId="0" borderId="90" xfId="0" applyNumberFormat="1" applyBorder="1" applyAlignment="1">
      <alignment vertical="center"/>
    </xf>
    <xf numFmtId="0" fontId="37" fillId="0" borderId="96" xfId="2" applyFont="1" applyFill="1" applyBorder="1" applyAlignment="1">
      <alignment horizontal="center" vertical="center" wrapText="1"/>
    </xf>
    <xf numFmtId="0" fontId="37" fillId="0" borderId="95" xfId="2" applyFont="1" applyFill="1" applyBorder="1" applyAlignment="1">
      <alignment horizontal="center" vertical="center" wrapText="1"/>
    </xf>
    <xf numFmtId="0" fontId="37" fillId="16" borderId="96" xfId="2" applyFont="1" applyFill="1" applyBorder="1" applyAlignment="1">
      <alignment horizontal="center" vertical="center" wrapText="1"/>
    </xf>
    <xf numFmtId="3" fontId="7" fillId="18" borderId="90" xfId="0" applyNumberFormat="1" applyFont="1" applyFill="1" applyBorder="1" applyAlignment="1">
      <alignment vertical="center"/>
    </xf>
    <xf numFmtId="3" fontId="7" fillId="17" borderId="90" xfId="0" applyNumberFormat="1" applyFont="1" applyFill="1" applyBorder="1" applyAlignment="1">
      <alignment vertical="center"/>
    </xf>
    <xf numFmtId="0" fontId="37" fillId="17" borderId="97" xfId="2" applyFont="1" applyFill="1" applyBorder="1" applyAlignment="1">
      <alignment horizontal="center" vertical="center" wrapText="1"/>
    </xf>
    <xf numFmtId="166" fontId="42" fillId="0" borderId="79" xfId="0" applyNumberFormat="1" applyFont="1" applyBorder="1"/>
    <xf numFmtId="49" fontId="0" fillId="0" borderId="67" xfId="0" applyNumberFormat="1" applyBorder="1" applyAlignment="1">
      <alignment horizontal="left" vertical="center" indent="1"/>
    </xf>
    <xf numFmtId="49" fontId="0" fillId="0" borderId="88" xfId="0" applyNumberFormat="1" applyBorder="1" applyAlignment="1">
      <alignment horizontal="left" vertical="center" indent="1"/>
    </xf>
    <xf numFmtId="0" fontId="41" fillId="19" borderId="0" xfId="0" applyFont="1" applyFill="1"/>
    <xf numFmtId="0" fontId="44" fillId="9" borderId="0" xfId="0" applyFont="1" applyFill="1" applyAlignment="1">
      <alignment vertical="center"/>
    </xf>
    <xf numFmtId="3" fontId="44" fillId="9" borderId="0" xfId="0" applyNumberFormat="1" applyFont="1" applyFill="1" applyAlignment="1">
      <alignment vertical="center"/>
    </xf>
    <xf numFmtId="0" fontId="41" fillId="0" borderId="0" xfId="0" applyFont="1" applyAlignment="1">
      <alignment vertical="center"/>
    </xf>
    <xf numFmtId="0" fontId="46" fillId="10" borderId="72" xfId="0" applyFont="1" applyFill="1" applyBorder="1" applyAlignment="1">
      <alignment vertical="center" wrapText="1"/>
    </xf>
    <xf numFmtId="0" fontId="46" fillId="10" borderId="20" xfId="0" applyFont="1" applyFill="1" applyBorder="1" applyAlignment="1">
      <alignment horizontal="center" vertical="center" wrapText="1"/>
    </xf>
    <xf numFmtId="3" fontId="46" fillId="8" borderId="20" xfId="0" applyNumberFormat="1" applyFont="1" applyFill="1" applyBorder="1" applyAlignment="1">
      <alignment horizontal="center" vertical="center" wrapText="1"/>
    </xf>
    <xf numFmtId="3" fontId="46" fillId="8" borderId="73" xfId="0" applyNumberFormat="1" applyFont="1" applyFill="1" applyBorder="1" applyAlignment="1">
      <alignment horizontal="center" vertical="center" wrapText="1"/>
    </xf>
    <xf numFmtId="3" fontId="46" fillId="9" borderId="25" xfId="0" applyNumberFormat="1" applyFont="1" applyFill="1" applyBorder="1" applyAlignment="1">
      <alignment horizontal="center" vertical="center" wrapText="1"/>
    </xf>
    <xf numFmtId="3" fontId="46" fillId="9" borderId="20" xfId="0" applyNumberFormat="1" applyFont="1" applyFill="1" applyBorder="1" applyAlignment="1">
      <alignment horizontal="center" vertical="center" wrapText="1"/>
    </xf>
    <xf numFmtId="3" fontId="46" fillId="9" borderId="73" xfId="0" applyNumberFormat="1" applyFont="1" applyFill="1" applyBorder="1" applyAlignment="1">
      <alignment horizontal="center" vertical="center" wrapText="1"/>
    </xf>
    <xf numFmtId="3" fontId="46" fillId="10" borderId="25" xfId="0" applyNumberFormat="1" applyFont="1" applyFill="1" applyBorder="1" applyAlignment="1" applyProtection="1">
      <alignment horizontal="center" vertical="center" wrapText="1"/>
      <protection locked="0"/>
    </xf>
    <xf numFmtId="3" fontId="46" fillId="10" borderId="74" xfId="0" applyNumberFormat="1" applyFont="1" applyFill="1" applyBorder="1" applyAlignment="1" applyProtection="1">
      <alignment horizontal="center" vertical="center" wrapText="1"/>
      <protection locked="0"/>
    </xf>
    <xf numFmtId="0" fontId="47" fillId="10" borderId="69" xfId="0" applyFont="1" applyFill="1" applyBorder="1" applyAlignment="1">
      <alignment vertical="center"/>
    </xf>
    <xf numFmtId="3" fontId="39" fillId="0" borderId="0" xfId="0" applyNumberFormat="1" applyFont="1" applyAlignment="1">
      <alignment horizontal="center" wrapText="1"/>
    </xf>
    <xf numFmtId="0" fontId="39" fillId="0" borderId="75" xfId="0" applyFont="1" applyBorder="1"/>
    <xf numFmtId="3" fontId="48" fillId="8" borderId="16" xfId="0" applyNumberFormat="1" applyFont="1" applyFill="1" applyBorder="1" applyAlignment="1">
      <alignment horizontal="centerContinuous" vertical="center"/>
    </xf>
    <xf numFmtId="3" fontId="48" fillId="8" borderId="102" xfId="0" applyNumberFormat="1" applyFont="1" applyFill="1" applyBorder="1" applyAlignment="1">
      <alignment horizontal="centerContinuous" vertical="center"/>
    </xf>
    <xf numFmtId="3" fontId="48" fillId="9" borderId="99" xfId="0" applyNumberFormat="1" applyFont="1" applyFill="1" applyBorder="1" applyAlignment="1">
      <alignment horizontal="centerContinuous" vertical="center"/>
    </xf>
    <xf numFmtId="3" fontId="48" fillId="9" borderId="0" xfId="0" applyNumberFormat="1" applyFont="1" applyFill="1" applyAlignment="1">
      <alignment horizontal="centerContinuous" vertical="center"/>
    </xf>
    <xf numFmtId="3" fontId="48" fillId="9" borderId="71" xfId="0" applyNumberFormat="1" applyFont="1" applyFill="1" applyBorder="1" applyAlignment="1">
      <alignment horizontal="centerContinuous" vertical="center"/>
    </xf>
    <xf numFmtId="3" fontId="48" fillId="10" borderId="100" xfId="0" applyNumberFormat="1" applyFont="1" applyFill="1" applyBorder="1" applyAlignment="1">
      <alignment horizontal="centerContinuous" vertical="center"/>
    </xf>
    <xf numFmtId="3" fontId="48" fillId="10" borderId="101" xfId="0" applyNumberFormat="1" applyFont="1" applyFill="1" applyBorder="1" applyAlignment="1">
      <alignment horizontal="centerContinuous" vertical="center"/>
    </xf>
    <xf numFmtId="3" fontId="6" fillId="0" borderId="98" xfId="0" applyNumberFormat="1" applyFont="1" applyBorder="1" applyAlignment="1">
      <alignment horizontal="center" wrapText="1"/>
    </xf>
    <xf numFmtId="3" fontId="6" fillId="19" borderId="105" xfId="0" applyNumberFormat="1" applyFont="1" applyFill="1" applyBorder="1" applyAlignment="1">
      <alignment horizontal="right" vertical="center" indent="1"/>
    </xf>
    <xf numFmtId="3" fontId="6" fillId="19" borderId="106" xfId="0" applyNumberFormat="1" applyFont="1" applyFill="1" applyBorder="1" applyAlignment="1">
      <alignment horizontal="right" vertical="center" indent="1"/>
    </xf>
    <xf numFmtId="3" fontId="39" fillId="11" borderId="103" xfId="0" applyNumberFormat="1" applyFont="1" applyFill="1" applyBorder="1" applyAlignment="1">
      <alignment horizontal="center" wrapText="1"/>
    </xf>
    <xf numFmtId="3" fontId="39" fillId="11" borderId="104" xfId="0" applyNumberFormat="1" applyFont="1" applyFill="1" applyBorder="1" applyAlignment="1">
      <alignment horizontal="center" wrapText="1"/>
    </xf>
    <xf numFmtId="3" fontId="39" fillId="9" borderId="103" xfId="0" applyNumberFormat="1" applyFont="1" applyFill="1" applyBorder="1" applyAlignment="1">
      <alignment horizontal="center" wrapText="1"/>
    </xf>
    <xf numFmtId="3" fontId="39" fillId="9" borderId="104" xfId="0" applyNumberFormat="1" applyFont="1" applyFill="1" applyBorder="1" applyAlignment="1">
      <alignment horizontal="center" wrapText="1"/>
    </xf>
    <xf numFmtId="3" fontId="6" fillId="20" borderId="105" xfId="0" applyNumberFormat="1" applyFont="1" applyFill="1" applyBorder="1" applyAlignment="1">
      <alignment horizontal="right" vertical="center" indent="1"/>
    </xf>
    <xf numFmtId="3" fontId="6" fillId="20" borderId="106" xfId="0" applyNumberFormat="1" applyFont="1" applyFill="1" applyBorder="1" applyAlignment="1">
      <alignment horizontal="right" vertical="center" indent="1"/>
    </xf>
    <xf numFmtId="3" fontId="39" fillId="10" borderId="103" xfId="0" applyNumberFormat="1" applyFont="1" applyFill="1" applyBorder="1" applyAlignment="1">
      <alignment horizontal="center" wrapText="1"/>
    </xf>
    <xf numFmtId="3" fontId="39" fillId="10" borderId="104" xfId="0" applyNumberFormat="1" applyFont="1" applyFill="1" applyBorder="1" applyAlignment="1">
      <alignment horizontal="center" wrapText="1"/>
    </xf>
    <xf numFmtId="3" fontId="26" fillId="21" borderId="107" xfId="0" applyNumberFormat="1" applyFont="1" applyFill="1" applyBorder="1" applyAlignment="1">
      <alignment horizontal="center" vertical="center" wrapText="1"/>
    </xf>
    <xf numFmtId="3" fontId="21" fillId="21" borderId="108" xfId="0" applyNumberFormat="1" applyFont="1" applyFill="1" applyBorder="1" applyAlignment="1">
      <alignment horizontal="right" vertical="center" indent="1"/>
    </xf>
    <xf numFmtId="171" fontId="42" fillId="0" borderId="78" xfId="0" applyNumberFormat="1" applyFont="1" applyBorder="1" applyAlignment="1">
      <alignment horizontal="center"/>
    </xf>
    <xf numFmtId="171" fontId="42" fillId="0" borderId="76" xfId="0" applyNumberFormat="1" applyFont="1" applyBorder="1" applyAlignment="1">
      <alignment horizontal="center"/>
    </xf>
    <xf numFmtId="0" fontId="49" fillId="10" borderId="23" xfId="0" applyFont="1" applyFill="1" applyBorder="1" applyAlignment="1">
      <alignment horizontal="center" vertical="center" wrapText="1"/>
    </xf>
    <xf numFmtId="0" fontId="49" fillId="10" borderId="24" xfId="0" applyFont="1" applyFill="1" applyBorder="1" applyAlignment="1">
      <alignment horizontal="center" vertical="center" wrapText="1"/>
    </xf>
    <xf numFmtId="0" fontId="49" fillId="8" borderId="22" xfId="0" applyFont="1" applyFill="1" applyBorder="1" applyAlignment="1">
      <alignment horizontal="center" vertical="center" wrapText="1"/>
    </xf>
    <xf numFmtId="41" fontId="49" fillId="8" borderId="23" xfId="0" applyNumberFormat="1" applyFont="1" applyFill="1" applyBorder="1" applyAlignment="1">
      <alignment horizontal="center" vertical="center" wrapText="1"/>
    </xf>
    <xf numFmtId="41" fontId="49" fillId="8" borderId="24" xfId="0" applyNumberFormat="1" applyFont="1" applyFill="1" applyBorder="1" applyAlignment="1">
      <alignment horizontal="center" vertical="center" wrapText="1"/>
    </xf>
    <xf numFmtId="0" fontId="39" fillId="10" borderId="87" xfId="0" applyFont="1" applyFill="1" applyBorder="1" applyAlignment="1">
      <alignment horizontal="center" vertical="center"/>
    </xf>
    <xf numFmtId="0" fontId="50" fillId="10" borderId="85" xfId="0" applyFont="1" applyFill="1" applyBorder="1" applyAlignment="1">
      <alignment horizontal="right" vertical="center"/>
    </xf>
    <xf numFmtId="3" fontId="41" fillId="0" borderId="0" xfId="0" applyNumberFormat="1" applyFont="1"/>
    <xf numFmtId="3" fontId="44" fillId="9" borderId="0" xfId="0" applyNumberFormat="1" applyFont="1" applyFill="1" applyAlignment="1">
      <alignment horizontal="right" vertical="center" wrapText="1"/>
    </xf>
    <xf numFmtId="171" fontId="42" fillId="0" borderId="109" xfId="0" applyNumberFormat="1" applyFont="1" applyBorder="1" applyAlignment="1">
      <alignment horizontal="center"/>
    </xf>
    <xf numFmtId="172" fontId="42" fillId="0" borderId="109" xfId="0" applyNumberFormat="1" applyFont="1" applyBorder="1" applyAlignment="1">
      <alignment horizontal="center"/>
    </xf>
    <xf numFmtId="14" fontId="42" fillId="0" borderId="110" xfId="0" applyNumberFormat="1" applyFont="1" applyBorder="1" applyAlignment="1">
      <alignment horizontal="right" indent="1"/>
    </xf>
    <xf numFmtId="0" fontId="52" fillId="0" borderId="0" xfId="1" applyFont="1" applyBorder="1" applyAlignment="1">
      <alignment horizontal="left" vertical="center"/>
    </xf>
    <xf numFmtId="3" fontId="53" fillId="0" borderId="0" xfId="0" applyNumberFormat="1" applyFont="1" applyAlignment="1">
      <alignment vertical="center"/>
    </xf>
    <xf numFmtId="0" fontId="51" fillId="0" borderId="59" xfId="0" applyFont="1" applyBorder="1" applyAlignment="1">
      <alignment readingOrder="2"/>
    </xf>
    <xf numFmtId="0" fontId="42" fillId="0" borderId="59" xfId="0" applyFont="1" applyBorder="1" applyAlignment="1">
      <alignment readingOrder="2"/>
    </xf>
    <xf numFmtId="0" fontId="42" fillId="0" borderId="111" xfId="0" applyFont="1" applyBorder="1" applyAlignment="1">
      <alignment readingOrder="2"/>
    </xf>
    <xf numFmtId="0" fontId="51" fillId="0" borderId="59" xfId="0" applyFont="1" applyBorder="1" applyAlignment="1">
      <alignment horizontal="right" readingOrder="2"/>
    </xf>
    <xf numFmtId="0" fontId="51" fillId="0" borderId="43" xfId="0" applyFont="1" applyBorder="1" applyAlignment="1">
      <alignment readingOrder="2"/>
    </xf>
    <xf numFmtId="0" fontId="42" fillId="0" borderId="37" xfId="0" applyFont="1" applyBorder="1" applyAlignment="1">
      <alignment horizontal="right" readingOrder="2"/>
    </xf>
    <xf numFmtId="0" fontId="42" fillId="0" borderId="79" xfId="0" applyFont="1" applyBorder="1" applyAlignment="1">
      <alignment horizontal="right"/>
    </xf>
    <xf numFmtId="0" fontId="42" fillId="0" borderId="112" xfId="0" applyFont="1" applyBorder="1" applyAlignment="1">
      <alignment horizontal="right"/>
    </xf>
    <xf numFmtId="1" fontId="33" fillId="0" borderId="67" xfId="0" applyNumberFormat="1" applyFont="1" applyBorder="1" applyAlignment="1">
      <alignment horizontal="center"/>
    </xf>
    <xf numFmtId="1" fontId="33" fillId="0" borderId="88" xfId="0" applyNumberFormat="1" applyFont="1" applyBorder="1" applyAlignment="1">
      <alignment horizontal="center"/>
    </xf>
    <xf numFmtId="3" fontId="33" fillId="0" borderId="67" xfId="0" applyNumberFormat="1" applyFont="1" applyBorder="1"/>
    <xf numFmtId="41" fontId="33" fillId="0" borderId="38" xfId="0" applyNumberFormat="1" applyFont="1" applyBorder="1" applyAlignment="1">
      <alignment horizontal="right" indent="1"/>
    </xf>
    <xf numFmtId="41" fontId="33" fillId="0" borderId="67" xfId="0" applyNumberFormat="1" applyFont="1" applyBorder="1" applyAlignment="1">
      <alignment horizontal="right" indent="1"/>
    </xf>
    <xf numFmtId="41" fontId="33" fillId="0" borderId="110" xfId="0" applyNumberFormat="1" applyFont="1" applyBorder="1" applyAlignment="1">
      <alignment horizontal="right" indent="1"/>
    </xf>
    <xf numFmtId="41" fontId="33" fillId="0" borderId="0" xfId="0" applyNumberFormat="1" applyFont="1"/>
    <xf numFmtId="0" fontId="51" fillId="0" borderId="39" xfId="0" applyFont="1" applyBorder="1" applyAlignment="1">
      <alignment readingOrder="2"/>
    </xf>
    <xf numFmtId="0" fontId="42" fillId="0" borderId="39" xfId="0" applyFont="1" applyBorder="1" applyAlignment="1">
      <alignment readingOrder="2"/>
    </xf>
    <xf numFmtId="41" fontId="33" fillId="0" borderId="38" xfId="0" applyNumberFormat="1" applyFont="1" applyBorder="1"/>
    <xf numFmtId="0" fontId="51" fillId="0" borderId="113" xfId="0" applyFont="1" applyBorder="1" applyAlignment="1">
      <alignment readingOrder="2"/>
    </xf>
    <xf numFmtId="0" fontId="51" fillId="0" borderId="114" xfId="0" applyFont="1" applyBorder="1" applyAlignment="1">
      <alignment readingOrder="2"/>
    </xf>
    <xf numFmtId="41" fontId="33" fillId="0" borderId="110" xfId="0" applyNumberFormat="1" applyFont="1" applyBorder="1"/>
    <xf numFmtId="0" fontId="42" fillId="0" borderId="114" xfId="0" applyFont="1" applyBorder="1" applyAlignment="1">
      <alignment readingOrder="2"/>
    </xf>
    <xf numFmtId="41" fontId="33" fillId="0" borderId="0" xfId="0" applyNumberFormat="1" applyFont="1" applyAlignment="1">
      <alignment horizontal="right" indent="1"/>
    </xf>
    <xf numFmtId="0" fontId="42" fillId="0" borderId="111" xfId="0" applyFont="1" applyBorder="1" applyAlignment="1">
      <alignment horizontal="center"/>
    </xf>
    <xf numFmtId="0" fontId="56" fillId="0" borderId="0" xfId="0" applyFont="1"/>
    <xf numFmtId="0" fontId="46" fillId="0" borderId="0" xfId="0" applyFont="1" applyAlignment="1">
      <alignment horizontal="center"/>
    </xf>
    <xf numFmtId="0" fontId="46" fillId="0" borderId="0" xfId="0" applyFont="1"/>
    <xf numFmtId="171" fontId="57" fillId="14" borderId="7" xfId="0" applyNumberFormat="1" applyFont="1" applyFill="1" applyBorder="1" applyAlignment="1">
      <alignment horizontal="center" vertical="center"/>
    </xf>
    <xf numFmtId="171" fontId="57" fillId="14" borderId="10" xfId="0" applyNumberFormat="1" applyFont="1" applyFill="1" applyBorder="1" applyAlignment="1">
      <alignment horizontal="center" vertical="center"/>
    </xf>
    <xf numFmtId="171" fontId="57" fillId="14" borderId="118" xfId="0" applyNumberFormat="1" applyFont="1" applyFill="1" applyBorder="1" applyAlignment="1">
      <alignment horizontal="center" vertical="center"/>
    </xf>
    <xf numFmtId="0" fontId="46" fillId="12" borderId="117" xfId="0" applyFont="1" applyFill="1" applyBorder="1" applyAlignment="1">
      <alignment horizontal="center"/>
    </xf>
    <xf numFmtId="1" fontId="55" fillId="22" borderId="117" xfId="0" applyNumberFormat="1" applyFont="1" applyFill="1" applyBorder="1" applyAlignment="1">
      <alignment horizontal="center" vertical="center"/>
    </xf>
    <xf numFmtId="1" fontId="55" fillId="12" borderId="117" xfId="0" applyNumberFormat="1" applyFont="1" applyFill="1" applyBorder="1" applyAlignment="1">
      <alignment horizontal="center" vertical="center"/>
    </xf>
    <xf numFmtId="10" fontId="41" fillId="0" borderId="0" xfId="10" applyNumberFormat="1" applyFont="1" applyFill="1"/>
    <xf numFmtId="0" fontId="57" fillId="14" borderId="116" xfId="0" applyFont="1" applyFill="1" applyBorder="1" applyAlignment="1">
      <alignment horizontal="center" vertical="center"/>
    </xf>
    <xf numFmtId="0" fontId="56" fillId="0" borderId="115" xfId="0" applyFont="1" applyBorder="1" applyAlignment="1">
      <alignment horizontal="center" vertical="center"/>
    </xf>
    <xf numFmtId="10" fontId="41" fillId="0" borderId="0" xfId="0" applyNumberFormat="1" applyFont="1"/>
    <xf numFmtId="14" fontId="58" fillId="23" borderId="38" xfId="0" applyNumberFormat="1" applyFont="1" applyFill="1" applyBorder="1" applyAlignment="1">
      <alignment horizontal="right" indent="1"/>
    </xf>
    <xf numFmtId="0" fontId="58" fillId="23" borderId="59" xfId="0" applyFont="1" applyFill="1" applyBorder="1" applyAlignment="1">
      <alignment readingOrder="2"/>
    </xf>
    <xf numFmtId="0" fontId="58" fillId="23" borderId="114" xfId="0" applyFont="1" applyFill="1" applyBorder="1" applyAlignment="1">
      <alignment readingOrder="2"/>
    </xf>
    <xf numFmtId="41" fontId="58" fillId="23" borderId="38" xfId="0" applyNumberFormat="1" applyFont="1" applyFill="1" applyBorder="1" applyAlignment="1">
      <alignment horizontal="right" indent="1"/>
    </xf>
    <xf numFmtId="41" fontId="58" fillId="23" borderId="110" xfId="0" applyNumberFormat="1" applyFont="1" applyFill="1" applyBorder="1"/>
    <xf numFmtId="0" fontId="58" fillId="23" borderId="109" xfId="0" applyFont="1" applyFill="1" applyBorder="1" applyAlignment="1">
      <alignment readingOrder="2"/>
    </xf>
    <xf numFmtId="171" fontId="51" fillId="0" borderId="76" xfId="0" applyNumberFormat="1" applyFont="1" applyBorder="1" applyAlignment="1">
      <alignment horizontal="center"/>
    </xf>
    <xf numFmtId="172" fontId="51" fillId="0" borderId="76" xfId="0" applyNumberFormat="1" applyFont="1" applyBorder="1" applyAlignment="1">
      <alignment horizontal="center"/>
    </xf>
    <xf numFmtId="172" fontId="45" fillId="0" borderId="76" xfId="0" applyNumberFormat="1" applyFont="1" applyBorder="1" applyAlignment="1">
      <alignment horizontal="center"/>
    </xf>
    <xf numFmtId="0" fontId="42" fillId="0" borderId="76" xfId="0" applyFont="1" applyBorder="1" applyAlignment="1">
      <alignment horizontal="center"/>
    </xf>
    <xf numFmtId="172" fontId="42" fillId="0" borderId="111" xfId="0" applyNumberFormat="1" applyFont="1" applyBorder="1" applyAlignment="1">
      <alignment horizontal="center"/>
    </xf>
    <xf numFmtId="0" fontId="42" fillId="0" borderId="78" xfId="0" applyFont="1" applyBorder="1" applyAlignment="1">
      <alignment horizontal="center"/>
    </xf>
    <xf numFmtId="14" fontId="51" fillId="0" borderId="67" xfId="0" applyNumberFormat="1" applyFont="1" applyBorder="1" applyAlignment="1">
      <alignment horizontal="right" indent="1"/>
    </xf>
    <xf numFmtId="0" fontId="51" fillId="0" borderId="111" xfId="0" applyFont="1" applyBorder="1" applyAlignment="1">
      <alignment readingOrder="2"/>
    </xf>
    <xf numFmtId="0" fontId="51" fillId="0" borderId="38" xfId="0" applyFont="1" applyBorder="1" applyAlignment="1">
      <alignment readingOrder="2"/>
    </xf>
    <xf numFmtId="0" fontId="41" fillId="0" borderId="79" xfId="0" applyFont="1" applyBorder="1" applyAlignment="1">
      <alignment horizontal="right"/>
    </xf>
    <xf numFmtId="166" fontId="41" fillId="0" borderId="79" xfId="0" applyNumberFormat="1" applyFont="1" applyBorder="1" applyAlignment="1">
      <alignment horizontal="right"/>
    </xf>
    <xf numFmtId="166" fontId="42" fillId="0" borderId="112" xfId="0" applyNumberFormat="1" applyFont="1" applyBorder="1"/>
    <xf numFmtId="3" fontId="33" fillId="0" borderId="38" xfId="0" applyNumberFormat="1" applyFont="1" applyBorder="1"/>
    <xf numFmtId="3" fontId="33" fillId="0" borderId="0" xfId="0" applyNumberFormat="1" applyFont="1"/>
    <xf numFmtId="41" fontId="33" fillId="0" borderId="67" xfId="0" applyNumberFormat="1" applyFont="1" applyBorder="1"/>
    <xf numFmtId="0" fontId="59" fillId="10" borderId="3" xfId="0" applyFont="1" applyFill="1" applyBorder="1" applyAlignment="1">
      <alignment vertical="center"/>
    </xf>
    <xf numFmtId="0" fontId="59" fillId="10" borderId="85" xfId="0" applyFont="1" applyFill="1" applyBorder="1" applyAlignment="1">
      <alignment vertical="center"/>
    </xf>
    <xf numFmtId="173" fontId="0" fillId="0" borderId="0" xfId="0" applyNumberFormat="1"/>
    <xf numFmtId="41" fontId="54" fillId="0" borderId="67" xfId="0" applyNumberFormat="1" applyFont="1" applyBorder="1" applyAlignment="1">
      <alignment horizontal="right" indent="1"/>
    </xf>
    <xf numFmtId="41" fontId="54" fillId="0" borderId="38" xfId="0" applyNumberFormat="1" applyFont="1" applyBorder="1" applyAlignment="1">
      <alignment horizontal="right" indent="1"/>
    </xf>
    <xf numFmtId="1" fontId="56" fillId="22" borderId="121" xfId="0" applyNumberFormat="1" applyFont="1" applyFill="1" applyBorder="1" applyAlignment="1">
      <alignment horizontal="center"/>
    </xf>
    <xf numFmtId="3" fontId="41" fillId="22" borderId="120" xfId="10" applyNumberFormat="1" applyFont="1" applyFill="1" applyBorder="1"/>
    <xf numFmtId="1" fontId="56" fillId="12" borderId="121" xfId="0" applyNumberFormat="1" applyFont="1" applyFill="1" applyBorder="1" applyAlignment="1">
      <alignment horizontal="center"/>
    </xf>
    <xf numFmtId="3" fontId="41" fillId="12" borderId="120" xfId="0" applyNumberFormat="1" applyFont="1" applyFill="1" applyBorder="1"/>
    <xf numFmtId="3" fontId="41" fillId="12" borderId="120" xfId="10" applyNumberFormat="1" applyFont="1" applyFill="1" applyBorder="1"/>
    <xf numFmtId="0" fontId="59" fillId="12" borderId="122" xfId="0" applyFont="1" applyFill="1" applyBorder="1" applyAlignment="1">
      <alignment horizontal="center" vertical="center"/>
    </xf>
    <xf numFmtId="3" fontId="41" fillId="24" borderId="120" xfId="0" applyNumberFormat="1" applyFont="1" applyFill="1" applyBorder="1"/>
    <xf numFmtId="3" fontId="41" fillId="25" borderId="120" xfId="0" applyNumberFormat="1" applyFont="1" applyFill="1" applyBorder="1"/>
    <xf numFmtId="1" fontId="56" fillId="22" borderId="115" xfId="0" applyNumberFormat="1" applyFont="1" applyFill="1" applyBorder="1" applyAlignment="1">
      <alignment horizontal="center"/>
    </xf>
    <xf numFmtId="3" fontId="41" fillId="25" borderId="119" xfId="0" applyNumberFormat="1" applyFont="1" applyFill="1" applyBorder="1"/>
    <xf numFmtId="3" fontId="41" fillId="22" borderId="119" xfId="0" applyNumberFormat="1" applyFont="1" applyFill="1" applyBorder="1"/>
    <xf numFmtId="0" fontId="57" fillId="27" borderId="126" xfId="0" applyFont="1" applyFill="1" applyBorder="1" applyAlignment="1">
      <alignment horizontal="center"/>
    </xf>
    <xf numFmtId="0" fontId="57" fillId="26" borderId="126" xfId="0" applyFont="1" applyFill="1" applyBorder="1" applyAlignment="1">
      <alignment horizontal="center"/>
    </xf>
    <xf numFmtId="2" fontId="57" fillId="26" borderId="126" xfId="0" applyNumberFormat="1" applyFont="1" applyFill="1" applyBorder="1" applyAlignment="1">
      <alignment horizontal="center"/>
    </xf>
    <xf numFmtId="2" fontId="57" fillId="27" borderId="126" xfId="0" applyNumberFormat="1" applyFont="1" applyFill="1" applyBorder="1" applyAlignment="1">
      <alignment horizontal="center"/>
    </xf>
    <xf numFmtId="3" fontId="60" fillId="26" borderId="123" xfId="0" applyNumberFormat="1" applyFont="1" applyFill="1" applyBorder="1"/>
    <xf numFmtId="3" fontId="60" fillId="27" borderId="123" xfId="0" applyNumberFormat="1" applyFont="1" applyFill="1" applyBorder="1"/>
    <xf numFmtId="0" fontId="48" fillId="0" borderId="0" xfId="0" applyFont="1"/>
    <xf numFmtId="172" fontId="42" fillId="4" borderId="76" xfId="0" applyNumberFormat="1" applyFont="1" applyFill="1" applyBorder="1" applyAlignment="1">
      <alignment horizontal="center"/>
    </xf>
    <xf numFmtId="171" fontId="61" fillId="0" borderId="78" xfId="0" applyNumberFormat="1" applyFont="1" applyBorder="1" applyAlignment="1">
      <alignment horizontal="center"/>
    </xf>
    <xf numFmtId="172" fontId="61" fillId="0" borderId="78" xfId="0" applyNumberFormat="1" applyFont="1" applyBorder="1" applyAlignment="1">
      <alignment horizontal="center"/>
    </xf>
    <xf numFmtId="14" fontId="61" fillId="0" borderId="38" xfId="0" applyNumberFormat="1" applyFont="1" applyBorder="1" applyAlignment="1">
      <alignment horizontal="right" indent="1"/>
    </xf>
    <xf numFmtId="0" fontId="61" fillId="0" borderId="59" xfId="0" applyFont="1" applyBorder="1" applyAlignment="1">
      <alignment readingOrder="2"/>
    </xf>
    <xf numFmtId="0" fontId="61" fillId="0" borderId="43" xfId="0" applyFont="1" applyBorder="1" applyAlignment="1">
      <alignment readingOrder="2"/>
    </xf>
    <xf numFmtId="0" fontId="61" fillId="0" borderId="37" xfId="0" applyFont="1" applyBorder="1" applyAlignment="1">
      <alignment horizontal="right"/>
    </xf>
    <xf numFmtId="1" fontId="54" fillId="0" borderId="67" xfId="0" applyNumberFormat="1" applyFont="1" applyBorder="1" applyAlignment="1">
      <alignment horizontal="center"/>
    </xf>
    <xf numFmtId="41" fontId="54" fillId="0" borderId="0" xfId="0" applyNumberFormat="1" applyFont="1"/>
    <xf numFmtId="0" fontId="61" fillId="0" borderId="114" xfId="0" applyFont="1" applyBorder="1" applyAlignment="1">
      <alignment readingOrder="2"/>
    </xf>
    <xf numFmtId="41" fontId="54" fillId="0" borderId="110" xfId="0" applyNumberFormat="1" applyFont="1" applyBorder="1"/>
    <xf numFmtId="43" fontId="0" fillId="0" borderId="0" xfId="11" applyFont="1"/>
    <xf numFmtId="9" fontId="0" fillId="0" borderId="90" xfId="10" applyFont="1" applyBorder="1" applyAlignment="1">
      <alignment vertical="center"/>
    </xf>
    <xf numFmtId="9" fontId="0" fillId="0" borderId="0" xfId="10" applyFont="1"/>
    <xf numFmtId="9" fontId="37" fillId="0" borderId="96" xfId="10" applyFont="1" applyFill="1" applyBorder="1" applyAlignment="1">
      <alignment horizontal="center" vertical="center" wrapText="1"/>
    </xf>
    <xf numFmtId="0" fontId="63" fillId="0" borderId="0" xfId="0" applyFont="1" applyAlignment="1">
      <alignment horizontal="left"/>
    </xf>
    <xf numFmtId="0" fontId="63" fillId="0" borderId="0" xfId="0" applyFont="1" applyAlignment="1">
      <alignment horizontal="center"/>
    </xf>
    <xf numFmtId="0" fontId="63" fillId="0" borderId="0" xfId="0" applyFont="1"/>
    <xf numFmtId="174" fontId="64" fillId="22" borderId="117" xfId="11" applyNumberFormat="1" applyFont="1" applyFill="1" applyBorder="1" applyAlignment="1">
      <alignment horizontal="center" readingOrder="2"/>
    </xf>
    <xf numFmtId="174" fontId="64" fillId="28" borderId="117" xfId="11" applyNumberFormat="1" applyFont="1" applyFill="1" applyBorder="1" applyAlignment="1">
      <alignment horizontal="center" readingOrder="2"/>
    </xf>
    <xf numFmtId="174" fontId="63" fillId="22" borderId="117" xfId="11" applyNumberFormat="1" applyFont="1" applyFill="1" applyBorder="1" applyAlignment="1">
      <alignment horizontal="center" readingOrder="2"/>
    </xf>
    <xf numFmtId="0" fontId="65" fillId="11" borderId="0" xfId="0" applyFont="1" applyFill="1" applyAlignment="1">
      <alignment horizontal="center"/>
    </xf>
    <xf numFmtId="0" fontId="66" fillId="0" borderId="0" xfId="0" applyFont="1"/>
    <xf numFmtId="171" fontId="42" fillId="4" borderId="78" xfId="0" applyNumberFormat="1" applyFont="1" applyFill="1" applyBorder="1" applyAlignment="1">
      <alignment horizontal="center"/>
    </xf>
    <xf numFmtId="172" fontId="42" fillId="4" borderId="78" xfId="0" applyNumberFormat="1" applyFont="1" applyFill="1" applyBorder="1" applyAlignment="1">
      <alignment horizontal="center"/>
    </xf>
    <xf numFmtId="14" fontId="42" fillId="4" borderId="38" xfId="0" applyNumberFormat="1" applyFont="1" applyFill="1" applyBorder="1" applyAlignment="1">
      <alignment horizontal="right" indent="1"/>
    </xf>
    <xf numFmtId="0" fontId="42" fillId="4" borderId="59" xfId="0" applyFont="1" applyFill="1" applyBorder="1" applyAlignment="1">
      <alignment readingOrder="2"/>
    </xf>
    <xf numFmtId="0" fontId="51" fillId="4" borderId="43" xfId="0" applyFont="1" applyFill="1" applyBorder="1" applyAlignment="1">
      <alignment readingOrder="2"/>
    </xf>
    <xf numFmtId="0" fontId="42" fillId="4" borderId="37" xfId="0" applyFont="1" applyFill="1" applyBorder="1" applyAlignment="1">
      <alignment horizontal="right"/>
    </xf>
    <xf numFmtId="1" fontId="33" fillId="4" borderId="67" xfId="0" applyNumberFormat="1" applyFont="1" applyFill="1" applyBorder="1" applyAlignment="1">
      <alignment horizontal="center"/>
    </xf>
    <xf numFmtId="41" fontId="33" fillId="4" borderId="38" xfId="0" applyNumberFormat="1" applyFont="1" applyFill="1" applyBorder="1" applyAlignment="1">
      <alignment horizontal="right" indent="1"/>
    </xf>
    <xf numFmtId="41" fontId="33" fillId="4" borderId="67" xfId="0" applyNumberFormat="1" applyFont="1" applyFill="1" applyBorder="1" applyAlignment="1">
      <alignment horizontal="right" indent="1"/>
    </xf>
    <xf numFmtId="41" fontId="33" fillId="4" borderId="0" xfId="0" applyNumberFormat="1" applyFont="1" applyFill="1"/>
    <xf numFmtId="0" fontId="51" fillId="4" borderId="114" xfId="0" applyFont="1" applyFill="1" applyBorder="1" applyAlignment="1">
      <alignment readingOrder="2"/>
    </xf>
    <xf numFmtId="41" fontId="33" fillId="4" borderId="110" xfId="0" applyNumberFormat="1" applyFont="1" applyFill="1" applyBorder="1"/>
    <xf numFmtId="0" fontId="42" fillId="4" borderId="114" xfId="0" applyFont="1" applyFill="1" applyBorder="1" applyAlignment="1">
      <alignment readingOrder="2"/>
    </xf>
    <xf numFmtId="171" fontId="58" fillId="23" borderId="78" xfId="0" applyNumberFormat="1" applyFont="1" applyFill="1" applyBorder="1" applyAlignment="1">
      <alignment horizontal="center"/>
    </xf>
    <xf numFmtId="172" fontId="58" fillId="23" borderId="78" xfId="0" applyNumberFormat="1" applyFont="1" applyFill="1" applyBorder="1" applyAlignment="1">
      <alignment horizontal="center"/>
    </xf>
    <xf numFmtId="0" fontId="58" fillId="23" borderId="43" xfId="0" applyFont="1" applyFill="1" applyBorder="1" applyAlignment="1">
      <alignment readingOrder="2"/>
    </xf>
    <xf numFmtId="0" fontId="58" fillId="23" borderId="37" xfId="0" applyFont="1" applyFill="1" applyBorder="1" applyAlignment="1">
      <alignment horizontal="right"/>
    </xf>
    <xf numFmtId="41" fontId="58" fillId="23" borderId="114" xfId="0" applyNumberFormat="1" applyFont="1" applyFill="1" applyBorder="1" applyAlignment="1">
      <alignment readingOrder="2"/>
    </xf>
    <xf numFmtId="9" fontId="67" fillId="0" borderId="0" xfId="10" applyFont="1"/>
    <xf numFmtId="171" fontId="42" fillId="29" borderId="78" xfId="0" applyNumberFormat="1" applyFont="1" applyFill="1" applyBorder="1" applyAlignment="1">
      <alignment horizontal="center"/>
    </xf>
    <xf numFmtId="172" fontId="42" fillId="29" borderId="78" xfId="0" applyNumberFormat="1" applyFont="1" applyFill="1" applyBorder="1" applyAlignment="1">
      <alignment horizontal="center"/>
    </xf>
    <xf numFmtId="14" fontId="42" fillId="29" borderId="38" xfId="0" applyNumberFormat="1" applyFont="1" applyFill="1" applyBorder="1" applyAlignment="1">
      <alignment horizontal="right" indent="1"/>
    </xf>
    <xf numFmtId="0" fontId="42" fillId="29" borderId="59" xfId="0" applyFont="1" applyFill="1" applyBorder="1" applyAlignment="1">
      <alignment readingOrder="2"/>
    </xf>
    <xf numFmtId="0" fontId="51" fillId="29" borderId="43" xfId="0" applyFont="1" applyFill="1" applyBorder="1" applyAlignment="1">
      <alignment readingOrder="2"/>
    </xf>
    <xf numFmtId="0" fontId="42" fillId="29" borderId="37" xfId="0" applyFont="1" applyFill="1" applyBorder="1" applyAlignment="1">
      <alignment horizontal="right"/>
    </xf>
    <xf numFmtId="1" fontId="33" fillId="29" borderId="67" xfId="0" applyNumberFormat="1" applyFont="1" applyFill="1" applyBorder="1" applyAlignment="1">
      <alignment horizontal="center"/>
    </xf>
    <xf numFmtId="41" fontId="33" fillId="29" borderId="38" xfId="0" applyNumberFormat="1" applyFont="1" applyFill="1" applyBorder="1" applyAlignment="1">
      <alignment horizontal="right" indent="1"/>
    </xf>
    <xf numFmtId="41" fontId="33" fillId="29" borderId="67" xfId="0" applyNumberFormat="1" applyFont="1" applyFill="1" applyBorder="1" applyAlignment="1">
      <alignment horizontal="right" indent="1"/>
    </xf>
    <xf numFmtId="41" fontId="33" fillId="29" borderId="0" xfId="0" applyNumberFormat="1" applyFont="1" applyFill="1"/>
    <xf numFmtId="0" fontId="51" fillId="29" borderId="114" xfId="0" applyFont="1" applyFill="1" applyBorder="1" applyAlignment="1">
      <alignment readingOrder="2"/>
    </xf>
    <xf numFmtId="41" fontId="33" fillId="29" borderId="110" xfId="0" applyNumberFormat="1" applyFont="1" applyFill="1" applyBorder="1"/>
    <xf numFmtId="0" fontId="42" fillId="29" borderId="114" xfId="0" applyFont="1" applyFill="1" applyBorder="1" applyAlignment="1">
      <alignment readingOrder="2"/>
    </xf>
    <xf numFmtId="41" fontId="68" fillId="0" borderId="67" xfId="0" applyNumberFormat="1" applyFont="1" applyBorder="1" applyAlignment="1">
      <alignment horizontal="right" indent="1"/>
    </xf>
    <xf numFmtId="41" fontId="68" fillId="0" borderId="0" xfId="0" applyNumberFormat="1" applyFont="1"/>
    <xf numFmtId="0" fontId="24" fillId="6" borderId="3" xfId="0" applyFont="1" applyFill="1" applyBorder="1" applyAlignment="1">
      <alignment horizontal="center" vertical="center"/>
    </xf>
    <xf numFmtId="0" fontId="0" fillId="0" borderId="5" xfId="0" applyBorder="1" applyAlignment="1">
      <alignment horizontal="center" vertical="center"/>
    </xf>
    <xf numFmtId="0" fontId="24" fillId="10" borderId="12" xfId="0" applyFont="1" applyFill="1" applyBorder="1" applyAlignment="1">
      <alignment horizontal="center" vertical="center"/>
    </xf>
    <xf numFmtId="0" fontId="0" fillId="10" borderId="13" xfId="0" applyFill="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39" fillId="10" borderId="86" xfId="0" applyFont="1" applyFill="1" applyBorder="1" applyAlignment="1">
      <alignment horizontal="center" vertical="center"/>
    </xf>
    <xf numFmtId="0" fontId="39" fillId="10" borderId="84" xfId="0" applyFont="1" applyFill="1" applyBorder="1" applyAlignment="1">
      <alignment horizontal="center" vertical="center"/>
    </xf>
    <xf numFmtId="0" fontId="39" fillId="10" borderId="87" xfId="0" applyFont="1" applyFill="1" applyBorder="1" applyAlignment="1">
      <alignment horizontal="center" vertical="center"/>
    </xf>
    <xf numFmtId="2" fontId="57" fillId="27" borderId="125" xfId="0" applyNumberFormat="1" applyFont="1" applyFill="1" applyBorder="1" applyAlignment="1">
      <alignment horizontal="center"/>
    </xf>
    <xf numFmtId="2" fontId="57" fillId="27" borderId="127" xfId="0" applyNumberFormat="1" applyFont="1" applyFill="1" applyBorder="1" applyAlignment="1">
      <alignment horizontal="center"/>
    </xf>
    <xf numFmtId="2" fontId="57" fillId="26" borderId="124" xfId="0" applyNumberFormat="1" applyFont="1" applyFill="1" applyBorder="1" applyAlignment="1">
      <alignment horizontal="center"/>
    </xf>
    <xf numFmtId="2" fontId="57" fillId="26" borderId="125" xfId="0" applyNumberFormat="1" applyFont="1" applyFill="1" applyBorder="1" applyAlignment="1">
      <alignment horizontal="center"/>
    </xf>
    <xf numFmtId="0" fontId="0" fillId="0" borderId="0" xfId="0" applyAlignment="1">
      <alignment horizontal="center"/>
    </xf>
    <xf numFmtId="0" fontId="38" fillId="0" borderId="68" xfId="0" applyFont="1" applyBorder="1" applyAlignment="1">
      <alignment horizontal="center" vertical="center" wrapText="1"/>
    </xf>
  </cellXfs>
  <cellStyles count="12">
    <cellStyle name="Accent1" xfId="5" builtinId="29"/>
    <cellStyle name="Comma" xfId="11" builtinId="3"/>
    <cellStyle name="Comma 2" xfId="9" xr:uid="{9685E446-8826-4CF4-9C99-8443BCD297FA}"/>
    <cellStyle name="Heading 2" xfId="2" builtinId="17"/>
    <cellStyle name="Heading 4" xfId="3" builtinId="19"/>
    <cellStyle name="Hyperlink" xfId="6" builtinId="8"/>
    <cellStyle name="Hyperlink 2" xfId="8" xr:uid="{EE7BBC12-6009-4CDB-BA5E-0062E0A73B1B}"/>
    <cellStyle name="Neutral" xfId="4" builtinId="28"/>
    <cellStyle name="Normal" xfId="0" builtinId="0"/>
    <cellStyle name="Normal 2" xfId="7" xr:uid="{ED26DD46-2907-43D3-B4C9-44DAE751D2D1}"/>
    <cellStyle name="Percent" xfId="10" builtinId="5"/>
    <cellStyle name="Title" xfId="1" builtinId="15"/>
  </cellStyles>
  <dxfs count="121">
    <dxf>
      <font>
        <b val="0"/>
        <i val="0"/>
        <strike val="0"/>
        <condense val="0"/>
        <extend val="0"/>
        <outline val="0"/>
        <shadow val="0"/>
        <u val="none"/>
        <vertAlign val="baseline"/>
        <sz val="10"/>
        <color theme="0"/>
        <name val="B Nazanin"/>
        <charset val="178"/>
        <scheme val="none"/>
      </font>
      <fill>
        <patternFill patternType="solid">
          <fgColor indexed="64"/>
          <bgColor theme="9"/>
        </patternFill>
      </fill>
      <alignment horizontal="general" vertical="bottom" textRotation="0" wrapText="0" indent="0" justifyLastLine="0" shrinkToFit="0" readingOrder="2"/>
      <border diagonalUp="0" diagonalDown="0" outline="0">
        <left/>
        <right style="thin">
          <color theme="0" tint="-0.24994659260841701"/>
        </right>
        <top style="thin">
          <color theme="0" tint="-0.24994659260841701"/>
        </top>
        <bottom/>
      </border>
    </dxf>
    <dxf>
      <font>
        <b val="0"/>
        <i val="0"/>
        <strike val="0"/>
        <condense val="0"/>
        <extend val="0"/>
        <outline val="0"/>
        <shadow val="0"/>
        <u val="none"/>
        <vertAlign val="baseline"/>
        <sz val="10"/>
        <color theme="0"/>
        <name val="B Nazanin"/>
        <charset val="178"/>
        <scheme val="none"/>
      </font>
      <fill>
        <patternFill patternType="solid">
          <fgColor indexed="64"/>
          <bgColor theme="9"/>
        </patternFill>
      </fill>
      <alignment horizontal="general" vertical="bottom" textRotation="0" wrapText="0" indent="0" justifyLastLine="0" shrinkToFit="0" readingOrder="2"/>
      <border diagonalUp="0" diagonalDown="0" outline="0">
        <left style="thin">
          <color theme="0" tint="-0.24994659260841701"/>
        </left>
        <right/>
        <top style="thin">
          <color theme="0" tint="-0.24994659260841701"/>
        </top>
        <bottom/>
      </border>
    </dxf>
    <dxf>
      <font>
        <b val="0"/>
        <i val="0"/>
        <strike val="0"/>
        <condense val="0"/>
        <extend val="0"/>
        <outline val="0"/>
        <shadow val="0"/>
        <u val="none"/>
        <vertAlign val="baseline"/>
        <sz val="10"/>
        <color theme="0"/>
        <name val="B Nazanin"/>
        <charset val="178"/>
        <scheme val="none"/>
      </font>
      <numFmt numFmtId="33" formatCode="_(* #,##0_);_(* \(#,##0\);_(* &quot;-&quot;_);_(@_)"/>
      <fill>
        <patternFill patternType="solid">
          <fgColor indexed="64"/>
          <bgColor theme="9"/>
        </patternFill>
      </fill>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10"/>
        <color theme="0"/>
        <name val="B Nazanin"/>
        <charset val="178"/>
        <scheme val="none"/>
      </font>
      <fill>
        <patternFill patternType="solid">
          <fgColor indexed="64"/>
          <bgColor theme="9"/>
        </patternFill>
      </fill>
      <alignment horizontal="general" vertical="bottom" textRotation="0" wrapText="0" indent="0" justifyLastLine="0" shrinkToFit="0" readingOrder="2"/>
      <border diagonalUp="0" diagonalDown="0" outline="0">
        <left style="thin">
          <color theme="0" tint="-0.24994659260841701"/>
        </left>
        <right/>
        <top style="thin">
          <color theme="0" tint="-0.24994659260841701"/>
        </top>
        <bottom/>
      </border>
    </dxf>
    <dxf>
      <font>
        <b val="0"/>
        <i val="0"/>
        <strike val="0"/>
        <condense val="0"/>
        <extend val="0"/>
        <outline val="0"/>
        <shadow val="0"/>
        <u val="none"/>
        <vertAlign val="baseline"/>
        <sz val="10"/>
        <color theme="0"/>
        <name val="B Nazanin"/>
        <charset val="178"/>
        <scheme val="none"/>
      </font>
      <numFmt numFmtId="33" formatCode="_(* #,##0_);_(* \(#,##0\);_(* &quot;-&quot;_);_(@_)"/>
      <fill>
        <patternFill patternType="solid">
          <fgColor indexed="64"/>
          <bgColor theme="9"/>
        </patternFill>
      </fill>
      <alignment horizontal="general" vertical="bottom" textRotation="0" wrapText="0" indent="0" justifyLastLine="0" shrinkToFit="0" readingOrder="2"/>
      <border diagonalUp="0" diagonalDown="0" outline="0">
        <left style="thin">
          <color theme="0" tint="-0.24994659260841701"/>
        </left>
        <right/>
        <top style="thin">
          <color theme="0" tint="-0.24994659260841701"/>
        </top>
        <bottom/>
      </border>
    </dxf>
    <dxf>
      <font>
        <b val="0"/>
        <i val="0"/>
        <strike val="0"/>
        <condense val="0"/>
        <extend val="0"/>
        <outline val="0"/>
        <shadow val="0"/>
        <u val="none"/>
        <vertAlign val="baseline"/>
        <sz val="10"/>
        <color theme="0"/>
        <name val="B Nazanin"/>
        <charset val="178"/>
        <scheme val="none"/>
      </font>
      <numFmt numFmtId="33" formatCode="_(* #,##0_);_(* \(#,##0\);_(* &quot;-&quot;_);_(@_)"/>
      <fill>
        <patternFill patternType="solid">
          <fgColor indexed="64"/>
          <bgColor theme="9"/>
        </patternFill>
      </fill>
      <border diagonalUp="0" diagonalDown="0" outline="0">
        <left style="thin">
          <color theme="0" tint="-0.24994659260841701"/>
        </left>
        <right style="thin">
          <color theme="0" tint="-0.24994659260841701"/>
        </right>
        <top style="thin">
          <color theme="0" tint="-0.24994659260841701"/>
        </top>
        <bottom/>
      </border>
    </dxf>
    <dxf>
      <font>
        <b val="0"/>
        <i val="0"/>
        <strike val="0"/>
        <condense val="0"/>
        <extend val="0"/>
        <outline val="0"/>
        <shadow val="0"/>
        <u val="none"/>
        <vertAlign val="baseline"/>
        <sz val="10"/>
        <color theme="0"/>
        <name val="B Nazanin"/>
        <charset val="178"/>
        <scheme val="none"/>
      </font>
      <numFmt numFmtId="33" formatCode="_(* #,##0_);_(* \(#,##0\);_(* &quot;-&quot;_);_(@_)"/>
      <fill>
        <patternFill patternType="solid">
          <fgColor indexed="64"/>
          <bgColor theme="9"/>
        </patternFill>
      </fill>
      <alignment horizontal="right" vertical="bottom" textRotation="0" wrapText="0" indent="1"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name val="B Nazanin"/>
        <charset val="178"/>
        <scheme val="none"/>
      </font>
      <numFmt numFmtId="33" formatCode="_(* #,##0_);_(* \(#,##0\);_(* &quot;-&quot;_);_(@_)"/>
      <fill>
        <patternFill patternType="solid">
          <fgColor indexed="64"/>
          <bgColor theme="9"/>
        </patternFill>
      </fill>
      <alignment horizontal="right" vertical="bottom" textRotation="0" wrapText="0" indent="1"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name val="B Nazanin"/>
        <charset val="178"/>
        <scheme val="none"/>
      </font>
      <fill>
        <patternFill patternType="solid">
          <fgColor indexed="64"/>
          <bgColor theme="9"/>
        </patternFill>
      </fill>
      <alignment horizontal="right" vertical="bottom" textRotation="0" wrapText="0" indent="0" justifyLastLine="0" shrinkToFit="0" readingOrder="0"/>
      <border diagonalUp="0" diagonalDown="0" outline="0">
        <left style="medium">
          <color theme="2" tint="-0.499984740745262"/>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name val="B Nazanin"/>
        <charset val="178"/>
        <scheme val="none"/>
      </font>
      <fill>
        <patternFill patternType="solid">
          <fgColor indexed="64"/>
          <bgColor theme="9"/>
        </patternFill>
      </fill>
      <alignment horizontal="general" vertical="bottom" textRotation="0" wrapText="0" indent="0" justifyLastLine="0" shrinkToFit="0" readingOrder="2"/>
      <border diagonalUp="0" diagonalDown="0" outline="0">
        <left style="thin">
          <color theme="0" tint="-0.24994659260841701"/>
        </left>
        <right style="medium">
          <color theme="2" tint="-0.499984740745262"/>
        </right>
        <top style="thin">
          <color theme="0" tint="-0.24994659260841701"/>
        </top>
        <bottom style="thin">
          <color theme="0" tint="-0.24994659260841701"/>
        </bottom>
      </border>
    </dxf>
    <dxf>
      <font>
        <b val="0"/>
        <i val="0"/>
        <strike val="0"/>
        <condense val="0"/>
        <extend val="0"/>
        <outline val="0"/>
        <shadow val="0"/>
        <u val="none"/>
        <vertAlign val="baseline"/>
        <sz val="10"/>
        <color theme="0"/>
        <name val="B Nazanin"/>
        <charset val="178"/>
        <scheme val="none"/>
      </font>
      <fill>
        <patternFill patternType="solid">
          <fgColor indexed="64"/>
          <bgColor theme="9"/>
        </patternFill>
      </fill>
      <alignment horizontal="general" vertical="bottom" textRotation="0" wrapText="0" indent="0" justifyLastLine="0" shrinkToFit="0" readingOrder="2"/>
      <border diagonalUp="0" diagonalDown="0" outline="0">
        <left/>
        <right/>
        <top style="thin">
          <color theme="0" tint="-0.24994659260841701"/>
        </top>
        <bottom style="thin">
          <color theme="0" tint="-0.24994659260841701"/>
        </bottom>
      </border>
    </dxf>
    <dxf>
      <font>
        <b val="0"/>
        <i val="0"/>
        <strike val="0"/>
        <condense val="0"/>
        <extend val="0"/>
        <outline val="0"/>
        <shadow val="0"/>
        <u val="none"/>
        <vertAlign val="baseline"/>
        <sz val="10"/>
        <color theme="0"/>
        <name val="B Nazanin"/>
        <charset val="178"/>
        <scheme val="none"/>
      </font>
      <numFmt numFmtId="19" formatCode="yy/mm/dd"/>
      <fill>
        <patternFill patternType="solid">
          <fgColor indexed="64"/>
          <bgColor theme="9"/>
        </patternFill>
      </fill>
      <alignment horizontal="right" vertical="bottom" textRotation="0" wrapText="0" indent="1"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name val="B Nazanin"/>
        <charset val="178"/>
        <scheme val="none"/>
      </font>
      <numFmt numFmtId="172" formatCode="00"/>
      <fill>
        <patternFill patternType="solid">
          <fgColor indexed="64"/>
          <bgColor theme="9"/>
        </patternFill>
      </fill>
      <alignment horizontal="center" vertical="bottom" textRotation="0" wrapText="0" indent="0" justifyLastLine="0" shrinkToFit="0" readingOrder="0"/>
      <border diagonalUp="0" diagonalDown="0" outline="0">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name val="B Nazanin"/>
        <charset val="178"/>
        <scheme val="none"/>
      </font>
      <numFmt numFmtId="172" formatCode="00"/>
      <fill>
        <patternFill patternType="solid">
          <fgColor indexed="64"/>
          <bgColor theme="9"/>
        </patternFill>
      </fill>
      <alignment horizontal="center" vertical="bottom" textRotation="0" wrapText="0" indent="0" justifyLastLine="0" shrinkToFit="0" readingOrder="0"/>
      <border diagonalUp="0" diagonalDown="0" outline="0">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name val="B Nazanin"/>
        <charset val="178"/>
        <scheme val="none"/>
      </font>
      <numFmt numFmtId="172" formatCode="00"/>
      <fill>
        <patternFill patternType="solid">
          <fgColor indexed="64"/>
          <bgColor theme="9"/>
        </patternFill>
      </fill>
      <alignment horizontal="center" vertical="bottom" textRotation="0" wrapText="0" indent="0" justifyLastLine="0" shrinkToFit="0" readingOrder="0"/>
      <border diagonalUp="0" diagonalDown="0" outline="0">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10"/>
        <color theme="0"/>
        <name val="B Nazanin"/>
        <charset val="178"/>
        <scheme val="none"/>
      </font>
      <numFmt numFmtId="171" formatCode="&quot;14&quot;00"/>
      <fill>
        <patternFill patternType="solid">
          <fgColor indexed="64"/>
          <bgColor theme="9"/>
        </patternFill>
      </fill>
      <alignment horizontal="center" vertical="bottom" textRotation="0" wrapText="0" indent="0" justifyLastLine="0" shrinkToFit="0" readingOrder="0"/>
      <border diagonalUp="0" diagonalDown="0" outline="0">
        <left/>
        <right style="thin">
          <color theme="0" tint="-0.24994659260841701"/>
        </right>
        <top style="thin">
          <color theme="0" tint="-0.24994659260841701"/>
        </top>
        <bottom style="thin">
          <color theme="0" tint="-0.24994659260841701"/>
        </bottom>
      </border>
    </dxf>
    <dxf>
      <alignment horizontal="left" vertical="center" textRotation="0" wrapText="0" indent="1"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alignment horizontal="left" vertical="center" textRotation="0" wrapText="0" indent="1"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numFmt numFmtId="3" formatCode="#,##0"/>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numFmt numFmtId="3" formatCode="#,##0"/>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numFmt numFmtId="3" formatCode="#,##0"/>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font>
        <color theme="0"/>
      </font>
      <numFmt numFmtId="3" formatCode="#,##0"/>
      <fill>
        <patternFill patternType="solid">
          <fgColor theme="9" tint="-0.249977111117893"/>
          <bgColor theme="9" tint="-0.249977111117893"/>
        </patternFill>
      </fill>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border outline="0">
        <left style="thin">
          <color rgb="FFBFBFBF"/>
        </left>
        <right style="thin">
          <color rgb="FFBFBFBF"/>
        </right>
        <top style="medium">
          <color rgb="FFBFBFBF"/>
        </top>
        <bottom style="thin">
          <color rgb="FFBFBFBF"/>
        </bottom>
      </border>
    </dxf>
    <dxf>
      <alignment horizontal="left" vertical="center" textRotation="0" wrapText="0" indent="1" justifyLastLine="0" shrinkToFit="0" readingOrder="0"/>
    </dxf>
    <dxf>
      <border outline="0">
        <bottom style="medium">
          <color rgb="FFBFBFBF"/>
        </bottom>
      </border>
    </dxf>
    <dxf>
      <fill>
        <patternFill patternType="none">
          <fgColor indexed="64"/>
          <bgColor auto="1"/>
        </patternFill>
      </fill>
      <alignment horizontal="center" vertical="center" textRotation="0" wrapText="1" indent="0" justifyLastLine="0" shrinkToFit="0" readingOrder="0"/>
    </dxf>
    <dxf>
      <alignment horizontal="left" vertical="center" textRotation="0" wrapText="0" indent="1" justifyLastLine="0" shrinkToFit="0" readingOrder="0"/>
      <border diagonalUp="0" diagonalDown="0">
        <left/>
        <right style="thin">
          <color theme="0" tint="-0.24994659260841701"/>
        </right>
        <top/>
        <bottom style="thin">
          <color theme="0" tint="-0.24994659260841701"/>
        </bottom>
        <vertical/>
        <horizontal/>
      </border>
    </dxf>
    <dxf>
      <alignment horizontal="left" vertical="center" textRotation="0" wrapText="0" indent="1"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alignment horizontal="left" vertical="center" textRotation="0" wrapText="0" indent="1"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numFmt numFmtId="3" formatCode="#,##0"/>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numFmt numFmtId="3" formatCode="#,##0"/>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numFmt numFmtId="3" formatCode="#,##0"/>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numFmt numFmtId="3" formatCode="#,##0"/>
      <alignment horizontal="general" vertical="center" textRotation="0" wrapText="0" indent="0" justifyLastLine="0" shrinkToFit="0" readingOrder="0"/>
      <border diagonalUp="0" diagonalDown="0">
        <left style="thin">
          <color theme="0" tint="-0.24994659260841701"/>
        </left>
        <right/>
        <top/>
        <bottom style="thin">
          <color theme="0" tint="-0.24994659260841701"/>
        </bottom>
        <vertical/>
        <horizontal/>
      </border>
    </dxf>
    <dxf>
      <border outline="0">
        <left style="thin">
          <color theme="0" tint="-0.24994659260841701"/>
        </left>
        <right style="thin">
          <color theme="0" tint="-0.24994659260841701"/>
        </right>
        <top style="medium">
          <color theme="0" tint="-0.24994659260841701"/>
        </top>
        <bottom style="thin">
          <color theme="0" tint="-0.24994659260841701"/>
        </bottom>
      </border>
    </dxf>
    <dxf>
      <alignment horizontal="left" vertical="center" textRotation="0" wrapText="0" indent="1" justifyLastLine="0" shrinkToFit="0" readingOrder="0"/>
    </dxf>
    <dxf>
      <border outline="0">
        <bottom style="medium">
          <color theme="0" tint="-0.24994659260841701"/>
        </bottom>
      </border>
    </dxf>
    <dxf>
      <fill>
        <patternFill patternType="none">
          <fgColor indexed="64"/>
          <bgColor auto="1"/>
        </patternFill>
      </fill>
      <alignment horizontal="center" vertical="center" textRotation="0" wrapText="1" indent="0" justifyLastLine="0" shrinkToFit="0" readingOrder="0"/>
    </dxf>
    <dxf>
      <alignment horizontal="left" vertical="center" textRotation="0" wrapText="0" indent="1"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alignment horizontal="left" vertical="center" textRotation="0" wrapText="0" indent="1"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alignment horizontal="general" vertical="center" textRotation="0" wrapText="0" indent="0" justifyLastLine="0" shrinkToFit="0" readingOrder="0"/>
      <border diagonalUp="0" diagonalDown="0" outline="0">
        <left style="thin">
          <color theme="0" tint="-0.24994659260841701"/>
        </left>
        <right style="thin">
          <color theme="0" tint="-0.24994659260841701"/>
        </right>
        <top/>
        <bottom style="thin">
          <color theme="0" tint="-0.24994659260841701"/>
        </bottom>
      </border>
    </dxf>
    <dxf>
      <numFmt numFmtId="30" formatCode="@"/>
      <alignment horizontal="left" vertical="center" textRotation="0" wrapText="0" indent="1" justifyLastLine="0" shrinkToFit="0" readingOrder="0"/>
      <border diagonalUp="0" diagonalDown="0" outline="0">
        <left style="thin">
          <color theme="0" tint="-0.24994659260841701"/>
        </left>
        <right style="thin">
          <color theme="0" tint="-0.24994659260841701"/>
        </right>
        <top/>
        <bottom style="thin">
          <color theme="0" tint="-0.24994659260841701"/>
        </bottom>
      </border>
    </dxf>
    <dxf>
      <numFmt numFmtId="3" formatCode="#,##0"/>
      <alignment horizontal="general" vertical="center" textRotation="0" wrapText="0" indent="0" justifyLastLine="0" shrinkToFit="0" readingOrder="0"/>
      <border diagonalUp="0" diagonalDown="0" outline="0">
        <left style="thin">
          <color theme="0" tint="-0.24994659260841701"/>
        </left>
        <right style="thin">
          <color theme="0" tint="-0.24994659260841701"/>
        </right>
        <top/>
        <bottom style="thin">
          <color theme="0" tint="-0.24994659260841701"/>
        </bottom>
      </border>
    </dxf>
    <dxf>
      <numFmt numFmtId="3" formatCode="#,##0"/>
      <alignment horizontal="general" vertical="center" textRotation="0" wrapText="0" indent="0"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numFmt numFmtId="3" formatCode="#,##0"/>
      <alignment horizontal="general" vertical="center" textRotation="0" wrapText="0" indent="0"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border outline="0">
        <left style="thin">
          <color theme="0" tint="-0.24994659260841701"/>
        </left>
        <right style="thin">
          <color theme="0" tint="-0.24994659260841701"/>
        </right>
        <top style="medium">
          <color theme="0" tint="-0.24994659260841701"/>
        </top>
        <bottom style="thin">
          <color theme="0" tint="-0.24994659260841701"/>
        </bottom>
      </border>
    </dxf>
    <dxf>
      <alignment horizontal="left" vertical="center" textRotation="0" wrapText="0" indent="1" justifyLastLine="0" shrinkToFit="0" readingOrder="0"/>
    </dxf>
    <dxf>
      <border outline="0">
        <bottom style="medium">
          <color theme="0" tint="-0.24994659260841701"/>
        </bottom>
      </border>
    </dxf>
    <dxf>
      <font>
        <b/>
        <i val="0"/>
        <strike val="0"/>
        <condense val="0"/>
        <extend val="0"/>
        <outline val="0"/>
        <shadow val="0"/>
        <u val="none"/>
        <vertAlign val="baseline"/>
        <sz val="13"/>
        <color theme="0"/>
        <name val="Calibri"/>
        <family val="2"/>
        <scheme val="minor"/>
      </font>
      <fill>
        <patternFill patternType="none">
          <fgColor indexed="64"/>
          <bgColor auto="1"/>
        </patternFill>
      </fill>
      <alignment horizontal="left" vertical="center" textRotation="0" wrapText="1" indent="1" justifyLastLine="0" shrinkToFit="0" readingOrder="0"/>
    </dxf>
    <dxf>
      <font>
        <color auto="1"/>
      </font>
      <fill>
        <patternFill>
          <bgColor rgb="FFFF0000"/>
        </patternFill>
      </fill>
    </dxf>
    <dxf>
      <font>
        <color auto="1"/>
      </font>
      <fill>
        <patternFill>
          <bgColor theme="7" tint="0.39994506668294322"/>
        </patternFill>
      </fill>
    </dxf>
    <dxf>
      <font>
        <color auto="1"/>
      </font>
      <fill>
        <patternFill>
          <bgColor theme="9" tint="0.39994506668294322"/>
        </patternFill>
      </fill>
    </dxf>
    <dxf>
      <font>
        <color theme="0"/>
      </font>
    </dxf>
    <dxf>
      <font>
        <color rgb="FFFF0000"/>
      </font>
    </dxf>
    <dxf>
      <font>
        <color auto="1"/>
      </font>
      <fill>
        <patternFill>
          <bgColor rgb="FFFF0000"/>
        </patternFill>
      </fill>
    </dxf>
    <dxf>
      <font>
        <color auto="1"/>
      </font>
      <fill>
        <patternFill>
          <bgColor theme="7" tint="0.39994506668294322"/>
        </patternFill>
      </fill>
    </dxf>
    <dxf>
      <font>
        <color auto="1"/>
      </font>
      <fill>
        <patternFill>
          <bgColor theme="9" tint="0.39994506668294322"/>
        </patternFill>
      </fill>
    </dxf>
    <dxf>
      <font>
        <color theme="0"/>
      </font>
    </dxf>
    <dxf>
      <font>
        <color rgb="FFFF0000"/>
      </font>
    </dxf>
    <dxf>
      <font>
        <strike val="0"/>
        <outline val="0"/>
        <shadow val="0"/>
        <u val="none"/>
        <vertAlign val="baseline"/>
        <sz val="11"/>
        <color theme="1"/>
        <name val="B Nazanin"/>
        <charset val="178"/>
        <scheme val="none"/>
      </font>
      <numFmt numFmtId="14" formatCode="0.00%"/>
    </dxf>
    <dxf>
      <numFmt numFmtId="14" formatCode="0.00%"/>
    </dxf>
    <dxf>
      <font>
        <b val="0"/>
        <i val="0"/>
        <strike val="0"/>
        <condense val="0"/>
        <extend val="0"/>
        <outline val="0"/>
        <shadow val="0"/>
        <u val="none"/>
        <vertAlign val="baseline"/>
        <sz val="11"/>
        <color theme="1"/>
        <name val="B Nazanin"/>
        <charset val="178"/>
        <scheme val="none"/>
      </font>
      <numFmt numFmtId="3" formatCode="#,##0"/>
    </dxf>
    <dxf>
      <numFmt numFmtId="3" formatCode="#,##0"/>
    </dxf>
    <dxf>
      <font>
        <b val="0"/>
        <i val="0"/>
        <strike val="0"/>
        <condense val="0"/>
        <extend val="0"/>
        <outline val="0"/>
        <shadow val="0"/>
        <u val="none"/>
        <vertAlign val="baseline"/>
        <sz val="11"/>
        <color theme="1"/>
        <name val="B Nazanin"/>
        <charset val="178"/>
        <scheme val="none"/>
      </font>
      <numFmt numFmtId="3" formatCode="#,##0"/>
    </dxf>
    <dxf>
      <font>
        <b val="0"/>
        <i val="0"/>
        <strike val="0"/>
        <condense val="0"/>
        <extend val="0"/>
        <outline val="0"/>
        <shadow val="0"/>
        <u val="none"/>
        <vertAlign val="baseline"/>
        <sz val="11"/>
        <color theme="1"/>
        <name val="B Nazanin"/>
        <charset val="178"/>
        <scheme val="none"/>
      </font>
      <numFmt numFmtId="3" formatCode="#,##0"/>
    </dxf>
    <dxf>
      <font>
        <b val="0"/>
        <i val="0"/>
        <strike val="0"/>
        <condense val="0"/>
        <extend val="0"/>
        <outline val="0"/>
        <shadow val="0"/>
        <u val="none"/>
        <vertAlign val="baseline"/>
        <sz val="11"/>
        <color auto="1"/>
        <name val="B Nazanin"/>
        <charset val="178"/>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theme="0"/>
        </left>
        <right/>
        <top/>
        <bottom/>
      </border>
    </dxf>
    <dxf>
      <font>
        <b val="0"/>
        <i val="0"/>
        <strike val="0"/>
        <condense val="0"/>
        <extend val="0"/>
        <outline val="0"/>
        <shadow val="0"/>
        <u val="none"/>
        <vertAlign val="baseline"/>
        <sz val="11"/>
        <color auto="1"/>
        <name val="B Nazanin"/>
        <charset val="178"/>
        <scheme val="none"/>
      </font>
      <numFmt numFmtId="1" formatCode="0"/>
      <fill>
        <patternFill patternType="none">
          <fgColor indexed="64"/>
          <bgColor indexed="65"/>
        </patternFill>
      </fill>
      <alignment horizontal="center" vertical="center" textRotation="0" wrapText="0" indent="0" justifyLastLine="0" shrinkToFit="0" readingOrder="0"/>
      <border outline="0">
        <left style="thin">
          <color theme="0"/>
        </left>
      </border>
    </dxf>
    <dxf>
      <font>
        <b/>
        <i val="0"/>
        <strike val="0"/>
        <condense val="0"/>
        <extend val="0"/>
        <outline val="0"/>
        <shadow val="0"/>
        <u val="none"/>
        <vertAlign val="baseline"/>
        <sz val="12"/>
        <color theme="0"/>
        <name val="B Nazanin"/>
        <charset val="178"/>
        <scheme val="none"/>
      </font>
      <fill>
        <patternFill patternType="solid">
          <fgColor theme="8" tint="-0.249977111117893"/>
          <bgColor theme="8" tint="-0.249977111117893"/>
        </patternFill>
      </fill>
      <alignment horizontal="center" vertical="center" textRotation="0" wrapText="0" indent="0" justifyLastLine="0" shrinkToFit="0" readingOrder="0"/>
      <border diagonalUp="0" diagonalDown="0" outline="0">
        <left style="thin">
          <color theme="0"/>
        </left>
        <right style="thin">
          <color theme="0"/>
        </right>
        <top/>
        <bottom/>
      </border>
    </dxf>
    <dxf>
      <font>
        <b/>
        <i val="0"/>
        <strike val="0"/>
        <condense val="0"/>
        <extend val="0"/>
        <outline val="0"/>
        <shadow val="0"/>
        <u val="none"/>
        <vertAlign val="baseline"/>
        <sz val="12"/>
        <color theme="0"/>
        <name val="B Nazanin"/>
        <charset val="178"/>
        <scheme val="none"/>
      </font>
      <numFmt numFmtId="171" formatCode="&quot;14&quot;00"/>
      <fill>
        <patternFill patternType="solid">
          <fgColor theme="8" tint="-0.249977111117893"/>
          <bgColor theme="8" tint="-0.249977111117893"/>
        </patternFill>
      </fill>
      <alignment horizontal="center" vertical="center" textRotation="0" wrapText="0" indent="0" justifyLastLine="0" shrinkToFit="0" readingOrder="0"/>
      <border diagonalUp="0" diagonalDown="0">
        <left style="thin">
          <color theme="0"/>
        </left>
        <right style="thin">
          <color theme="0"/>
        </right>
        <top style="thin">
          <color theme="0"/>
        </top>
        <bottom style="thin">
          <color theme="0"/>
        </bottom>
        <vertical/>
        <horizontal style="thin">
          <color theme="0"/>
        </horizontal>
      </border>
    </dxf>
    <dxf>
      <font>
        <b/>
        <strike val="0"/>
        <outline val="0"/>
        <shadow val="0"/>
        <u val="none"/>
        <vertAlign val="baseline"/>
        <sz val="12"/>
        <color theme="1"/>
        <name val="B Nazanin"/>
        <charset val="178"/>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B Nazanin"/>
        <charset val="178"/>
        <scheme val="none"/>
      </font>
      <numFmt numFmtId="0" formatCode="General"/>
      <fill>
        <patternFill patternType="solid">
          <fgColor indexed="64"/>
          <bgColor theme="8" tint="0.79998168889431442"/>
        </patternFill>
      </fill>
      <alignment horizontal="general" vertical="bottom" textRotation="0" wrapText="0" indent="0" justifyLastLine="0" shrinkToFit="0" readingOrder="2"/>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B Nazanin"/>
        <charset val="178"/>
        <scheme val="none"/>
      </font>
      <numFmt numFmtId="33" formatCode="_(* #,##0_);_(* \(#,##0\);_(* &quot;-&quot;_);_(@_)"/>
      <fill>
        <patternFill patternType="solid">
          <fgColor indexed="64"/>
          <bgColor theme="8" tint="0.79998168889431442"/>
        </patternFill>
      </fill>
      <alignment horizontal="general" vertical="bottom" textRotation="0" wrapText="0" indent="0" justifyLastLine="0" shrinkToFit="0" readingOrder="2"/>
      <border diagonalUp="0" diagonalDown="0">
        <left style="thin">
          <color theme="0" tint="-0.24994659260841701"/>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1"/>
        <name val="B Nazanin"/>
        <charset val="178"/>
        <scheme val="none"/>
      </font>
      <numFmt numFmtId="33" formatCode="_(* #,##0_);_(* \(#,##0\);_(* &quot;-&quot;_);_(@_)"/>
      <fill>
        <patternFill patternType="solid">
          <fgColor indexed="64"/>
          <bgColor theme="8" tint="0.79998168889431442"/>
        </patternFill>
      </fill>
      <alignment horizontal="right" vertical="bottom" textRotation="0" wrapText="0" indent="1"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auto="1"/>
        <name val="B Nazanin"/>
        <charset val="178"/>
        <scheme val="none"/>
      </font>
      <numFmt numFmtId="33" formatCode="_(* #,##0_);_(* \(#,##0\);_(* &quot;-&quot;_);_(@_)"/>
      <fill>
        <patternFill patternType="solid">
          <fgColor indexed="64"/>
          <bgColor theme="8" tint="0.79998168889431442"/>
        </patternFill>
      </fill>
      <alignment horizontal="general" vertical="bottom" textRotation="0" wrapText="0" indent="0" justifyLastLine="0" shrinkToFit="0" readingOrder="2"/>
      <border diagonalUp="0" diagonalDown="0">
        <left style="thin">
          <color theme="0" tint="-0.24994659260841701"/>
        </left>
        <right/>
        <top style="thin">
          <color theme="0" tint="-0.24994659260841701"/>
        </top>
        <bottom style="thin">
          <color theme="0" tint="-0.24994659260841701"/>
        </bottom>
        <vertical/>
        <horizontal/>
      </border>
    </dxf>
    <dxf>
      <font>
        <sz val="10"/>
      </font>
      <numFmt numFmtId="3" formatCode="#,##0"/>
      <border diagonalUp="0" diagonalDown="0">
        <left style="thin">
          <color theme="0" tint="-0.24994659260841701"/>
        </left>
        <right style="thin">
          <color theme="0" tint="-0.24994659260841701"/>
        </right>
        <top/>
        <bottom style="thin">
          <color theme="0" tint="-0.24994659260841701"/>
        </bottom>
        <vertical/>
        <horizontal/>
      </border>
    </dxf>
    <dxf>
      <font>
        <sz val="10"/>
      </font>
      <numFmt numFmtId="3" formatCode="#,##0"/>
      <fill>
        <patternFill patternType="solid">
          <fgColor indexed="64"/>
          <bgColor theme="8" tint="0.79998168889431442"/>
        </patternFill>
      </fill>
      <alignment horizontal="right" vertical="bottom" textRotation="0" wrapText="0" indent="1"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font>
        <b val="0"/>
        <i val="0"/>
        <strike val="0"/>
        <condense val="0"/>
        <extend val="0"/>
        <outline val="0"/>
        <shadow val="0"/>
        <u val="none"/>
        <vertAlign val="baseline"/>
        <sz val="10"/>
        <color theme="1"/>
        <name val="Arial"/>
        <family val="2"/>
        <scheme val="none"/>
      </font>
      <numFmt numFmtId="33" formatCode="_(* #,##0_);_(* \(#,##0\);_(* &quot;-&quot;_);_(@_)"/>
      <alignment horizontal="right" vertical="bottom" textRotation="0" wrapText="0" indent="1"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sz val="10"/>
      </font>
      <numFmt numFmtId="1" formatCode="0"/>
      <alignment horizontal="center" vertical="bottom" textRotation="0" wrapText="0" indent="0" justifyLastLine="0" shrinkToFit="0" readingOrder="0"/>
      <border diagonalUp="0" diagonalDown="0">
        <left style="thin">
          <color theme="0" tint="-0.24994659260841701"/>
        </left>
        <right style="thin">
          <color theme="0" tint="-0.24994659260841701"/>
        </right>
        <top/>
        <bottom style="thin">
          <color theme="0" tint="-0.24994659260841701"/>
        </bottom>
        <vertical/>
        <horizontal/>
      </border>
    </dxf>
    <dxf>
      <font>
        <b val="0"/>
        <i val="0"/>
        <strike val="0"/>
        <condense val="0"/>
        <extend val="0"/>
        <outline val="0"/>
        <shadow val="0"/>
        <u val="none"/>
        <vertAlign val="baseline"/>
        <sz val="11"/>
        <color theme="1"/>
        <name val="B Nazanin"/>
        <charset val="178"/>
        <scheme val="none"/>
      </font>
      <alignment horizontal="right" vertical="bottom" textRotation="0" wrapText="0" indent="0" justifyLastLine="0" shrinkToFit="0" readingOrder="0"/>
      <border diagonalUp="0" diagonalDown="0">
        <left style="medium">
          <color theme="2" tint="-0.499984740745262"/>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1"/>
        <name val="B Nazanin"/>
        <charset val="178"/>
        <scheme val="none"/>
      </font>
      <numFmt numFmtId="19" formatCode="yy/mm/dd"/>
      <alignment horizontal="right" vertical="bottom" textRotation="0" wrapText="0" indent="1"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1"/>
        <name val="B Nazanin"/>
        <charset val="178"/>
        <scheme val="none"/>
      </font>
      <border diagonalUp="0" diagonalDown="0">
        <left/>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1"/>
        <name val="B Nazanin"/>
        <charset val="178"/>
        <scheme val="none"/>
      </font>
      <numFmt numFmtId="19" formatCode="yy/mm/dd"/>
      <alignment horizontal="right" vertical="bottom" textRotation="0" wrapText="0" indent="1"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1"/>
        <name val="B Nazanin"/>
        <charset val="178"/>
        <scheme val="none"/>
      </font>
      <numFmt numFmtId="172" formatCode="00"/>
      <alignment horizontal="center"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1"/>
        <name val="B Nazanin"/>
        <charset val="178"/>
        <scheme val="none"/>
      </font>
      <numFmt numFmtId="172" formatCode="00"/>
      <alignment horizontal="center"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1"/>
        <name val="B Nazanin"/>
        <charset val="178"/>
        <scheme val="none"/>
      </font>
      <numFmt numFmtId="172" formatCode="00"/>
      <alignment horizontal="center"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font>
        <b val="0"/>
        <i val="0"/>
        <strike val="0"/>
        <condense val="0"/>
        <extend val="0"/>
        <outline val="0"/>
        <shadow val="0"/>
        <u val="none"/>
        <vertAlign val="baseline"/>
        <sz val="10"/>
        <color theme="1"/>
        <name val="B Nazanin"/>
        <charset val="178"/>
        <scheme val="none"/>
      </font>
      <numFmt numFmtId="171" formatCode="&quot;14&quot;00"/>
      <alignment horizontal="center"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dxf>
    <dxf>
      <font>
        <strike val="0"/>
        <outline val="0"/>
        <shadow val="0"/>
        <u val="none"/>
        <vertAlign val="baseline"/>
        <sz val="10"/>
        <color theme="0"/>
        <name val="B Nazanin"/>
        <charset val="178"/>
        <scheme val="none"/>
      </font>
      <fill>
        <patternFill patternType="solid">
          <fgColor indexed="64"/>
          <bgColor theme="9"/>
        </patternFill>
      </fill>
    </dxf>
    <dxf>
      <border outline="0">
        <left style="medium">
          <color theme="2" tint="-0.499984740745262"/>
        </left>
      </border>
    </dxf>
    <dxf>
      <border outline="0">
        <bottom style="medium">
          <color theme="2" tint="-0.499984740745262"/>
        </bottom>
      </border>
    </dxf>
    <dxf>
      <font>
        <b/>
        <i val="0"/>
        <strike val="0"/>
        <condense val="0"/>
        <extend val="0"/>
        <outline val="0"/>
        <shadow val="0"/>
        <u val="none"/>
        <vertAlign val="baseline"/>
        <sz val="11"/>
        <color theme="1"/>
        <name val="B Nazanin"/>
        <charset val="178"/>
        <scheme val="none"/>
      </font>
      <numFmt numFmtId="33" formatCode="_(* #,##0_);_(* \(#,##0\);_(* &quot;-&quot;_);_(@_)"/>
      <fill>
        <patternFill patternType="solid">
          <fgColor indexed="64"/>
          <bgColor theme="8" tint="0.79998168889431442"/>
        </patternFill>
      </fill>
      <alignment horizontal="center" vertical="center" textRotation="0" wrapText="1" indent="0" justifyLastLine="0" shrinkToFit="0" readingOrder="0"/>
    </dxf>
    <dxf>
      <font>
        <color rgb="FFEE0000"/>
      </font>
    </dxf>
    <dxf>
      <font>
        <b val="0"/>
        <i val="0"/>
        <strike val="0"/>
        <condense val="0"/>
        <extend val="0"/>
        <outline val="0"/>
        <shadow val="0"/>
        <u val="none"/>
        <vertAlign val="baseline"/>
        <sz val="11"/>
        <color theme="1"/>
        <name val="B Nazanin"/>
        <charset val="178"/>
        <scheme val="none"/>
      </font>
    </dxf>
    <dxf>
      <font>
        <b val="0"/>
        <i val="0"/>
        <strike val="0"/>
        <condense val="0"/>
        <extend val="0"/>
        <outline val="0"/>
        <shadow val="0"/>
        <u val="none"/>
        <vertAlign val="baseline"/>
        <sz val="11"/>
        <color theme="1"/>
        <name val="Calibri Light"/>
        <family val="2"/>
        <scheme val="major"/>
      </font>
      <numFmt numFmtId="13" formatCode="0%"/>
    </dxf>
    <dxf>
      <numFmt numFmtId="3" formatCode="#,##0"/>
    </dxf>
    <dxf>
      <numFmt numFmtId="3" formatCode="#,##0"/>
    </dxf>
    <dxf>
      <font>
        <b val="0"/>
        <i val="0"/>
        <strike val="0"/>
        <condense val="0"/>
        <extend val="0"/>
        <outline val="0"/>
        <shadow val="0"/>
        <u val="none"/>
        <vertAlign val="baseline"/>
        <sz val="11"/>
        <color theme="1"/>
        <name val="B Nazanin"/>
        <charset val="178"/>
        <scheme val="none"/>
      </font>
    </dxf>
    <dxf>
      <font>
        <b val="0"/>
        <i val="0"/>
        <strike val="0"/>
        <condense val="0"/>
        <extend val="0"/>
        <outline val="0"/>
        <shadow val="0"/>
        <u val="none"/>
        <vertAlign val="baseline"/>
        <sz val="11"/>
        <color theme="1"/>
        <name val="B Nazanin"/>
        <charset val="178"/>
        <scheme val="none"/>
      </font>
      <numFmt numFmtId="0" formatCode="General"/>
    </dxf>
    <dxf>
      <font>
        <b val="0"/>
        <i val="0"/>
        <strike val="0"/>
        <condense val="0"/>
        <extend val="0"/>
        <outline val="0"/>
        <shadow val="0"/>
        <u val="none"/>
        <vertAlign val="baseline"/>
        <sz val="11"/>
        <color theme="1"/>
        <name val="B Nazanin"/>
        <charset val="178"/>
        <scheme val="none"/>
      </font>
    </dxf>
    <dxf>
      <font>
        <b val="0"/>
        <i val="0"/>
        <strike val="0"/>
        <condense val="0"/>
        <extend val="0"/>
        <outline val="0"/>
        <shadow val="0"/>
        <u val="none"/>
        <vertAlign val="baseline"/>
        <sz val="11"/>
        <color theme="1"/>
        <name val="B Nazanin"/>
        <charset val="178"/>
        <scheme val="none"/>
      </font>
      <numFmt numFmtId="0" formatCode="General"/>
    </dxf>
    <dxf>
      <font>
        <b val="0"/>
        <i val="0"/>
        <strike val="0"/>
        <condense val="0"/>
        <extend val="0"/>
        <outline val="0"/>
        <shadow val="0"/>
        <u val="none"/>
        <vertAlign val="baseline"/>
        <sz val="11"/>
        <color theme="1"/>
        <name val="B Nazanin"/>
        <charset val="178"/>
        <scheme val="none"/>
      </font>
    </dxf>
    <dxf>
      <font>
        <b val="0"/>
        <i val="0"/>
        <strike val="0"/>
        <condense val="0"/>
        <extend val="0"/>
        <outline val="0"/>
        <shadow val="0"/>
        <u val="none"/>
        <vertAlign val="baseline"/>
        <sz val="11"/>
        <color theme="1"/>
        <name val="B Nazanin"/>
        <charset val="178"/>
        <scheme val="none"/>
      </font>
      <numFmt numFmtId="0" formatCode="Genera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ont>
        <b/>
        <i val="0"/>
        <strike val="0"/>
        <condense val="0"/>
        <extend val="0"/>
        <outline val="0"/>
        <shadow val="0"/>
        <u val="none"/>
        <vertAlign val="baseline"/>
        <sz val="12"/>
        <color auto="1"/>
        <name val="B Nazanin"/>
        <charset val="178"/>
        <scheme val="none"/>
      </font>
      <numFmt numFmtId="3" formatCode="#,##0"/>
      <fill>
        <patternFill patternType="solid">
          <fgColor indexed="64"/>
          <bgColor theme="9" tint="0.79998168889431442"/>
        </patternFill>
      </fill>
      <alignment horizontal="general" vertical="center" textRotation="0" wrapText="0" indent="0" justifyLastLine="0" shrinkToFit="0" readingOrder="0"/>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9</xdr:col>
      <xdr:colOff>895350</xdr:colOff>
      <xdr:row>21</xdr:row>
      <xdr:rowOff>104775</xdr:rowOff>
    </xdr:from>
    <xdr:to>
      <xdr:col>13</xdr:col>
      <xdr:colOff>104775</xdr:colOff>
      <xdr:row>22</xdr:row>
      <xdr:rowOff>95250</xdr:rowOff>
    </xdr:to>
    <xdr:cxnSp macro="">
      <xdr:nvCxnSpPr>
        <xdr:cNvPr id="2" name="Straight Arrow Connector 1">
          <a:extLst>
            <a:ext uri="{FF2B5EF4-FFF2-40B4-BE49-F238E27FC236}">
              <a16:creationId xmlns:a16="http://schemas.microsoft.com/office/drawing/2014/main" id="{5DF1A974-47F0-427C-9FDD-A085430FEDD9}"/>
            </a:ext>
          </a:extLst>
        </xdr:cNvPr>
        <xdr:cNvCxnSpPr/>
      </xdr:nvCxnSpPr>
      <xdr:spPr>
        <a:xfrm flipH="1" flipV="1">
          <a:off x="13154025" y="5810250"/>
          <a:ext cx="3224213" cy="18097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923925</xdr:colOff>
      <xdr:row>29</xdr:row>
      <xdr:rowOff>104775</xdr:rowOff>
    </xdr:from>
    <xdr:to>
      <xdr:col>13</xdr:col>
      <xdr:colOff>133350</xdr:colOff>
      <xdr:row>30</xdr:row>
      <xdr:rowOff>95250</xdr:rowOff>
    </xdr:to>
    <xdr:cxnSp macro="">
      <xdr:nvCxnSpPr>
        <xdr:cNvPr id="3" name="Straight Arrow Connector 2">
          <a:extLst>
            <a:ext uri="{FF2B5EF4-FFF2-40B4-BE49-F238E27FC236}">
              <a16:creationId xmlns:a16="http://schemas.microsoft.com/office/drawing/2014/main" id="{E5E6B7C0-AB5F-4A3D-A67F-594221395D3F}"/>
            </a:ext>
          </a:extLst>
        </xdr:cNvPr>
        <xdr:cNvCxnSpPr/>
      </xdr:nvCxnSpPr>
      <xdr:spPr>
        <a:xfrm flipH="1" flipV="1">
          <a:off x="13182600" y="8072438"/>
          <a:ext cx="3224213" cy="180975"/>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704851</xdr:colOff>
      <xdr:row>18</xdr:row>
      <xdr:rowOff>371476</xdr:rowOff>
    </xdr:from>
    <xdr:to>
      <xdr:col>13</xdr:col>
      <xdr:colOff>371475</xdr:colOff>
      <xdr:row>22</xdr:row>
      <xdr:rowOff>76200</xdr:rowOff>
    </xdr:to>
    <xdr:cxnSp macro="">
      <xdr:nvCxnSpPr>
        <xdr:cNvPr id="4" name="Straight Arrow Connector 3">
          <a:extLst>
            <a:ext uri="{FF2B5EF4-FFF2-40B4-BE49-F238E27FC236}">
              <a16:creationId xmlns:a16="http://schemas.microsoft.com/office/drawing/2014/main" id="{256D7D4C-30DA-4CD0-9685-A11FCE27C2F1}"/>
            </a:ext>
          </a:extLst>
        </xdr:cNvPr>
        <xdr:cNvCxnSpPr/>
      </xdr:nvCxnSpPr>
      <xdr:spPr>
        <a:xfrm flipH="1" flipV="1">
          <a:off x="12963526" y="4943476"/>
          <a:ext cx="3681412" cy="1028699"/>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590551</xdr:colOff>
      <xdr:row>26</xdr:row>
      <xdr:rowOff>381001</xdr:rowOff>
    </xdr:from>
    <xdr:to>
      <xdr:col>13</xdr:col>
      <xdr:colOff>361950</xdr:colOff>
      <xdr:row>30</xdr:row>
      <xdr:rowOff>66675</xdr:rowOff>
    </xdr:to>
    <xdr:cxnSp macro="">
      <xdr:nvCxnSpPr>
        <xdr:cNvPr id="5" name="Straight Arrow Connector 4">
          <a:extLst>
            <a:ext uri="{FF2B5EF4-FFF2-40B4-BE49-F238E27FC236}">
              <a16:creationId xmlns:a16="http://schemas.microsoft.com/office/drawing/2014/main" id="{4ACFAA59-9BAC-485F-9F8E-AEDF0F03D6FB}"/>
            </a:ext>
          </a:extLst>
        </xdr:cNvPr>
        <xdr:cNvCxnSpPr/>
      </xdr:nvCxnSpPr>
      <xdr:spPr>
        <a:xfrm flipH="1" flipV="1">
          <a:off x="12849226" y="7215189"/>
          <a:ext cx="3786187" cy="1009649"/>
        </a:xfrm>
        <a:prstGeom prst="straightConnector1">
          <a:avLst/>
        </a:prstGeom>
        <a:ln>
          <a:headEnd type="triangle"/>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819154</xdr:colOff>
      <xdr:row>22</xdr:row>
      <xdr:rowOff>133350</xdr:rowOff>
    </xdr:from>
    <xdr:to>
      <xdr:col>13</xdr:col>
      <xdr:colOff>504825</xdr:colOff>
      <xdr:row>37</xdr:row>
      <xdr:rowOff>38101</xdr:rowOff>
    </xdr:to>
    <xdr:cxnSp macro="">
      <xdr:nvCxnSpPr>
        <xdr:cNvPr id="6" name="Straight Arrow Connector 5">
          <a:extLst>
            <a:ext uri="{FF2B5EF4-FFF2-40B4-BE49-F238E27FC236}">
              <a16:creationId xmlns:a16="http://schemas.microsoft.com/office/drawing/2014/main" id="{8D5EA3BF-7323-45A8-AEDC-C833843829DA}"/>
            </a:ext>
          </a:extLst>
        </xdr:cNvPr>
        <xdr:cNvCxnSpPr/>
      </xdr:nvCxnSpPr>
      <xdr:spPr>
        <a:xfrm flipH="1">
          <a:off x="13077829" y="6029325"/>
          <a:ext cx="3700459" cy="4219576"/>
        </a:xfrm>
        <a:prstGeom prst="straightConnector1">
          <a:avLst/>
        </a:prstGeom>
        <a:ln w="15875">
          <a:headEnd type="triangle"/>
          <a:tailEnd type="triangle"/>
        </a:ln>
      </xdr:spPr>
      <xdr:style>
        <a:lnRef idx="2">
          <a:schemeClr val="accent6"/>
        </a:lnRef>
        <a:fillRef idx="0">
          <a:schemeClr val="accent6"/>
        </a:fillRef>
        <a:effectRef idx="1">
          <a:schemeClr val="accent6"/>
        </a:effectRef>
        <a:fontRef idx="minor">
          <a:schemeClr val="tx1"/>
        </a:fontRef>
      </xdr:style>
    </xdr:cxnSp>
    <xdr:clientData/>
  </xdr:twoCellAnchor>
  <xdr:twoCellAnchor>
    <xdr:from>
      <xdr:col>9</xdr:col>
      <xdr:colOff>914400</xdr:colOff>
      <xdr:row>30</xdr:row>
      <xdr:rowOff>104775</xdr:rowOff>
    </xdr:from>
    <xdr:to>
      <xdr:col>13</xdr:col>
      <xdr:colOff>561976</xdr:colOff>
      <xdr:row>37</xdr:row>
      <xdr:rowOff>38100</xdr:rowOff>
    </xdr:to>
    <xdr:cxnSp macro="">
      <xdr:nvCxnSpPr>
        <xdr:cNvPr id="7" name="Straight Arrow Connector 6">
          <a:extLst>
            <a:ext uri="{FF2B5EF4-FFF2-40B4-BE49-F238E27FC236}">
              <a16:creationId xmlns:a16="http://schemas.microsoft.com/office/drawing/2014/main" id="{3A667BA2-31B2-471D-A566-935E44B6238A}"/>
            </a:ext>
          </a:extLst>
        </xdr:cNvPr>
        <xdr:cNvCxnSpPr/>
      </xdr:nvCxnSpPr>
      <xdr:spPr>
        <a:xfrm flipH="1">
          <a:off x="13173075" y="8262938"/>
          <a:ext cx="3662364" cy="1985962"/>
        </a:xfrm>
        <a:prstGeom prst="straightConnector1">
          <a:avLst/>
        </a:prstGeom>
        <a:ln w="15875">
          <a:headEnd type="triangle"/>
          <a:tailEnd type="triangle"/>
        </a:ln>
      </xdr:spPr>
      <xdr:style>
        <a:lnRef idx="2">
          <a:schemeClr val="accent6"/>
        </a:lnRef>
        <a:fillRef idx="0">
          <a:schemeClr val="accent6"/>
        </a:fillRef>
        <a:effectRef idx="1">
          <a:schemeClr val="accent6"/>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D3D263-8C1A-4AFF-B99E-45EB20321B94}" name="Summary" displayName="Summary" ref="C2:O280" totalsRowCount="1" headerRowDxfId="115">
  <autoFilter ref="C2:O279" xr:uid="{2DD3D263-8C1A-4AFF-B99E-45EB20321B94}"/>
  <tableColumns count="13">
    <tableColumn id="1" xr3:uid="{7A958C89-B6A7-476A-B324-46FAB372BE17}" name="خرید" totalsRowLabel="Total" dataDxfId="114">
      <calculatedColumnFormula>SUMIFS(T[تعداد], T[کالا], B3, T[نوع عملیات], "خرید")</calculatedColumnFormula>
    </tableColumn>
    <tableColumn id="2" xr3:uid="{CE6D7553-F8CE-4049-8B7C-64E3633B1F69}" name="قیمت تمام شده" dataDxfId="113">
      <calculatedColumnFormula>IFERROR(E3/C3, 0)</calculatedColumnFormula>
    </tableColumn>
    <tableColumn id="3" xr3:uid="{7206EA8D-E437-415C-A0D5-ABEBC58D55AD}" name="ارزش کالا" totalsRowFunction="sum" dataDxfId="112" totalsRowDxfId="111">
      <calculatedColumnFormula>SUMIFS(T[قیمت کل], T[کالا], B3, T[نوع عملیات], "خرید")</calculatedColumnFormula>
    </tableColumn>
    <tableColumn id="4" xr3:uid="{5485DD8C-0834-4E0F-98D4-F6D7A9C93DB0}" name="فروش" dataDxfId="110">
      <calculatedColumnFormula>SUMIFS(T[تعداد], T[کالا], B3, T[نوع عملیات], "فروش") + SUMIFS(T[تعداد], T[کالا], B3, T[نوع عملیات], "استفاده خودم")</calculatedColumnFormula>
    </tableColumn>
    <tableColumn id="5" xr3:uid="{00778ADC-1D24-49F8-BDA7-BEF5C19C23D7}" name="ارزش فروش" totalsRowFunction="sum" dataDxfId="109" totalsRowDxfId="108">
      <calculatedColumnFormula>SUMIFS(T[قیمت کل], T[کالا], B3, T[نوع عملیات], "فروش")</calculatedColumnFormula>
    </tableColumn>
    <tableColumn id="11" xr3:uid="{28838060-E84F-48BB-8034-2A1C981C8697}" name="ارزش کالای فروخته شده" totalsRowFunction="sum" dataDxfId="107" totalsRowDxfId="106">
      <calculatedColumnFormula>Summary[[#This Row],[فروش]]*Summary[[#This Row],[قیمت تمام شده]]</calculatedColumnFormula>
    </tableColumn>
    <tableColumn id="6" xr3:uid="{77D9D5D4-10CD-4F2E-BE8A-B87E380066AE}" name="موجودی" dataDxfId="105">
      <calculatedColumnFormula>Summary[[#This Row],[خرید]]-Summary[[#This Row],[فروش]]</calculatedColumnFormula>
    </tableColumn>
    <tableColumn id="12" xr3:uid="{7DA4CF30-E497-4691-9BF9-F6E6FDE81521}" name="ارزش موجودی" totalsRowFunction="sum" dataDxfId="104" totalsRowDxfId="103">
      <calculatedColumnFormula>Summary[[#This Row],[موجودی]]*Summary[[#This Row],[قیمت تمام شده]]</calculatedColumnFormula>
    </tableColumn>
    <tableColumn id="7" xr3:uid="{023B6DB7-D589-4071-813A-85275561CFE9}" name="نحوه تسویه" dataDxfId="102" totalsRowDxfId="101">
      <calculatedColumnFormula>IF(B3="", "", _xlfn.XLOOKUP(B3, T[کالا], T[نحوه تسویه], ""))</calculatedColumnFormula>
    </tableColumn>
    <tableColumn id="8" xr3:uid="{4778A70A-8565-4332-8EAD-0C2312966E24}" name="فاکتور" dataDxfId="100" totalsRowDxfId="99">
      <calculatedColumnFormula>IF(B3="", "", _xlfn.XLOOKUP(B3, T[کالا], T[شماره فاکتور], ""))</calculatedColumnFormula>
    </tableColumn>
    <tableColumn id="10" xr3:uid="{61547511-448E-494B-882E-A6A8D6F30FF8}" name="فروشنده" dataDxfId="98" totalsRowDxfId="97">
      <calculatedColumnFormula>IF(B3="", "", _xlfn.XLOOKUP(Summary[[#This Row],[فاکتور]], T[شماره فاکتور], T[فروشنده / مشتری], "نامشخص"))</calculatedColumnFormula>
    </tableColumn>
    <tableColumn id="9" xr3:uid="{9CDC3537-BFE2-45F4-BD09-534A49DD9066}" name="سود" totalsRowFunction="sum" dataDxfId="96" totalsRowDxfId="95">
      <calculatedColumnFormula>Summary[[#This Row],[ارزش فروش]] - (Summary[[#This Row],[قیمت تمام شده]]*Summary[[#This Row],[فروش]])</calculatedColumnFormula>
    </tableColumn>
    <tableColumn id="13" xr3:uid="{21B9CA1A-9EBD-44F1-9757-B528D9143A8F}" name="درصد سود" dataDxfId="94" totalsRowDxfId="93">
      <calculatedColumnFormula>IFERROR(Summary[[#This Row],[سود]]/Summary[[#This Row],[ارزش کالای فروخته شده]],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015089C-B5FE-4826-8906-82E2E83B10FE}" name="T" displayName="T" ref="B3:Q1227" totalsRowCount="1" headerRowDxfId="91" totalsRowDxfId="88" headerRowBorderDxfId="90" tableBorderDxfId="89">
  <autoFilter ref="B3:Q1226" xr:uid="{4015089C-B5FE-4826-8906-82E2E83B10FE}">
    <filterColumn colId="6">
      <filters>
        <filter val="عبدل آباد"/>
      </filters>
    </filterColumn>
  </autoFilter>
  <sortState xmlns:xlrd2="http://schemas.microsoft.com/office/spreadsheetml/2017/richdata2" ref="B110:Q234">
    <sortCondition ref="B4:B1226"/>
    <sortCondition ref="C4:C1226"/>
    <sortCondition ref="D4:D1226"/>
  </sortState>
  <tableColumns count="16">
    <tableColumn id="1" xr3:uid="{840A1328-986F-4C2A-B8B4-57673069040F}" name="سال" totalsRowLabel="جمع" dataDxfId="87" totalsRowDxfId="15"/>
    <tableColumn id="2" xr3:uid="{599D26F3-4A0A-4121-94B8-39189D27A926}" name="ماه" dataDxfId="86" totalsRowDxfId="14"/>
    <tableColumn id="3" xr3:uid="{E17F1C00-8B7A-42C0-BB91-5BE8EA5D3A20}" name="روز" dataDxfId="85" totalsRowDxfId="13"/>
    <tableColumn id="16" xr3:uid="{606AE0FB-0F0F-4F94-B4A5-2BB6AF1DAA9E}" name="Month" dataDxfId="84" totalsRowDxfId="12">
      <calculatedColumnFormula>CHOOSE(C4, "فروردین", "اردیبهشت", "خرداد", "تیر", "مرداد", "شهریور", "مهر", "آبان", "آذر", "دی", "بهمن", "اسفند")</calculatedColumnFormula>
    </tableColumn>
    <tableColumn id="4" xr3:uid="{499CC86D-95AB-4480-93FB-8CB34115EC3E}" name="نوع عملیات" dataDxfId="83" totalsRowDxfId="11"/>
    <tableColumn id="5" xr3:uid="{9D1EE298-65B2-4CF9-A56C-12764A59E4D6}" name="کالا" dataDxfId="82" totalsRowDxfId="10"/>
    <tableColumn id="7" xr3:uid="{54E6474D-3DCC-46C2-86FB-78C901C42738}" name="فروشنده / مشتری" dataDxfId="81" totalsRowDxfId="9"/>
    <tableColumn id="8" xr3:uid="{75142612-03CF-49EA-AA70-D1CDF20BB362}" name="شماره فاکتور" dataDxfId="80" totalsRowDxfId="8"/>
    <tableColumn id="9" xr3:uid="{31287BD1-5DDF-46C6-BC78-7E23DFFDD73F}" name="تعداد" dataDxfId="79" totalsRowDxfId="7"/>
    <tableColumn id="10" xr3:uid="{77CB1BB3-804D-4E4D-9DF1-1575D63DEFB0}" name="قیمت واحد" dataDxfId="78" totalsRowDxfId="6"/>
    <tableColumn id="11" xr3:uid="{1BC69B39-B433-44A2-A60C-883493F6DAAF}" name="قیمت کل" totalsRowFunction="sum" dataDxfId="77" totalsRowDxfId="5">
      <calculatedColumnFormula>J4*K4</calculatedColumnFormula>
    </tableColumn>
    <tableColumn id="12" xr3:uid="{771C2945-7A7F-4864-AEBA-CBD8CDCC62EA}" name="تسویه" totalsRowFunction="sum" dataDxfId="76" totalsRowDxfId="4"/>
    <tableColumn id="13" xr3:uid="{9C15B3A8-F8CC-40DB-919C-7675F6ADEDE6}" name="نحوه تسویه" dataDxfId="75" totalsRowDxfId="3"/>
    <tableColumn id="14" xr3:uid="{0FAB884E-B45B-47B9-A03D-E6E752E61859}" name="سود فروش" totalsRowFunction="sum" dataDxfId="74" totalsRowDxfId="2">
      <calculatedColumnFormula>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calculatedColumnFormula>
    </tableColumn>
    <tableColumn id="15" xr3:uid="{74F491D5-735C-4C5D-A5F8-B333F4B821AF}" name="گروه کالا" dataDxfId="73" totalsRowDxfId="1"/>
    <tableColumn id="6" xr3:uid="{4B9E4CBF-3F5D-400E-81D2-5DB95B94B49E}" name="فروشنده کالا" dataDxfId="72" totalsRowDxfId="0">
      <calculatedColumnFormula array="1">IF(T[[#This Row],[نوع عملیات]]="فروش", _xlfn.XLOOKUP(T[[#This Row],[کالا]], _xlfn._xlws.FILTER(T[کالا], T[نوع عملیات]="خرید"), _xlfn._xlws.FILTER(T[فروشنده / مشتری], T[نوع عملیات]="خرید")), "")</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5D6978-D7B2-486F-8D2A-06BB27C0977B}" name="Table1" displayName="Table1" ref="C2:G17" totalsRowCount="1" headerRowDxfId="71">
  <autoFilter ref="C2:G16" xr:uid="{0C5D6978-D7B2-486F-8D2A-06BB27C0977B}"/>
  <tableColumns count="5">
    <tableColumn id="1" xr3:uid="{E6D3E0C7-7213-4234-BD00-CF9CD5243F5A}" name="سال" totalsRowLabel="جمع" dataDxfId="70" totalsRowDxfId="69"/>
    <tableColumn id="2" xr3:uid="{8B10FDC1-8584-4FBD-946F-9107A663E362}" name="ماه" dataDxfId="68" totalsRowDxfId="67">
      <calculatedColumnFormula>CHOOSE(B3, "فروردین", "اردیبهشت", "خرداد", "تیر", "مرداد", "شهریور", "مهر", "آبان", "آذر", "دی", "بهمن", "اسفند")</calculatedColumnFormula>
    </tableColumn>
    <tableColumn id="3" xr3:uid="{BD34C060-E96F-417A-BF6F-A6CF99DC1CF0}" name="فروش" totalsRowFunction="sum" dataDxfId="66" totalsRowDxfId="65">
      <calculatedColumnFormula>SUMIFS(T[قیمت کل], T[نوع عملیات], "فروش", T[سال], C3, T[ماه], B3)</calculatedColumnFormula>
    </tableColumn>
    <tableColumn id="4" xr3:uid="{4D51556C-F208-4DD9-84FE-F7C6FFD7E76A}" name="سود" totalsRowFunction="sum" dataDxfId="64" totalsRowDxfId="63">
      <calculatedColumnFormula array="1">SUMPRODUCT((T[نوع عملیات]="فروش") * (T[سال]=C3) * (T[ماه]=B3) * IFERROR(T[سود فروش], 0))</calculatedColumnFormula>
    </tableColumn>
    <tableColumn id="5" xr3:uid="{9411FEF3-4F15-49E3-8168-4F9ED97D6543}" name="درصد سود" totalsRowFunction="custom" dataDxfId="62" totalsRowDxfId="61" dataCellStyle="Percent">
      <calculatedColumnFormula>IFERROR(F3/E3, "")</calculatedColumnFormula>
      <totalsRowFormula>Table1[[#Totals],[سود]]/Table1[[#Totals],[فروش]]</totalsRowFormula>
    </tableColumn>
  </tableColumns>
  <tableStyleInfo name="TableStyleMedium2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1CEB88B-430A-4F77-B80A-F4C33EE22D3E}" name="Table2" displayName="Table2" ref="C2:I98" totalsRowShown="0" headerRowDxfId="50" dataDxfId="48" headerRowBorderDxfId="49" tableBorderDxfId="47" headerRowCellStyle="Heading 2">
  <autoFilter ref="C2:I98" xr:uid="{91CEB88B-430A-4F77-B80A-F4C33EE22D3E}">
    <filterColumn colId="2">
      <filters>
        <filter val="1,080,000"/>
        <filter val="1,250,000"/>
        <filter val="-1,350,000"/>
        <filter val="1,570,000"/>
        <filter val="1,950,000"/>
        <filter val="10,050,000"/>
        <filter val="-100,000"/>
        <filter val="2,050,000"/>
        <filter val="2,080,000"/>
        <filter val="2,100,000"/>
        <filter val="2,300,000"/>
        <filter val="2,800,000"/>
        <filter val="3,050,000"/>
        <filter val="-3,200,000"/>
        <filter val="3,600,000"/>
        <filter val="-3,650,000"/>
        <filter val="300,000"/>
        <filter val="450,000"/>
        <filter val="5,200,000"/>
        <filter val="500,000"/>
        <filter val="600,000"/>
        <filter val="-600,000"/>
        <filter val="7,250,000"/>
        <filter val="800,000"/>
        <filter val="9,550,000"/>
        <filter val="950,000"/>
      </filters>
    </filterColumn>
  </autoFilter>
  <tableColumns count="7">
    <tableColumn id="1" xr3:uid="{3E099756-56F6-4674-AB75-F8878477702D}" name="کل فروش" dataDxfId="46">
      <calculatedColumnFormula>SUMIFS(T[قیمت کل], T[فروشنده / مشتری], B3, T[نوع عملیات], "فروش")</calculatedColumnFormula>
    </tableColumn>
    <tableColumn id="2" xr3:uid="{64630CB5-9D9A-45D4-9445-5A213338AC73}" name="تسویه شده" dataDxfId="45">
      <calculatedColumnFormula>SUMIFS(T[تسویه], T[فروشنده / مشتری], B3, T[نوع عملیات], "فروش") + SUMIFS(T[تسویه], T[فروشنده / مشتری], B3, T[نوع عملیات], "دریافت")</calculatedColumnFormula>
    </tableColumn>
    <tableColumn id="3" xr3:uid="{B77799BE-F3E4-4FD5-990F-68C0F59E66B5}" name="مانده" dataDxfId="44">
      <calculatedColumnFormula>Table2[[#This Row],[کل فروش]]-Table2[[#This Row],[تسویه شده]]</calculatedColumnFormula>
    </tableColumn>
    <tableColumn id="6" xr3:uid="{53B21C31-51C7-420C-9BD5-62B1654155AD}" name="تلفن" dataDxfId="43"/>
    <tableColumn id="4" xr3:uid="{4B7603EC-1574-4030-A093-90707805899C}" name="آدرس" dataDxfId="42"/>
    <tableColumn id="5" xr3:uid="{70BA1BFC-5BE2-474F-B3BD-7E1808706411}" name="ایمیل" dataDxfId="41"/>
    <tableColumn id="7" xr3:uid="{F6EBC08C-B32F-470B-88B6-D79A87396982}" name="سایر اطلاعات" dataDxfId="40"/>
  </tableColumns>
  <tableStyleInfo name="TableStyleDark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F71611-036F-4F2F-9EF7-0669952BC49B}" name="Table3" displayName="Table3" ref="C2:K49" totalsRowShown="0" headerRowDxfId="39" dataDxfId="37" headerRowBorderDxfId="38" tableBorderDxfId="36">
  <autoFilter ref="C2:K49" xr:uid="{06F71611-036F-4F2F-9EF7-0669952BC49B}">
    <filterColumn colId="0">
      <filters>
        <filter val="1,188,000"/>
        <filter val="175,074,000"/>
        <filter val="23,960,000"/>
        <filter val="29,926,000"/>
        <filter val="30,280,000"/>
        <filter val="450,000"/>
        <filter val="46,430,000"/>
        <filter val="500,000"/>
        <filter val="60,916,000"/>
        <filter val="600,000"/>
        <filter val="640,000"/>
        <filter val="70,159,500"/>
        <filter val="750,000"/>
        <filter val="95,040,000"/>
      </filters>
    </filterColumn>
  </autoFilter>
  <tableColumns count="9">
    <tableColumn id="6" xr3:uid="{9A098710-BCA3-4039-9F3B-EE018BE6B114}" name="کل خرید" dataDxfId="35">
      <calculatedColumnFormula>SUMIFS(T[قیمت کل], T[فروشنده / مشتری], B3, T[نوع عملیات], "خرید")</calculatedColumnFormula>
    </tableColumn>
    <tableColumn id="9" xr3:uid="{7984D7C9-9EC2-4E75-BB10-0D8F165B3F97}" name="فروخته شده" dataDxfId="34">
      <calculatedColumnFormula>SUMIFS(Summary[ارزش کالای فروخته شده], Summary[فروشنده], B3)</calculatedColumnFormula>
    </tableColumn>
    <tableColumn id="10" xr3:uid="{ADC6AB62-5E67-4D06-8EA0-F1C553EF28D6}" name="درصد باقیمانده" dataDxfId="33" dataCellStyle="Percent">
      <calculatedColumnFormula>1-Table3[[#This Row],[فروخته شده]]/Table3[[#This Row],[کل خرید]]</calculatedColumnFormula>
    </tableColumn>
    <tableColumn id="7" xr3:uid="{DAEDDAF3-D384-4EB9-9CA9-F49F11D54F7E}" name="تسویه شده" dataDxfId="32">
      <calculatedColumnFormula>SUMIFS(T[تسویه], T[فروشنده / مشتری], B3, T[نوع عملیات], "خرید") + SUMIFS(T[تسویه], T[فروشنده / مشتری], B3, T[نوع عملیات], "پرداخت")</calculatedColumnFormula>
    </tableColumn>
    <tableColumn id="8" xr3:uid="{6399AF1C-D828-4C44-9E2E-6A9E80179134}" name="مانده حساب" dataDxfId="31">
      <calculatedColumnFormula>Table3[[#This Row],[کل خرید]]-Table3[[#This Row],[تسویه شده]]</calculatedColumnFormula>
    </tableColumn>
    <tableColumn id="1" xr3:uid="{AC6BFC56-BBF2-482A-B7CF-AD1D7FC570BD}" name="آدرس" dataDxfId="30"/>
    <tableColumn id="2" xr3:uid="{609E7CDB-1F89-4E89-96C5-5BB113A69A10}" name="ایمیل" dataDxfId="29"/>
    <tableColumn id="3" xr3:uid="{E5DB7BAA-1BD4-4EA4-875D-B6F22DA27172}" name="تلفن" dataDxfId="28"/>
    <tableColumn id="5" xr3:uid="{F88D5B5A-2C02-4B55-9DE0-3304539D84FF}" name="سایر اطلاعات" dataDxfId="27"/>
  </tableColumns>
  <tableStyleInfo name="TableStyleDark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FC20D55-BD7E-4807-B71D-55997250FD85}" name="Table35" displayName="Table35" ref="C2:I13" totalsRowShown="0" headerRowDxfId="26" dataDxfId="24" headerRowBorderDxfId="25" tableBorderDxfId="23">
  <autoFilter ref="C2:I13" xr:uid="{06F71611-036F-4F2F-9EF7-0669952BC49B}"/>
  <tableColumns count="7">
    <tableColumn id="9" xr3:uid="{16280153-5F5B-4F60-8F59-CDC97B83E56A}" name="موجودی اولیه" dataDxfId="22"/>
    <tableColumn id="7" xr3:uid="{E8B5AE4F-D374-4F03-A5B1-AFF581F327B5}" name="واریزی ها" dataDxfId="21">
      <calculatedColumnFormula>SUMIFS(T[تسویه], T[نحوه تسویه], B3, T[نوع عملیات], "فروش") + SUMIFS(T[تسویه], T[نحوه تسویه], B3, T[نوع عملیات], "دریافت")</calculatedColumnFormula>
    </tableColumn>
    <tableColumn id="6" xr3:uid="{E6D9704C-6D37-48CD-BF00-DD7341BDECA9}" name="پرداختی ها" dataDxfId="20">
      <calculatedColumnFormula>SUMIFS(T[تسویه], T[نحوه تسویه], B3, T[نوع عملیات], "خرید") + SUMIFS(T[تسویه], T[نحوه تسویه], B3, T[نوع عملیات], "پرداخت") + SUMIFS(T[تسویه], T[فروشنده / مشتری], B3, T[نوع عملیات], "دریافت")</calculatedColumnFormula>
    </tableColumn>
    <tableColumn id="8" xr3:uid="{4C2E892C-4420-445D-8410-17A13F469235}" name="مانده" dataDxfId="19">
      <calculatedColumnFormula>Table35[[#This Row],[موجودی اولیه]]+Table35[[#This Row],[واریزی ها]]-Table35[[#This Row],[پرداختی ها]]</calculatedColumnFormula>
    </tableColumn>
    <tableColumn id="1" xr3:uid="{64692FEA-612B-4C47-AA34-C416F9543DAD}" name="بانک" dataDxfId="18"/>
    <tableColumn id="2" xr3:uid="{8FF162B2-C011-40A1-8B29-A556A0FEF003}" name="صاحب حساب" dataDxfId="17"/>
    <tableColumn id="4" xr3:uid="{CD7B1301-4EA5-4A23-8DED-CEC83CFFA0FF}" name="سایر" dataDxfId="16"/>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71871-1DA1-4793-A1B1-90F10C6D0FE4}">
  <sheetPr codeName="Sheet11">
    <tabColor theme="4" tint="0.59999389629810485"/>
  </sheetPr>
  <dimension ref="A1:C62"/>
  <sheetViews>
    <sheetView showGridLines="0" showRowColHeaders="0" topLeftCell="A51" workbookViewId="0"/>
  </sheetViews>
  <sheetFormatPr defaultRowHeight="14.25" x14ac:dyDescent="0.45"/>
  <cols>
    <col min="1" max="1" width="2.73046875" customWidth="1"/>
    <col min="2" max="2" width="10.73046875" customWidth="1"/>
    <col min="3" max="3" width="101.3984375" customWidth="1"/>
  </cols>
  <sheetData>
    <row r="1" spans="1:3" ht="37.5" customHeight="1" x14ac:dyDescent="0.45">
      <c r="B1" s="2" t="s">
        <v>0</v>
      </c>
      <c r="C1" s="3" t="s">
        <v>1</v>
      </c>
    </row>
    <row r="2" spans="1:3" ht="5.0999999999999996" customHeight="1" x14ac:dyDescent="0.45">
      <c r="C2" s="4"/>
    </row>
    <row r="3" spans="1:3" ht="18" x14ac:dyDescent="0.55000000000000004">
      <c r="B3" s="5">
        <v>1</v>
      </c>
      <c r="C3" s="5" t="s">
        <v>2</v>
      </c>
    </row>
    <row r="4" spans="1:3" ht="33.75" customHeight="1" x14ac:dyDescent="0.45">
      <c r="B4" s="6"/>
      <c r="C4" s="7" t="s">
        <v>3</v>
      </c>
    </row>
    <row r="5" spans="1:3" x14ac:dyDescent="0.45">
      <c r="B5" s="6"/>
    </row>
    <row r="6" spans="1:3" ht="18" x14ac:dyDescent="0.55000000000000004">
      <c r="A6" s="6"/>
      <c r="B6" s="5">
        <v>2</v>
      </c>
      <c r="C6" s="5" t="s">
        <v>4</v>
      </c>
    </row>
    <row r="7" spans="1:3" ht="15" customHeight="1" x14ac:dyDescent="0.45">
      <c r="A7" s="6"/>
      <c r="C7" s="7" t="s">
        <v>5</v>
      </c>
    </row>
    <row r="8" spans="1:3" ht="15.75" x14ac:dyDescent="0.5">
      <c r="A8" s="6"/>
      <c r="C8" s="8"/>
    </row>
    <row r="9" spans="1:3" ht="18" x14ac:dyDescent="0.55000000000000004">
      <c r="A9" s="6"/>
      <c r="B9" s="5">
        <v>3</v>
      </c>
      <c r="C9" s="5" t="s">
        <v>6</v>
      </c>
    </row>
    <row r="10" spans="1:3" ht="30" customHeight="1" x14ac:dyDescent="0.45">
      <c r="A10" s="6"/>
      <c r="C10" s="7" t="s">
        <v>7</v>
      </c>
    </row>
    <row r="11" spans="1:3" x14ac:dyDescent="0.45">
      <c r="A11" s="6"/>
    </row>
    <row r="12" spans="1:3" ht="18" x14ac:dyDescent="0.55000000000000004">
      <c r="A12" s="6"/>
      <c r="B12" s="5">
        <v>4</v>
      </c>
      <c r="C12" s="5" t="s">
        <v>8</v>
      </c>
    </row>
    <row r="13" spans="1:3" ht="31.5" x14ac:dyDescent="0.45">
      <c r="A13" s="6"/>
      <c r="C13" s="7" t="s">
        <v>9</v>
      </c>
    </row>
    <row r="14" spans="1:3" x14ac:dyDescent="0.45">
      <c r="A14" s="6"/>
    </row>
    <row r="15" spans="1:3" ht="18" x14ac:dyDescent="0.55000000000000004">
      <c r="A15" s="6"/>
      <c r="B15" s="5">
        <v>5</v>
      </c>
      <c r="C15" s="5" t="s">
        <v>10</v>
      </c>
    </row>
    <row r="16" spans="1:3" ht="47.25" x14ac:dyDescent="0.45">
      <c r="A16" s="6"/>
      <c r="C16" s="7" t="s">
        <v>11</v>
      </c>
    </row>
    <row r="17" spans="1:3" x14ac:dyDescent="0.45">
      <c r="A17" s="6"/>
    </row>
    <row r="18" spans="1:3" ht="18" x14ac:dyDescent="0.55000000000000004">
      <c r="A18" s="6"/>
      <c r="B18" s="5">
        <v>6</v>
      </c>
      <c r="C18" s="5" t="s">
        <v>12</v>
      </c>
    </row>
    <row r="19" spans="1:3" ht="31.5" x14ac:dyDescent="0.45">
      <c r="A19" s="6"/>
      <c r="C19" s="7" t="s">
        <v>13</v>
      </c>
    </row>
    <row r="20" spans="1:3" x14ac:dyDescent="0.45">
      <c r="A20" s="6"/>
    </row>
    <row r="21" spans="1:3" ht="18" x14ac:dyDescent="0.55000000000000004">
      <c r="A21" s="6"/>
      <c r="B21" s="5">
        <v>7</v>
      </c>
      <c r="C21" s="5" t="s">
        <v>14</v>
      </c>
    </row>
    <row r="22" spans="1:3" ht="50.25" customHeight="1" x14ac:dyDescent="0.45">
      <c r="A22" s="6"/>
      <c r="C22" s="7" t="s">
        <v>15</v>
      </c>
    </row>
    <row r="23" spans="1:3" x14ac:dyDescent="0.45">
      <c r="A23" s="6"/>
    </row>
    <row r="24" spans="1:3" ht="18" x14ac:dyDescent="0.55000000000000004">
      <c r="A24" s="6"/>
      <c r="B24" s="5">
        <v>8</v>
      </c>
      <c r="C24" s="5" t="s">
        <v>16</v>
      </c>
    </row>
    <row r="25" spans="1:3" ht="31.5" x14ac:dyDescent="0.45">
      <c r="A25" s="6"/>
      <c r="C25" s="7" t="s">
        <v>17</v>
      </c>
    </row>
    <row r="26" spans="1:3" ht="18" x14ac:dyDescent="0.55000000000000004">
      <c r="A26" s="6"/>
      <c r="B26" s="5"/>
      <c r="C26" s="5"/>
    </row>
    <row r="27" spans="1:3" ht="18" x14ac:dyDescent="0.55000000000000004">
      <c r="A27" s="6"/>
      <c r="B27" s="5">
        <v>9</v>
      </c>
      <c r="C27" s="5" t="s">
        <v>18</v>
      </c>
    </row>
    <row r="28" spans="1:3" ht="78.75" x14ac:dyDescent="0.55000000000000004">
      <c r="A28" s="6"/>
      <c r="B28" s="5"/>
      <c r="C28" s="7" t="s">
        <v>19</v>
      </c>
    </row>
    <row r="29" spans="1:3" x14ac:dyDescent="0.45">
      <c r="A29" s="6"/>
    </row>
    <row r="30" spans="1:3" ht="18" x14ac:dyDescent="0.55000000000000004">
      <c r="A30" s="6"/>
      <c r="B30" s="5">
        <v>10</v>
      </c>
      <c r="C30" s="5" t="s">
        <v>20</v>
      </c>
    </row>
    <row r="31" spans="1:3" ht="31.5" x14ac:dyDescent="0.45">
      <c r="A31" s="6"/>
      <c r="C31" s="7" t="s">
        <v>21</v>
      </c>
    </row>
    <row r="32" spans="1:3" x14ac:dyDescent="0.45">
      <c r="A32" s="6"/>
    </row>
    <row r="33" spans="1:3" ht="15.75" x14ac:dyDescent="0.45">
      <c r="A33" s="6"/>
      <c r="C33" s="7" t="s">
        <v>22</v>
      </c>
    </row>
    <row r="34" spans="1:3" ht="31.5" x14ac:dyDescent="0.45">
      <c r="A34" s="6"/>
      <c r="C34" s="7" t="s">
        <v>23</v>
      </c>
    </row>
    <row r="35" spans="1:3" ht="15.75" x14ac:dyDescent="0.45">
      <c r="A35" s="6"/>
      <c r="C35" s="7" t="s">
        <v>24</v>
      </c>
    </row>
    <row r="36" spans="1:3" ht="31.5" x14ac:dyDescent="0.45">
      <c r="A36" s="6"/>
      <c r="C36" s="7" t="s">
        <v>25</v>
      </c>
    </row>
    <row r="37" spans="1:3" ht="63" x14ac:dyDescent="0.45">
      <c r="A37" s="6"/>
      <c r="C37" s="7" t="s">
        <v>26</v>
      </c>
    </row>
    <row r="38" spans="1:3" ht="15.75" x14ac:dyDescent="0.45">
      <c r="A38" s="6"/>
      <c r="C38" s="7" t="s">
        <v>27</v>
      </c>
    </row>
    <row r="39" spans="1:3" ht="15.75" x14ac:dyDescent="0.45">
      <c r="A39" s="6"/>
      <c r="C39" s="7" t="s">
        <v>28</v>
      </c>
    </row>
    <row r="40" spans="1:3" ht="15.75" x14ac:dyDescent="0.45">
      <c r="A40" s="6"/>
      <c r="C40" s="7"/>
    </row>
    <row r="41" spans="1:3" ht="15.75" x14ac:dyDescent="0.45">
      <c r="A41" s="6"/>
      <c r="C41" s="9" t="s">
        <v>29</v>
      </c>
    </row>
    <row r="42" spans="1:3" ht="15.75" x14ac:dyDescent="0.45">
      <c r="A42" s="6"/>
      <c r="C42" s="7" t="s">
        <v>30</v>
      </c>
    </row>
    <row r="43" spans="1:3" ht="15.75" x14ac:dyDescent="0.45">
      <c r="A43" s="6"/>
      <c r="C43" s="7" t="s">
        <v>31</v>
      </c>
    </row>
    <row r="44" spans="1:3" ht="15.75" x14ac:dyDescent="0.45">
      <c r="C44" s="7" t="s">
        <v>32</v>
      </c>
    </row>
    <row r="45" spans="1:3" ht="15.75" x14ac:dyDescent="0.45">
      <c r="C45" s="7" t="s">
        <v>33</v>
      </c>
    </row>
    <row r="46" spans="1:3" ht="15.75" x14ac:dyDescent="0.45">
      <c r="C46" s="7" t="s">
        <v>34</v>
      </c>
    </row>
    <row r="47" spans="1:3" ht="47.25" x14ac:dyDescent="0.45">
      <c r="C47" s="7" t="s">
        <v>35</v>
      </c>
    </row>
    <row r="48" spans="1:3" ht="15.75" x14ac:dyDescent="0.45">
      <c r="C48" s="7" t="s">
        <v>36</v>
      </c>
    </row>
    <row r="49" spans="3:3" ht="15.75" x14ac:dyDescent="0.45">
      <c r="C49" s="7" t="s">
        <v>37</v>
      </c>
    </row>
    <row r="50" spans="3:3" ht="15.75" x14ac:dyDescent="0.45">
      <c r="C50" s="7" t="s">
        <v>38</v>
      </c>
    </row>
    <row r="51" spans="3:3" ht="15.75" x14ac:dyDescent="0.45">
      <c r="C51" s="7"/>
    </row>
    <row r="52" spans="3:3" ht="15.75" x14ac:dyDescent="0.45">
      <c r="C52" s="9" t="s">
        <v>39</v>
      </c>
    </row>
    <row r="53" spans="3:3" ht="15.75" x14ac:dyDescent="0.45">
      <c r="C53" s="7" t="s">
        <v>40</v>
      </c>
    </row>
    <row r="54" spans="3:3" ht="15.75" customHeight="1" x14ac:dyDescent="0.45">
      <c r="C54" s="7" t="s">
        <v>41</v>
      </c>
    </row>
    <row r="55" spans="3:3" ht="47.25" x14ac:dyDescent="0.45">
      <c r="C55" s="7" t="s">
        <v>42</v>
      </c>
    </row>
    <row r="56" spans="3:3" ht="15.75" x14ac:dyDescent="0.45">
      <c r="C56" s="7" t="s">
        <v>43</v>
      </c>
    </row>
    <row r="57" spans="3:3" ht="15.75" x14ac:dyDescent="0.45">
      <c r="C57" s="7"/>
    </row>
    <row r="58" spans="3:3" ht="15.75" x14ac:dyDescent="0.45">
      <c r="C58" s="9" t="s">
        <v>44</v>
      </c>
    </row>
    <row r="59" spans="3:3" ht="15.75" customHeight="1" x14ac:dyDescent="0.45">
      <c r="C59" s="7" t="s">
        <v>45</v>
      </c>
    </row>
    <row r="60" spans="3:3" ht="15.75" customHeight="1" x14ac:dyDescent="0.45">
      <c r="C60" s="7" t="s">
        <v>46</v>
      </c>
    </row>
    <row r="61" spans="3:3" ht="63" x14ac:dyDescent="0.45">
      <c r="C61" s="7" t="s">
        <v>47</v>
      </c>
    </row>
    <row r="62" spans="3:3" ht="15.75" customHeight="1" x14ac:dyDescent="0.45">
      <c r="C62" s="7" t="s">
        <v>48</v>
      </c>
    </row>
  </sheetData>
  <hyperlinks>
    <hyperlink ref="B1" location="Menu!B8" tooltip="Go to Menu" display="MENU" xr:uid="{7657798C-B293-4BC8-9990-41A3BB2A95EC}"/>
  </hyperlinks>
  <pageMargins left="0.7" right="0.7" top="0.75" bottom="0.75" header="0.3" footer="0.3"/>
  <pageSetup paperSize="9" orientation="portrait" horizontalDpi="360" verticalDpi="36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8880B-1F79-468F-B3DA-FFF25906E2FF}">
  <sheetPr codeName="Sheet2">
    <tabColor theme="4" tint="0.39997558519241921"/>
  </sheetPr>
  <dimension ref="A1:Q41"/>
  <sheetViews>
    <sheetView showGridLines="0" workbookViewId="0">
      <selection activeCell="B1" sqref="B1"/>
    </sheetView>
  </sheetViews>
  <sheetFormatPr defaultColWidth="9.1328125" defaultRowHeight="14.25" x14ac:dyDescent="0.45"/>
  <cols>
    <col min="1" max="1" width="12.73046875" style="10" customWidth="1"/>
    <col min="2" max="2" width="12.86328125" style="10" customWidth="1"/>
    <col min="3" max="3" width="27" style="10" customWidth="1"/>
    <col min="4" max="4" width="24.1328125" style="10" customWidth="1"/>
    <col min="5" max="5" width="28.86328125" style="10" customWidth="1"/>
    <col min="6" max="7" width="18.73046875" style="10" customWidth="1"/>
    <col min="8" max="8" width="14.1328125" style="10" customWidth="1"/>
    <col min="9" max="11" width="14.3984375" style="10" customWidth="1"/>
    <col min="12" max="12" width="13.3984375" style="10" customWidth="1"/>
    <col min="13" max="16" width="14" style="10" customWidth="1"/>
    <col min="17" max="17" width="12.3984375" style="10" customWidth="1"/>
    <col min="18" max="16384" width="9.1328125" style="10"/>
  </cols>
  <sheetData>
    <row r="1" spans="1:17" ht="36" customHeight="1" thickBot="1" x14ac:dyDescent="0.55000000000000004">
      <c r="B1" s="1" t="s">
        <v>0</v>
      </c>
      <c r="C1" s="11"/>
      <c r="D1" s="11"/>
      <c r="E1" s="12" t="s">
        <v>49</v>
      </c>
      <c r="F1" s="12" t="s">
        <v>50</v>
      </c>
      <c r="G1" s="12" t="s">
        <v>51</v>
      </c>
      <c r="H1" s="13"/>
      <c r="I1" s="14" t="s">
        <v>52</v>
      </c>
      <c r="J1" s="14" t="s">
        <v>53</v>
      </c>
      <c r="K1" s="14" t="s">
        <v>54</v>
      </c>
      <c r="L1"/>
      <c r="M1" s="14" t="s">
        <v>55</v>
      </c>
      <c r="N1" s="14" t="s">
        <v>56</v>
      </c>
      <c r="O1" s="14" t="s">
        <v>54</v>
      </c>
      <c r="P1" s="15" t="s">
        <v>57</v>
      </c>
    </row>
    <row r="2" spans="1:17" ht="32.1" customHeight="1" thickBot="1" x14ac:dyDescent="0.5">
      <c r="A2" s="16" t="s">
        <v>58</v>
      </c>
      <c r="B2" s="17" t="s">
        <v>59</v>
      </c>
      <c r="C2" s="381" t="s">
        <v>60</v>
      </c>
      <c r="D2" s="382"/>
      <c r="E2" s="18" t="s">
        <v>61</v>
      </c>
      <c r="F2" s="19">
        <f>SUM(I4:I14)-SUM(M4:M14)</f>
        <v>244</v>
      </c>
      <c r="G2" s="20">
        <f>F2*J2</f>
        <v>6501.8823529411766</v>
      </c>
      <c r="H2" s="21"/>
      <c r="I2" s="22">
        <f>SUM(I5:I14)</f>
        <v>680</v>
      </c>
      <c r="J2" s="23">
        <f>IFERROR(K2/I2,0)</f>
        <v>26.647058823529413</v>
      </c>
      <c r="K2" s="24">
        <f>SUM(K5:K14)</f>
        <v>18120</v>
      </c>
      <c r="L2" s="25"/>
      <c r="M2" s="26">
        <f>SUM(M5:M14)</f>
        <v>436</v>
      </c>
      <c r="N2" s="27">
        <f>IFERROR(O2/M2,0)</f>
        <v>47.270752833243392</v>
      </c>
      <c r="O2" s="28">
        <f>SUM(O5:O14)</f>
        <v>20610.048235294118</v>
      </c>
      <c r="P2" s="29" t="s">
        <v>62</v>
      </c>
    </row>
    <row r="3" spans="1:17" ht="21.4" thickBot="1" x14ac:dyDescent="0.7">
      <c r="A3" s="30"/>
      <c r="B3" s="383" t="s">
        <v>63</v>
      </c>
      <c r="C3" s="384"/>
      <c r="D3" s="384"/>
      <c r="E3" s="384"/>
      <c r="F3" s="385"/>
      <c r="G3" s="386"/>
      <c r="H3" s="31" t="s">
        <v>64</v>
      </c>
      <c r="I3" s="32"/>
      <c r="J3" s="32"/>
      <c r="K3" s="33"/>
      <c r="L3" s="34" t="s">
        <v>65</v>
      </c>
      <c r="M3" s="35"/>
      <c r="N3" s="35"/>
      <c r="O3" s="35"/>
      <c r="P3" s="36"/>
    </row>
    <row r="4" spans="1:17" ht="28.9" thickBot="1" x14ac:dyDescent="0.5">
      <c r="A4" s="30"/>
      <c r="B4" s="37" t="s">
        <v>66</v>
      </c>
      <c r="C4" s="38" t="s">
        <v>67</v>
      </c>
      <c r="D4" s="39" t="s">
        <v>68</v>
      </c>
      <c r="E4" s="38" t="s">
        <v>69</v>
      </c>
      <c r="F4" s="38" t="s">
        <v>70</v>
      </c>
      <c r="G4" s="39" t="s">
        <v>70</v>
      </c>
      <c r="H4" s="40" t="s">
        <v>71</v>
      </c>
      <c r="I4" s="41" t="s">
        <v>72</v>
      </c>
      <c r="J4" s="41" t="s">
        <v>73</v>
      </c>
      <c r="K4" s="42" t="s">
        <v>74</v>
      </c>
      <c r="L4" s="43" t="s">
        <v>71</v>
      </c>
      <c r="M4" s="44" t="s">
        <v>72</v>
      </c>
      <c r="N4" s="44" t="s">
        <v>75</v>
      </c>
      <c r="O4" s="45" t="s">
        <v>76</v>
      </c>
      <c r="P4" s="46" t="s">
        <v>77</v>
      </c>
    </row>
    <row r="5" spans="1:17" ht="15" customHeight="1" x14ac:dyDescent="0.45">
      <c r="A5" s="30"/>
      <c r="B5" s="47">
        <v>45664</v>
      </c>
      <c r="C5" s="48" t="s">
        <v>78</v>
      </c>
      <c r="D5" s="49" t="s">
        <v>79</v>
      </c>
      <c r="E5" s="50"/>
      <c r="F5" s="51"/>
      <c r="G5" s="52"/>
      <c r="H5" s="53">
        <v>100123</v>
      </c>
      <c r="I5" s="54">
        <v>500</v>
      </c>
      <c r="J5" s="55">
        <v>26.5</v>
      </c>
      <c r="K5" s="56">
        <f t="shared" ref="K5:K14" si="0">SUM(I5*J5)</f>
        <v>13250</v>
      </c>
      <c r="L5" s="57"/>
      <c r="M5" s="58"/>
      <c r="N5" s="59"/>
      <c r="O5" s="60">
        <f>SUM(M5*N5)</f>
        <v>0</v>
      </c>
      <c r="P5" s="61">
        <f>I5-M5</f>
        <v>500</v>
      </c>
    </row>
    <row r="6" spans="1:17" x14ac:dyDescent="0.45">
      <c r="A6" s="30"/>
      <c r="B6" s="62">
        <v>45680</v>
      </c>
      <c r="C6" s="63" t="s">
        <v>80</v>
      </c>
      <c r="D6" s="64" t="s">
        <v>79</v>
      </c>
      <c r="E6" s="65"/>
      <c r="F6" s="66" t="s">
        <v>81</v>
      </c>
      <c r="G6" s="67"/>
      <c r="H6" s="68" t="s">
        <v>82</v>
      </c>
      <c r="I6" s="69">
        <v>-20</v>
      </c>
      <c r="J6" s="70">
        <v>26.5</v>
      </c>
      <c r="K6" s="71">
        <f t="shared" si="0"/>
        <v>-530</v>
      </c>
      <c r="L6" s="72"/>
      <c r="M6" s="73"/>
      <c r="N6" s="74"/>
      <c r="O6" s="75">
        <f t="shared" ref="O6:O24" si="1">SUM(M6*N6)</f>
        <v>0</v>
      </c>
      <c r="P6" s="76">
        <f t="shared" ref="P6:P14" si="2">P5+I6-M6</f>
        <v>480</v>
      </c>
    </row>
    <row r="7" spans="1:17" ht="15" customHeight="1" x14ac:dyDescent="0.45">
      <c r="A7" s="30"/>
      <c r="B7" s="62">
        <v>45681</v>
      </c>
      <c r="C7" s="63" t="s">
        <v>83</v>
      </c>
      <c r="D7" s="64"/>
      <c r="E7" s="65" t="s">
        <v>84</v>
      </c>
      <c r="F7" s="66"/>
      <c r="G7" s="67"/>
      <c r="H7" s="77"/>
      <c r="I7" s="69"/>
      <c r="J7" s="70"/>
      <c r="K7" s="71">
        <f t="shared" si="0"/>
        <v>0</v>
      </c>
      <c r="L7" s="72">
        <v>2015</v>
      </c>
      <c r="M7" s="73">
        <v>400</v>
      </c>
      <c r="N7" s="74">
        <v>45</v>
      </c>
      <c r="O7" s="75">
        <f t="shared" si="1"/>
        <v>18000</v>
      </c>
      <c r="P7" s="76">
        <f t="shared" si="2"/>
        <v>80</v>
      </c>
    </row>
    <row r="8" spans="1:17" x14ac:dyDescent="0.45">
      <c r="A8" s="30"/>
      <c r="B8" s="62">
        <v>45699</v>
      </c>
      <c r="C8" s="63" t="s">
        <v>85</v>
      </c>
      <c r="D8" s="64"/>
      <c r="E8" s="65" t="s">
        <v>84</v>
      </c>
      <c r="F8" s="66"/>
      <c r="G8" s="67"/>
      <c r="H8" s="77"/>
      <c r="I8" s="69"/>
      <c r="J8" s="70"/>
      <c r="K8" s="71">
        <f t="shared" si="0"/>
        <v>0</v>
      </c>
      <c r="L8" s="72" t="s">
        <v>86</v>
      </c>
      <c r="M8" s="69">
        <v>-100</v>
      </c>
      <c r="N8" s="74">
        <v>45</v>
      </c>
      <c r="O8" s="75">
        <f t="shared" si="1"/>
        <v>-4500</v>
      </c>
      <c r="P8" s="76">
        <f t="shared" si="2"/>
        <v>180</v>
      </c>
    </row>
    <row r="9" spans="1:17" x14ac:dyDescent="0.45">
      <c r="A9" s="30"/>
      <c r="B9" s="62">
        <v>45701</v>
      </c>
      <c r="C9" s="63" t="s">
        <v>78</v>
      </c>
      <c r="D9" s="64" t="s">
        <v>87</v>
      </c>
      <c r="E9" s="65"/>
      <c r="F9" s="66"/>
      <c r="G9" s="67"/>
      <c r="H9" s="68" t="s">
        <v>88</v>
      </c>
      <c r="I9" s="69">
        <v>100</v>
      </c>
      <c r="J9" s="70">
        <v>27</v>
      </c>
      <c r="K9" s="71">
        <f t="shared" si="0"/>
        <v>2700</v>
      </c>
      <c r="L9" s="72"/>
      <c r="M9" s="73"/>
      <c r="N9" s="74"/>
      <c r="O9" s="75">
        <f t="shared" si="1"/>
        <v>0</v>
      </c>
      <c r="P9" s="76">
        <f t="shared" si="2"/>
        <v>280</v>
      </c>
    </row>
    <row r="10" spans="1:17" ht="15" customHeight="1" x14ac:dyDescent="0.45">
      <c r="A10" s="30"/>
      <c r="B10" s="62">
        <v>45709</v>
      </c>
      <c r="C10" s="63" t="s">
        <v>83</v>
      </c>
      <c r="D10" s="64"/>
      <c r="E10" s="65" t="s">
        <v>89</v>
      </c>
      <c r="F10" s="66"/>
      <c r="G10" s="67"/>
      <c r="H10" s="77"/>
      <c r="I10" s="69"/>
      <c r="J10" s="70"/>
      <c r="K10" s="71">
        <f t="shared" si="0"/>
        <v>0</v>
      </c>
      <c r="L10" s="72">
        <v>2025</v>
      </c>
      <c r="M10" s="73">
        <v>40</v>
      </c>
      <c r="N10" s="74">
        <v>50</v>
      </c>
      <c r="O10" s="75">
        <f t="shared" si="1"/>
        <v>2000</v>
      </c>
      <c r="P10" s="76">
        <f t="shared" si="2"/>
        <v>240</v>
      </c>
    </row>
    <row r="11" spans="1:17" x14ac:dyDescent="0.45">
      <c r="A11" s="30"/>
      <c r="B11" s="62">
        <v>45712</v>
      </c>
      <c r="C11" s="63" t="s">
        <v>90</v>
      </c>
      <c r="D11" s="64"/>
      <c r="E11" s="65"/>
      <c r="F11" s="66" t="s">
        <v>91</v>
      </c>
      <c r="G11" s="67"/>
      <c r="H11" s="68"/>
      <c r="I11" s="69"/>
      <c r="J11" s="70"/>
      <c r="K11" s="71">
        <f t="shared" si="0"/>
        <v>0</v>
      </c>
      <c r="L11" s="72" t="s">
        <v>92</v>
      </c>
      <c r="M11" s="73">
        <v>4</v>
      </c>
      <c r="N11" s="74">
        <f>J2</f>
        <v>26.647058823529413</v>
      </c>
      <c r="O11" s="75">
        <f t="shared" si="1"/>
        <v>106.58823529411765</v>
      </c>
      <c r="P11" s="76">
        <f t="shared" si="2"/>
        <v>236</v>
      </c>
    </row>
    <row r="12" spans="1:17" x14ac:dyDescent="0.45">
      <c r="A12" s="30"/>
      <c r="B12" s="62">
        <v>45732</v>
      </c>
      <c r="C12" s="63" t="s">
        <v>83</v>
      </c>
      <c r="D12" s="64"/>
      <c r="E12" s="65" t="s">
        <v>93</v>
      </c>
      <c r="F12" s="66"/>
      <c r="G12" s="67"/>
      <c r="H12" s="77"/>
      <c r="I12" s="69"/>
      <c r="J12" s="70"/>
      <c r="K12" s="71">
        <f t="shared" si="0"/>
        <v>0</v>
      </c>
      <c r="L12" s="72">
        <v>2026</v>
      </c>
      <c r="M12" s="73">
        <v>90</v>
      </c>
      <c r="N12" s="74">
        <v>55</v>
      </c>
      <c r="O12" s="75">
        <f t="shared" si="1"/>
        <v>4950</v>
      </c>
      <c r="P12" s="76">
        <f t="shared" si="2"/>
        <v>146</v>
      </c>
      <c r="Q12" s="78"/>
    </row>
    <row r="13" spans="1:17" ht="15" customHeight="1" x14ac:dyDescent="0.45">
      <c r="A13" s="30"/>
      <c r="B13" s="62">
        <v>45736</v>
      </c>
      <c r="C13" s="63"/>
      <c r="D13" s="64" t="s">
        <v>87</v>
      </c>
      <c r="E13" s="65"/>
      <c r="F13" s="66"/>
      <c r="G13" s="67"/>
      <c r="H13" s="68" t="s">
        <v>94</v>
      </c>
      <c r="I13" s="69">
        <v>100</v>
      </c>
      <c r="J13" s="70">
        <v>27</v>
      </c>
      <c r="K13" s="71">
        <f t="shared" si="0"/>
        <v>2700</v>
      </c>
      <c r="L13" s="72"/>
      <c r="M13" s="73"/>
      <c r="N13" s="79"/>
      <c r="O13" s="75">
        <f t="shared" si="1"/>
        <v>0</v>
      </c>
      <c r="P13" s="76">
        <f t="shared" si="2"/>
        <v>246</v>
      </c>
    </row>
    <row r="14" spans="1:17" ht="14.65" thickBot="1" x14ac:dyDescent="0.5">
      <c r="A14" s="30"/>
      <c r="B14" s="80">
        <v>45747</v>
      </c>
      <c r="C14" s="81" t="s">
        <v>95</v>
      </c>
      <c r="D14" s="82"/>
      <c r="E14" s="83"/>
      <c r="F14" s="84" t="s">
        <v>96</v>
      </c>
      <c r="G14" s="85"/>
      <c r="H14" s="86"/>
      <c r="I14" s="87"/>
      <c r="J14" s="88"/>
      <c r="K14" s="89">
        <f t="shared" si="0"/>
        <v>0</v>
      </c>
      <c r="L14" s="86" t="s">
        <v>92</v>
      </c>
      <c r="M14" s="87">
        <v>2</v>
      </c>
      <c r="N14" s="88">
        <v>26.73</v>
      </c>
      <c r="O14" s="90">
        <f t="shared" si="1"/>
        <v>53.46</v>
      </c>
      <c r="P14" s="91">
        <f t="shared" si="2"/>
        <v>244</v>
      </c>
    </row>
    <row r="15" spans="1:17" ht="15" customHeight="1" x14ac:dyDescent="0.45">
      <c r="A15" s="30"/>
      <c r="B15" s="92"/>
      <c r="C15" s="93"/>
      <c r="D15" s="93"/>
      <c r="E15" s="94"/>
      <c r="F15" s="95"/>
      <c r="G15" s="95"/>
      <c r="H15" s="96"/>
      <c r="I15" s="97"/>
      <c r="J15" s="98"/>
      <c r="K15" s="98"/>
      <c r="L15" s="98"/>
      <c r="M15" s="98"/>
      <c r="N15" s="98"/>
      <c r="O15" s="98"/>
      <c r="P15" s="98"/>
    </row>
    <row r="16" spans="1:17" s="99" customFormat="1" ht="21" x14ac:dyDescent="0.65">
      <c r="B16" s="100" t="s">
        <v>97</v>
      </c>
      <c r="C16" s="101"/>
      <c r="D16" s="101"/>
    </row>
    <row r="17" spans="1:16" s="99" customFormat="1" ht="21" customHeight="1" x14ac:dyDescent="0.65">
      <c r="B17" s="102" t="s">
        <v>98</v>
      </c>
      <c r="C17" s="101"/>
      <c r="D17" s="101"/>
    </row>
    <row r="18" spans="1:16" s="99" customFormat="1" ht="39" customHeight="1" thickBot="1" x14ac:dyDescent="0.55000000000000004">
      <c r="B18" s="11"/>
      <c r="C18" s="11"/>
      <c r="D18" s="11"/>
      <c r="E18" s="12" t="s">
        <v>49</v>
      </c>
      <c r="F18" s="12" t="s">
        <v>50</v>
      </c>
      <c r="G18" s="12" t="s">
        <v>51</v>
      </c>
      <c r="H18" s="13"/>
      <c r="I18" s="14" t="s">
        <v>52</v>
      </c>
      <c r="J18" s="14" t="s">
        <v>53</v>
      </c>
      <c r="K18" s="14" t="s">
        <v>54</v>
      </c>
      <c r="L18"/>
      <c r="M18" s="14" t="s">
        <v>55</v>
      </c>
      <c r="N18" s="14" t="s">
        <v>56</v>
      </c>
      <c r="O18" s="14" t="s">
        <v>54</v>
      </c>
      <c r="P18" s="15" t="s">
        <v>57</v>
      </c>
    </row>
    <row r="19" spans="1:16" ht="39" customHeight="1" thickBot="1" x14ac:dyDescent="0.5">
      <c r="A19" s="16" t="s">
        <v>99</v>
      </c>
      <c r="B19" s="17" t="s">
        <v>100</v>
      </c>
      <c r="C19" s="381" t="s">
        <v>101</v>
      </c>
      <c r="D19" s="382"/>
      <c r="E19" s="18" t="s">
        <v>102</v>
      </c>
      <c r="F19" s="19">
        <f>SUM(I22:I24)-SUM(M22:M24)</f>
        <v>9.07</v>
      </c>
      <c r="G19" s="20">
        <f>F19*J19</f>
        <v>90.518600000000006</v>
      </c>
      <c r="H19" s="21"/>
      <c r="I19" s="22">
        <f>SUM(I22:I24)</f>
        <v>10.35</v>
      </c>
      <c r="J19" s="23">
        <f>IFERROR(K19/I19,0)</f>
        <v>9.98</v>
      </c>
      <c r="K19" s="22">
        <f>SUM(K22:K24)</f>
        <v>103.29300000000001</v>
      </c>
      <c r="L19" s="25"/>
      <c r="M19" s="26">
        <f>SUM(M22:M24)</f>
        <v>1.28</v>
      </c>
      <c r="N19" s="27">
        <f>IFERROR(O19/M19,0)</f>
        <v>9.98</v>
      </c>
      <c r="O19" s="28">
        <f>SUM(O22:O24)</f>
        <v>12.7744</v>
      </c>
      <c r="P19" s="29" t="s">
        <v>103</v>
      </c>
    </row>
    <row r="20" spans="1:16" ht="21.4" thickBot="1" x14ac:dyDescent="0.7">
      <c r="A20" s="103" t="s">
        <v>104</v>
      </c>
      <c r="B20" s="383" t="s">
        <v>63</v>
      </c>
      <c r="C20" s="384"/>
      <c r="D20" s="384"/>
      <c r="E20" s="384"/>
      <c r="F20" s="385"/>
      <c r="G20" s="386"/>
      <c r="H20" s="31" t="s">
        <v>64</v>
      </c>
      <c r="I20" s="32"/>
      <c r="J20" s="32"/>
      <c r="K20" s="33"/>
      <c r="L20" s="34" t="s">
        <v>65</v>
      </c>
      <c r="M20" s="35"/>
      <c r="N20" s="35"/>
      <c r="O20" s="35"/>
      <c r="P20" s="36"/>
    </row>
    <row r="21" spans="1:16" ht="28.9" thickBot="1" x14ac:dyDescent="0.5">
      <c r="A21" s="30"/>
      <c r="B21" s="104" t="s">
        <v>66</v>
      </c>
      <c r="C21" s="105" t="s">
        <v>67</v>
      </c>
      <c r="D21" s="39" t="s">
        <v>68</v>
      </c>
      <c r="E21" s="38" t="s">
        <v>69</v>
      </c>
      <c r="F21" s="38" t="s">
        <v>70</v>
      </c>
      <c r="G21" s="39"/>
      <c r="H21" s="40" t="s">
        <v>71</v>
      </c>
      <c r="I21" s="41" t="s">
        <v>72</v>
      </c>
      <c r="J21" s="41" t="s">
        <v>73</v>
      </c>
      <c r="K21" s="42" t="s">
        <v>74</v>
      </c>
      <c r="L21" s="43" t="s">
        <v>71</v>
      </c>
      <c r="M21" s="44" t="s">
        <v>72</v>
      </c>
      <c r="N21" s="44" t="s">
        <v>75</v>
      </c>
      <c r="O21" s="45" t="s">
        <v>76</v>
      </c>
      <c r="P21" s="46" t="s">
        <v>77</v>
      </c>
    </row>
    <row r="22" spans="1:16" ht="15" customHeight="1" x14ac:dyDescent="0.45">
      <c r="A22" s="30"/>
      <c r="B22" s="47">
        <v>45748</v>
      </c>
      <c r="C22" s="48" t="s">
        <v>78</v>
      </c>
      <c r="D22" s="49" t="s">
        <v>105</v>
      </c>
      <c r="E22" s="50"/>
      <c r="F22" s="52"/>
      <c r="G22" s="106"/>
      <c r="H22" s="53">
        <v>54321</v>
      </c>
      <c r="I22" s="54">
        <v>10.35</v>
      </c>
      <c r="J22" s="55">
        <v>9.98</v>
      </c>
      <c r="K22" s="107">
        <f>SUM(I22*J22)</f>
        <v>103.29300000000001</v>
      </c>
      <c r="L22" s="53"/>
      <c r="M22" s="54"/>
      <c r="N22" s="55"/>
      <c r="O22" s="108">
        <f>SUM(M22*N22)</f>
        <v>0</v>
      </c>
      <c r="P22" s="61">
        <f>I22-M22</f>
        <v>10.35</v>
      </c>
    </row>
    <row r="23" spans="1:16" x14ac:dyDescent="0.45">
      <c r="A23" s="30"/>
      <c r="B23" s="62">
        <v>45752</v>
      </c>
      <c r="C23" s="109" t="s">
        <v>106</v>
      </c>
      <c r="D23" s="64"/>
      <c r="E23" s="65"/>
      <c r="F23" s="110" t="s">
        <v>107</v>
      </c>
      <c r="G23" s="111"/>
      <c r="H23" s="77"/>
      <c r="I23" s="69"/>
      <c r="J23" s="70"/>
      <c r="K23" s="112">
        <f>SUM(I23*J23)</f>
        <v>0</v>
      </c>
      <c r="L23" s="113" t="s">
        <v>92</v>
      </c>
      <c r="M23" s="114">
        <v>1.28</v>
      </c>
      <c r="N23" s="115">
        <f>J19</f>
        <v>9.98</v>
      </c>
      <c r="O23" s="116">
        <f t="shared" si="1"/>
        <v>12.7744</v>
      </c>
      <c r="P23" s="76">
        <f>P22+I23-M23</f>
        <v>9.07</v>
      </c>
    </row>
    <row r="24" spans="1:16" ht="14.65" thickBot="1" x14ac:dyDescent="0.5">
      <c r="A24" s="30"/>
      <c r="B24" s="80"/>
      <c r="C24" s="81"/>
      <c r="D24" s="82"/>
      <c r="E24" s="117"/>
      <c r="F24" s="85"/>
      <c r="G24" s="118"/>
      <c r="H24" s="119"/>
      <c r="I24" s="87"/>
      <c r="J24" s="88"/>
      <c r="K24" s="120">
        <f>SUM(I24*J24)</f>
        <v>0</v>
      </c>
      <c r="L24" s="119"/>
      <c r="M24" s="87"/>
      <c r="N24" s="88"/>
      <c r="O24" s="121">
        <f t="shared" si="1"/>
        <v>0</v>
      </c>
      <c r="P24" s="91">
        <f>P23+I24-M24</f>
        <v>9.07</v>
      </c>
    </row>
    <row r="25" spans="1:16" x14ac:dyDescent="0.45">
      <c r="A25" s="30"/>
      <c r="B25" s="92"/>
      <c r="C25" s="93"/>
      <c r="D25" s="93"/>
      <c r="E25" s="95"/>
      <c r="F25" s="95"/>
      <c r="G25" s="95"/>
      <c r="H25" s="122"/>
      <c r="I25" s="97"/>
      <c r="J25" s="98"/>
      <c r="K25" s="122"/>
      <c r="L25" s="122"/>
      <c r="M25" s="97"/>
      <c r="N25" s="98"/>
      <c r="O25" s="98"/>
      <c r="P25" s="123"/>
    </row>
    <row r="26" spans="1:16" s="99" customFormat="1" ht="30.75" customHeight="1" thickBot="1" x14ac:dyDescent="0.55000000000000004">
      <c r="B26" s="11"/>
      <c r="C26" s="11"/>
      <c r="D26" s="11"/>
      <c r="E26" s="12" t="s">
        <v>49</v>
      </c>
      <c r="F26" s="12" t="s">
        <v>50</v>
      </c>
      <c r="G26" s="12" t="s">
        <v>51</v>
      </c>
      <c r="H26" s="13"/>
      <c r="I26" s="14" t="s">
        <v>52</v>
      </c>
      <c r="J26" s="14" t="s">
        <v>53</v>
      </c>
      <c r="K26" s="14" t="s">
        <v>54</v>
      </c>
      <c r="L26"/>
      <c r="M26" s="14" t="s">
        <v>55</v>
      </c>
      <c r="N26" s="14" t="s">
        <v>56</v>
      </c>
      <c r="O26" s="14" t="s">
        <v>54</v>
      </c>
      <c r="P26" s="15" t="s">
        <v>57</v>
      </c>
    </row>
    <row r="27" spans="1:16" ht="39" customHeight="1" thickBot="1" x14ac:dyDescent="0.5">
      <c r="A27" s="16" t="s">
        <v>108</v>
      </c>
      <c r="B27" s="17" t="s">
        <v>109</v>
      </c>
      <c r="C27" s="381" t="s">
        <v>110</v>
      </c>
      <c r="D27" s="382"/>
      <c r="E27" s="18" t="s">
        <v>111</v>
      </c>
      <c r="F27" s="19">
        <f>SUM(I30:I32)-SUM(M30:M32)</f>
        <v>19</v>
      </c>
      <c r="G27" s="20">
        <f>F27*J27</f>
        <v>18.43</v>
      </c>
      <c r="H27" s="21"/>
      <c r="I27" s="22">
        <f>SUM(I30:I32)</f>
        <v>20</v>
      </c>
      <c r="J27" s="23">
        <f>IFERROR(K27/I27,0)</f>
        <v>0.97</v>
      </c>
      <c r="K27" s="22">
        <f>SUM(K30:K32)</f>
        <v>19.399999999999999</v>
      </c>
      <c r="L27" s="25"/>
      <c r="M27" s="26">
        <f>SUM(M30:M32)</f>
        <v>1</v>
      </c>
      <c r="N27" s="27">
        <f>IFERROR(O27/M27,0)</f>
        <v>0.97</v>
      </c>
      <c r="O27" s="28">
        <f>SUM(O30:O32)</f>
        <v>0.97</v>
      </c>
      <c r="P27" s="29" t="s">
        <v>112</v>
      </c>
    </row>
    <row r="28" spans="1:16" ht="21.4" thickBot="1" x14ac:dyDescent="0.7">
      <c r="A28" s="103" t="s">
        <v>113</v>
      </c>
      <c r="B28" s="383" t="s">
        <v>63</v>
      </c>
      <c r="C28" s="384"/>
      <c r="D28" s="384"/>
      <c r="E28" s="384"/>
      <c r="F28" s="385"/>
      <c r="G28" s="386"/>
      <c r="H28" s="31" t="s">
        <v>64</v>
      </c>
      <c r="I28" s="32"/>
      <c r="J28" s="32"/>
      <c r="K28" s="33"/>
      <c r="L28" s="34" t="s">
        <v>65</v>
      </c>
      <c r="M28" s="35"/>
      <c r="N28" s="35"/>
      <c r="O28" s="35"/>
      <c r="P28" s="36"/>
    </row>
    <row r="29" spans="1:16" ht="28.9" thickBot="1" x14ac:dyDescent="0.5">
      <c r="A29" s="30"/>
      <c r="B29" s="104" t="s">
        <v>66</v>
      </c>
      <c r="C29" s="105" t="s">
        <v>67</v>
      </c>
      <c r="D29" s="39" t="s">
        <v>68</v>
      </c>
      <c r="E29" s="38" t="s">
        <v>69</v>
      </c>
      <c r="F29" s="38" t="s">
        <v>70</v>
      </c>
      <c r="G29" s="39"/>
      <c r="H29" s="40" t="s">
        <v>71</v>
      </c>
      <c r="I29" s="41" t="s">
        <v>72</v>
      </c>
      <c r="J29" s="41" t="s">
        <v>73</v>
      </c>
      <c r="K29" s="42" t="s">
        <v>74</v>
      </c>
      <c r="L29" s="43" t="s">
        <v>71</v>
      </c>
      <c r="M29" s="44" t="s">
        <v>72</v>
      </c>
      <c r="N29" s="44" t="s">
        <v>75</v>
      </c>
      <c r="O29" s="45" t="s">
        <v>76</v>
      </c>
      <c r="P29" s="46" t="s">
        <v>77</v>
      </c>
    </row>
    <row r="30" spans="1:16" ht="15" customHeight="1" x14ac:dyDescent="0.45">
      <c r="A30" s="30"/>
      <c r="B30" s="47">
        <v>45748</v>
      </c>
      <c r="C30" s="48" t="s">
        <v>78</v>
      </c>
      <c r="D30" s="49" t="s">
        <v>114</v>
      </c>
      <c r="E30" s="50"/>
      <c r="F30" s="52"/>
      <c r="G30" s="106"/>
      <c r="H30" s="53">
        <v>2468</v>
      </c>
      <c r="I30" s="54">
        <v>20</v>
      </c>
      <c r="J30" s="55">
        <v>0.97</v>
      </c>
      <c r="K30" s="107">
        <f>SUM(I30*J30)</f>
        <v>19.399999999999999</v>
      </c>
      <c r="L30" s="53"/>
      <c r="M30" s="54"/>
      <c r="N30" s="55"/>
      <c r="O30" s="108">
        <f>SUM(M30*N30)</f>
        <v>0</v>
      </c>
      <c r="P30" s="61">
        <f>I30-M30</f>
        <v>20</v>
      </c>
    </row>
    <row r="31" spans="1:16" x14ac:dyDescent="0.45">
      <c r="A31" s="30"/>
      <c r="B31" s="62">
        <v>45752</v>
      </c>
      <c r="C31" s="109" t="s">
        <v>106</v>
      </c>
      <c r="D31" s="64"/>
      <c r="E31" s="65"/>
      <c r="F31" s="110" t="s">
        <v>107</v>
      </c>
      <c r="G31" s="111"/>
      <c r="H31" s="77"/>
      <c r="I31" s="69"/>
      <c r="J31" s="70"/>
      <c r="K31" s="112">
        <f>SUM(I31*J31)</f>
        <v>0</v>
      </c>
      <c r="L31" s="113" t="s">
        <v>92</v>
      </c>
      <c r="M31" s="114">
        <v>1</v>
      </c>
      <c r="N31" s="115">
        <f>J27</f>
        <v>0.97</v>
      </c>
      <c r="O31" s="116">
        <f>SUM(M31*N31)</f>
        <v>0.97</v>
      </c>
      <c r="P31" s="76">
        <f>P30+I31-M31</f>
        <v>19</v>
      </c>
    </row>
    <row r="32" spans="1:16" ht="14.65" thickBot="1" x14ac:dyDescent="0.5">
      <c r="A32" s="30"/>
      <c r="B32" s="80"/>
      <c r="C32" s="81"/>
      <c r="D32" s="82"/>
      <c r="E32" s="117"/>
      <c r="F32" s="85"/>
      <c r="G32" s="118"/>
      <c r="H32" s="119"/>
      <c r="I32" s="87"/>
      <c r="J32" s="88"/>
      <c r="K32" s="120">
        <f>SUM(I32*J32)</f>
        <v>0</v>
      </c>
      <c r="L32" s="119"/>
      <c r="M32" s="87"/>
      <c r="N32" s="88"/>
      <c r="O32" s="121">
        <f>SUM(M32*N32)</f>
        <v>0</v>
      </c>
      <c r="P32" s="91">
        <f>P31+I32-M32</f>
        <v>19</v>
      </c>
    </row>
    <row r="33" spans="1:17" x14ac:dyDescent="0.45">
      <c r="A33" s="30"/>
      <c r="B33" s="92"/>
      <c r="C33" s="93"/>
      <c r="D33" s="93"/>
      <c r="E33" s="95"/>
      <c r="F33" s="95"/>
      <c r="G33" s="95"/>
      <c r="H33" s="122"/>
      <c r="I33" s="97"/>
      <c r="J33" s="98"/>
      <c r="K33" s="122"/>
      <c r="L33" s="122"/>
      <c r="M33" s="97"/>
      <c r="N33" s="98"/>
      <c r="O33" s="98"/>
      <c r="P33" s="123"/>
    </row>
    <row r="34" spans="1:17" s="99" customFormat="1" ht="29.25" customHeight="1" thickBot="1" x14ac:dyDescent="0.55000000000000004">
      <c r="B34" s="11"/>
      <c r="C34" s="11"/>
      <c r="D34" s="11"/>
      <c r="E34" s="12" t="s">
        <v>49</v>
      </c>
      <c r="F34" s="12" t="s">
        <v>50</v>
      </c>
      <c r="G34" s="12" t="s">
        <v>51</v>
      </c>
      <c r="H34" s="13"/>
      <c r="I34" s="14" t="s">
        <v>52</v>
      </c>
      <c r="J34" s="14" t="s">
        <v>53</v>
      </c>
      <c r="K34" s="14" t="s">
        <v>54</v>
      </c>
      <c r="L34"/>
      <c r="M34" s="14" t="s">
        <v>55</v>
      </c>
      <c r="N34" s="14" t="s">
        <v>56</v>
      </c>
      <c r="O34" s="14" t="s">
        <v>54</v>
      </c>
      <c r="P34" s="15" t="s">
        <v>57</v>
      </c>
    </row>
    <row r="35" spans="1:17" ht="39" customHeight="1" thickBot="1" x14ac:dyDescent="0.5">
      <c r="A35" s="16" t="s">
        <v>115</v>
      </c>
      <c r="B35" s="17" t="s">
        <v>116</v>
      </c>
      <c r="C35" s="381" t="s">
        <v>117</v>
      </c>
      <c r="D35" s="382"/>
      <c r="E35" s="18" t="s">
        <v>118</v>
      </c>
      <c r="F35" s="19">
        <f>SUM(I36:I38)-SUM(M36:M38)</f>
        <v>1</v>
      </c>
      <c r="G35" s="20">
        <f>F35*J35</f>
        <v>13.744400000000001</v>
      </c>
      <c r="H35" s="21"/>
      <c r="I35" s="22">
        <f>SUM(I38:I40)</f>
        <v>1</v>
      </c>
      <c r="J35" s="23">
        <f>IFERROR(K35/I35,0)</f>
        <v>13.744400000000001</v>
      </c>
      <c r="K35" s="22">
        <f>SUM(K38:K40)</f>
        <v>13.744400000000001</v>
      </c>
      <c r="L35" s="25"/>
      <c r="M35" s="26">
        <f>SUM(M38:M40)</f>
        <v>1</v>
      </c>
      <c r="N35" s="27">
        <f>IFERROR(O35/M35,0)</f>
        <v>25</v>
      </c>
      <c r="O35" s="28">
        <f>SUM(O38:O40)</f>
        <v>25</v>
      </c>
      <c r="P35" s="29" t="s">
        <v>119</v>
      </c>
    </row>
    <row r="36" spans="1:17" ht="21.4" thickBot="1" x14ac:dyDescent="0.7">
      <c r="A36" s="103" t="s">
        <v>120</v>
      </c>
      <c r="B36" s="383" t="s">
        <v>63</v>
      </c>
      <c r="C36" s="384"/>
      <c r="D36" s="384"/>
      <c r="E36" s="384"/>
      <c r="F36" s="385"/>
      <c r="G36" s="386"/>
      <c r="H36" s="31" t="s">
        <v>64</v>
      </c>
      <c r="I36" s="32"/>
      <c r="J36" s="32"/>
      <c r="K36" s="33"/>
      <c r="L36" s="34" t="s">
        <v>65</v>
      </c>
      <c r="M36" s="35"/>
      <c r="N36" s="35"/>
      <c r="O36" s="35"/>
      <c r="P36" s="36"/>
    </row>
    <row r="37" spans="1:17" ht="28.9" thickBot="1" x14ac:dyDescent="0.5">
      <c r="A37" s="124" t="s">
        <v>121</v>
      </c>
      <c r="B37" s="125" t="s">
        <v>66</v>
      </c>
      <c r="C37" s="126" t="s">
        <v>67</v>
      </c>
      <c r="D37" s="127" t="s">
        <v>68</v>
      </c>
      <c r="E37" s="126" t="s">
        <v>69</v>
      </c>
      <c r="F37" s="38" t="s">
        <v>70</v>
      </c>
      <c r="G37" s="39"/>
      <c r="H37" s="40" t="s">
        <v>71</v>
      </c>
      <c r="I37" s="41" t="s">
        <v>72</v>
      </c>
      <c r="J37" s="41" t="s">
        <v>73</v>
      </c>
      <c r="K37" s="42" t="s">
        <v>74</v>
      </c>
      <c r="L37" s="43" t="s">
        <v>71</v>
      </c>
      <c r="M37" s="44" t="s">
        <v>72</v>
      </c>
      <c r="N37" s="44" t="s">
        <v>75</v>
      </c>
      <c r="O37" s="45" t="s">
        <v>76</v>
      </c>
      <c r="P37" s="46" t="s">
        <v>77</v>
      </c>
    </row>
    <row r="38" spans="1:17" ht="15" customHeight="1" x14ac:dyDescent="0.45">
      <c r="A38" s="30"/>
      <c r="B38" s="47">
        <v>45754</v>
      </c>
      <c r="C38" s="128" t="s">
        <v>122</v>
      </c>
      <c r="D38" s="49"/>
      <c r="E38" s="50"/>
      <c r="F38" s="129" t="s">
        <v>123</v>
      </c>
      <c r="G38" s="130"/>
      <c r="H38" s="131" t="s">
        <v>92</v>
      </c>
      <c r="I38" s="132">
        <v>1</v>
      </c>
      <c r="J38" s="133">
        <f>O31+O23</f>
        <v>13.744400000000001</v>
      </c>
      <c r="K38" s="107">
        <f>SUM(I38*J38)</f>
        <v>13.744400000000001</v>
      </c>
      <c r="L38" s="53"/>
      <c r="M38" s="54"/>
      <c r="N38" s="55"/>
      <c r="O38" s="108">
        <f>SUM(M38*N38)</f>
        <v>0</v>
      </c>
      <c r="P38" s="61">
        <f>I38-M38</f>
        <v>1</v>
      </c>
    </row>
    <row r="39" spans="1:17" ht="15" customHeight="1" x14ac:dyDescent="0.45">
      <c r="A39" s="30"/>
      <c r="B39" s="62">
        <v>45757</v>
      </c>
      <c r="C39" s="63" t="s">
        <v>83</v>
      </c>
      <c r="D39" s="64"/>
      <c r="E39" s="65" t="s">
        <v>124</v>
      </c>
      <c r="F39" s="67"/>
      <c r="G39" s="134"/>
      <c r="H39" s="77"/>
      <c r="I39" s="69"/>
      <c r="J39" s="70"/>
      <c r="K39" s="112">
        <f>SUM(I39*J39)</f>
        <v>0</v>
      </c>
      <c r="L39" s="77">
        <v>2030</v>
      </c>
      <c r="M39" s="69">
        <v>1</v>
      </c>
      <c r="N39" s="70">
        <v>25</v>
      </c>
      <c r="O39" s="135">
        <f>SUM(M39*N39)</f>
        <v>25</v>
      </c>
      <c r="P39" s="76">
        <f>P38+I39-M39</f>
        <v>0</v>
      </c>
    </row>
    <row r="40" spans="1:17" ht="14.65" thickBot="1" x14ac:dyDescent="0.5">
      <c r="A40" s="30"/>
      <c r="B40" s="80"/>
      <c r="C40" s="81"/>
      <c r="D40" s="82"/>
      <c r="E40" s="117"/>
      <c r="F40" s="85"/>
      <c r="G40" s="118"/>
      <c r="H40" s="119"/>
      <c r="I40" s="87"/>
      <c r="J40" s="88"/>
      <c r="K40" s="120"/>
      <c r="L40" s="119"/>
      <c r="M40" s="87"/>
      <c r="N40" s="88"/>
      <c r="O40" s="121"/>
      <c r="P40" s="91"/>
    </row>
    <row r="41" spans="1:17" x14ac:dyDescent="0.45">
      <c r="A41" s="30"/>
      <c r="B41" s="30"/>
      <c r="C41" s="30"/>
      <c r="D41" s="30"/>
      <c r="E41" s="30"/>
      <c r="F41" s="30"/>
      <c r="G41" s="30"/>
      <c r="H41" s="30"/>
      <c r="I41" s="30"/>
      <c r="J41" s="136"/>
      <c r="K41" s="136"/>
      <c r="L41" s="136"/>
      <c r="M41" s="30"/>
      <c r="N41" s="30"/>
      <c r="O41" s="30"/>
      <c r="P41" s="137"/>
      <c r="Q41" s="30"/>
    </row>
  </sheetData>
  <mergeCells count="8">
    <mergeCell ref="C35:D35"/>
    <mergeCell ref="B36:G36"/>
    <mergeCell ref="C2:D2"/>
    <mergeCell ref="B3:G3"/>
    <mergeCell ref="C19:D19"/>
    <mergeCell ref="B20:G20"/>
    <mergeCell ref="C27:D27"/>
    <mergeCell ref="B28:G28"/>
  </mergeCells>
  <dataValidations count="3">
    <dataValidation type="list" allowBlank="1" showInputMessage="1" showErrorMessage="1" sqref="C38:D40 C30:C33 C22:C25 C5:C15 D23:D25 D31:D33" xr:uid="{689E15BC-6DB2-4479-B396-20146B8DF009}">
      <formula1>ListSelections</formula1>
    </dataValidation>
    <dataValidation allowBlank="1" showInputMessage="1" showErrorMessage="1" promptTitle="ID Number" prompt="Do not enter the ID Number here. Enter it into the 'Stock Details'sheet." sqref="P2 P19" xr:uid="{4B718921-C883-4F8D-BEC2-0C82E224DF00}"/>
    <dataValidation allowBlank="1" showInputMessage="1" showErrorMessage="1" promptTitle="Stock Name" prompt="Do not enter the stock name here. Enter it into the 'Stock Details' sheet." sqref="C2" xr:uid="{36F1F9E4-D9D5-4EA5-A992-29A3BA574462}"/>
  </dataValidations>
  <hyperlinks>
    <hyperlink ref="B1" location="Menu!D8" tooltip="Go to Menu" display="MENU" xr:uid="{BC128062-5D85-4979-82BF-911949ED172E}"/>
    <hyperlink ref="B2" location="'Stock Manager'!C4" tooltip="Go to Item in Stock Manager" display="Item #1" xr:uid="{D792825D-D3D6-4A99-A564-D1C26A8FA3AE}"/>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27B19-E903-4E8F-976F-7D4EF243BF0A}">
  <sheetPr codeName="Sheet5">
    <tabColor theme="7" tint="0.39997558519241921"/>
  </sheetPr>
  <dimension ref="B1:P318"/>
  <sheetViews>
    <sheetView rightToLeft="1" topLeftCell="B147" zoomScale="108" zoomScaleNormal="110" workbookViewId="0">
      <selection activeCell="C215" sqref="C215"/>
    </sheetView>
  </sheetViews>
  <sheetFormatPr defaultRowHeight="16.899999999999999" x14ac:dyDescent="0.8"/>
  <cols>
    <col min="1" max="1" width="1.6640625" customWidth="1"/>
    <col min="2" max="2" width="27.796875" style="152" bestFit="1" customWidth="1"/>
    <col min="3" max="3" width="7.33203125" style="141" customWidth="1"/>
    <col min="4" max="4" width="13.796875" style="141" customWidth="1"/>
    <col min="5" max="5" width="11.9296875" style="141" customWidth="1"/>
    <col min="6" max="6" width="9.3984375" style="141" customWidth="1"/>
    <col min="7" max="8" width="12.59765625" style="141" customWidth="1"/>
    <col min="9" max="9" width="10.1328125" style="141" customWidth="1"/>
    <col min="10" max="10" width="10.6640625" style="141" bestFit="1" customWidth="1"/>
    <col min="11" max="11" width="11.9296875" style="152" customWidth="1"/>
    <col min="12" max="12" width="11.1328125" style="152" customWidth="1"/>
    <col min="13" max="13" width="10.1328125" style="152" customWidth="1"/>
    <col min="14" max="14" width="13.1328125" style="141" customWidth="1"/>
    <col min="16" max="16" width="9.6640625" bestFit="1" customWidth="1"/>
  </cols>
  <sheetData>
    <row r="1" spans="2:15" ht="24" x14ac:dyDescent="0.8">
      <c r="B1" s="323" t="s">
        <v>483</v>
      </c>
    </row>
    <row r="2" spans="2:15" s="194" customFormat="1" ht="42" customHeight="1" x14ac:dyDescent="0.45">
      <c r="B2" s="192" t="s">
        <v>159</v>
      </c>
      <c r="C2" s="193" t="s">
        <v>168</v>
      </c>
      <c r="D2" s="193" t="s">
        <v>200</v>
      </c>
      <c r="E2" s="193" t="s">
        <v>198</v>
      </c>
      <c r="F2" s="193" t="s">
        <v>167</v>
      </c>
      <c r="G2" s="193" t="s">
        <v>199</v>
      </c>
      <c r="H2" s="237" t="s">
        <v>385</v>
      </c>
      <c r="I2" s="193" t="s">
        <v>189</v>
      </c>
      <c r="J2" s="237" t="s">
        <v>154</v>
      </c>
      <c r="K2" s="192" t="s">
        <v>293</v>
      </c>
      <c r="L2" s="192" t="s">
        <v>213</v>
      </c>
      <c r="M2" s="192" t="s">
        <v>158</v>
      </c>
      <c r="N2" s="193" t="s">
        <v>214</v>
      </c>
      <c r="O2" s="193" t="s">
        <v>431</v>
      </c>
    </row>
    <row r="3" spans="2:15" x14ac:dyDescent="0.8">
      <c r="B3" s="191" t="str" cm="1">
        <f t="array" ref="B3:B318">_xlfn.UNIQUE(_xlfn._xlws.FILTER(T[کالا], ISNUMBER(T[سال]) * ((T[نوع عملیات]="خرید") + (T[نوع عملیات]="فروش"))))</f>
        <v>گپ مشکی</v>
      </c>
      <c r="C3" s="141">
        <f>SUMIFS(T[تعداد], T[کالا], B3, T[نوع عملیات], "خرید")</f>
        <v>1</v>
      </c>
      <c r="D3" s="141">
        <f t="shared" ref="D3:D34" si="0">IFERROR(E3/C3, 0)</f>
        <v>200000</v>
      </c>
      <c r="E3" s="141">
        <f>SUMIFS(T[قیمت کل], T[کالا], B3, T[نوع عملیات], "خرید")</f>
        <v>200000</v>
      </c>
      <c r="F3" s="141">
        <f>SUMIFS(T[تعداد], T[کالا], B3, T[نوع عملیات], "فروش") + SUMIFS(T[تعداد], T[کالا], B3, T[نوع عملیات], "استفاده خودم")</f>
        <v>1</v>
      </c>
      <c r="G3" s="141">
        <f>SUMIFS(T[قیمت کل], T[کالا], B3, T[نوع عملیات], "فروش")</f>
        <v>450000</v>
      </c>
      <c r="H3" s="141">
        <f>Summary[[#This Row],[فروش]]*Summary[[#This Row],[قیمت تمام شده]]</f>
        <v>200000</v>
      </c>
      <c r="I3" s="141">
        <f>Summary[[#This Row],[خرید]]-Summary[[#This Row],[فروش]]</f>
        <v>0</v>
      </c>
      <c r="J3" s="141">
        <f>Summary[[#This Row],[موجودی]]*Summary[[#This Row],[قیمت تمام شده]]</f>
        <v>0</v>
      </c>
      <c r="K3" s="152" t="str">
        <f>IF(B3="", "", _xlfn.XLOOKUP(B3, T[کالا], T[نحوه تسویه], ""))</f>
        <v>نقدی</v>
      </c>
      <c r="L3" s="152" t="str">
        <f>IF(B3="", "", _xlfn.XLOOKUP(B3, T[کالا], T[شماره فاکتور], ""))</f>
        <v>و 309</v>
      </c>
      <c r="M3" s="152" t="str">
        <f>IF(B3="", "", _xlfn.XLOOKUP(Summary[[#This Row],[فاکتور]], T[شماره فاکتور], T[فروشنده / مشتری], "نامشخص"))</f>
        <v>وان ترکیه</v>
      </c>
      <c r="N3" s="141">
        <f>Summary[[#This Row],[ارزش فروش]] - (Summary[[#This Row],[قیمت تمام شده]]*Summary[[#This Row],[فروش]])</f>
        <v>250000</v>
      </c>
      <c r="O3" s="365">
        <f>IFERROR(Summary[[#This Row],[سود]]/Summary[[#This Row],[ارزش کالای فروخته شده]], "")</f>
        <v>1.25</v>
      </c>
    </row>
    <row r="4" spans="2:15" x14ac:dyDescent="0.8">
      <c r="B4" s="152" t="str">
        <v>دامن لینن کتان</v>
      </c>
      <c r="C4" s="141">
        <f>SUMIFS(T[تعداد], T[کالا], B4, T[نوع عملیات], "خرید")</f>
        <v>0</v>
      </c>
      <c r="D4" s="141">
        <f t="shared" si="0"/>
        <v>0</v>
      </c>
      <c r="E4" s="141">
        <f>SUMIFS(T[قیمت کل], T[کالا], B4, T[نوع عملیات], "خرید")</f>
        <v>0</v>
      </c>
      <c r="F4" s="141">
        <f>SUMIFS(T[تعداد], T[کالا], B4, T[نوع عملیات], "فروش") + SUMIFS(T[تعداد], T[کالا], B4, T[نوع عملیات], "استفاده خودم")</f>
        <v>0</v>
      </c>
      <c r="G4" s="141">
        <f>SUMIFS(T[قیمت کل], T[کالا], B4, T[نوع عملیات], "فروش")</f>
        <v>0</v>
      </c>
      <c r="H4" s="141">
        <f>Summary[[#This Row],[فروش]]*Summary[[#This Row],[قیمت تمام شده]]</f>
        <v>0</v>
      </c>
      <c r="I4" s="141">
        <f>Summary[[#This Row],[خرید]]-Summary[[#This Row],[فروش]]</f>
        <v>0</v>
      </c>
      <c r="J4" s="141">
        <f>Summary[[#This Row],[موجودی]]*Summary[[#This Row],[قیمت تمام شده]]</f>
        <v>0</v>
      </c>
      <c r="K4" s="152" t="str">
        <f>IF(B4="", "", _xlfn.XLOOKUP(B4, T[کالا], T[نحوه تسویه], ""))</f>
        <v>اعتباری</v>
      </c>
      <c r="L4" s="152" t="str">
        <f>IF(B4="", "", _xlfn.XLOOKUP(B4, T[کالا], T[شماره فاکتور], ""))</f>
        <v>م 1971</v>
      </c>
      <c r="M4" s="152" t="str">
        <f>IF(B4="", "", _xlfn.XLOOKUP(Summary[[#This Row],[فاکتور]], T[شماره فاکتور], T[فروشنده / مشتری], "نامشخص"))</f>
        <v>مهناز - تولیدی</v>
      </c>
      <c r="N4" s="141">
        <f>Summary[[#This Row],[ارزش فروش]] - (Summary[[#This Row],[قیمت تمام شده]]*Summary[[#This Row],[فروش]])</f>
        <v>0</v>
      </c>
      <c r="O4" s="365" t="str">
        <f>IFERROR(Summary[[#This Row],[سود]]/Summary[[#This Row],[ارزش کالای فروخته شده]], "")</f>
        <v/>
      </c>
    </row>
    <row r="5" spans="2:15" x14ac:dyDescent="0.8">
      <c r="B5" s="191" t="str">
        <v>نیم تنه چپ و راستی</v>
      </c>
      <c r="C5" s="141">
        <f>SUMIFS(T[تعداد], T[کالا], B5, T[نوع عملیات], "خرید")</f>
        <v>4</v>
      </c>
      <c r="D5" s="141">
        <f t="shared" si="0"/>
        <v>300000</v>
      </c>
      <c r="E5" s="141">
        <f>SUMIFS(T[قیمت کل], T[کالا], B5, T[نوع عملیات], "خرید")</f>
        <v>1200000</v>
      </c>
      <c r="F5" s="141">
        <f>SUMIFS(T[تعداد], T[کالا], B5, T[نوع عملیات], "فروش") + SUMIFS(T[تعداد], T[کالا], B5, T[نوع عملیات], "استفاده خودم")</f>
        <v>4</v>
      </c>
      <c r="G5" s="141">
        <f>SUMIFS(T[قیمت کل], T[کالا], B5, T[نوع عملیات], "فروش")</f>
        <v>2500000</v>
      </c>
      <c r="H5" s="141">
        <f>Summary[[#This Row],[فروش]]*Summary[[#This Row],[قیمت تمام شده]]</f>
        <v>1200000</v>
      </c>
      <c r="I5" s="141">
        <f>Summary[[#This Row],[خرید]]-Summary[[#This Row],[فروش]]</f>
        <v>0</v>
      </c>
      <c r="J5" s="141">
        <f>Summary[[#This Row],[موجودی]]*Summary[[#This Row],[قیمت تمام شده]]</f>
        <v>0</v>
      </c>
      <c r="K5" s="152" t="str">
        <f>IF(B5="", "", _xlfn.XLOOKUP(B5, T[کالا], T[نحوه تسویه], ""))</f>
        <v>اعتباری</v>
      </c>
      <c r="L5" s="152" t="str">
        <f>IF(B5="", "", _xlfn.XLOOKUP(B5, T[کالا], T[شماره فاکتور], ""))</f>
        <v>م 1971</v>
      </c>
      <c r="M5" s="152" t="str">
        <f>IF(B5="", "", _xlfn.XLOOKUP(Summary[[#This Row],[فاکتور]], T[شماره فاکتور], T[فروشنده / مشتری], "نامشخص"))</f>
        <v>مهناز - تولیدی</v>
      </c>
      <c r="N5" s="141">
        <f>Summary[[#This Row],[ارزش فروش]] - (Summary[[#This Row],[قیمت تمام شده]]*Summary[[#This Row],[فروش]])</f>
        <v>1300000</v>
      </c>
      <c r="O5" s="365">
        <f>IFERROR(Summary[[#This Row],[سود]]/Summary[[#This Row],[ارزش کالای فروخته شده]], "")</f>
        <v>1.0833333333333333</v>
      </c>
    </row>
    <row r="6" spans="2:15" x14ac:dyDescent="0.8">
      <c r="B6" s="152" t="str">
        <v>کراپ شلوار لینن</v>
      </c>
      <c r="C6" s="141">
        <f>SUMIFS(T[تعداد], T[کالا], B6, T[نوع عملیات], "خرید")</f>
        <v>0</v>
      </c>
      <c r="D6" s="141">
        <f t="shared" si="0"/>
        <v>0</v>
      </c>
      <c r="E6" s="141">
        <f>SUMIFS(T[قیمت کل], T[کالا], B6, T[نوع عملیات], "خرید")</f>
        <v>0</v>
      </c>
      <c r="F6" s="141">
        <f>SUMIFS(T[تعداد], T[کالا], B6, T[نوع عملیات], "فروش") + SUMIFS(T[تعداد], T[کالا], B6, T[نوع عملیات], "استفاده خودم")</f>
        <v>0</v>
      </c>
      <c r="G6" s="141">
        <f>SUMIFS(T[قیمت کل], T[کالا], B6, T[نوع عملیات], "فروش")</f>
        <v>0</v>
      </c>
      <c r="H6" s="141">
        <f>Summary[[#This Row],[فروش]]*Summary[[#This Row],[قیمت تمام شده]]</f>
        <v>0</v>
      </c>
      <c r="I6" s="141">
        <f>Summary[[#This Row],[خرید]]-Summary[[#This Row],[فروش]]</f>
        <v>0</v>
      </c>
      <c r="J6" s="141">
        <f>Summary[[#This Row],[موجودی]]*Summary[[#This Row],[قیمت تمام شده]]</f>
        <v>0</v>
      </c>
      <c r="K6" s="152" t="str">
        <f>IF(B6="", "", _xlfn.XLOOKUP(B6, T[کالا], T[نحوه تسویه], ""))</f>
        <v>اعتباری</v>
      </c>
      <c r="L6" s="152" t="str">
        <f>IF(B6="", "", _xlfn.XLOOKUP(B6, T[کالا], T[شماره فاکتور], ""))</f>
        <v>م 1971</v>
      </c>
      <c r="M6" s="152" t="str">
        <f>IF(B6="", "", _xlfn.XLOOKUP(Summary[[#This Row],[فاکتور]], T[شماره فاکتور], T[فروشنده / مشتری], "نامشخص"))</f>
        <v>مهناز - تولیدی</v>
      </c>
      <c r="N6" s="141">
        <f>Summary[[#This Row],[ارزش فروش]] - (Summary[[#This Row],[قیمت تمام شده]]*Summary[[#This Row],[فروش]])</f>
        <v>0</v>
      </c>
      <c r="O6" s="365" t="str">
        <f>IFERROR(Summary[[#This Row],[سود]]/Summary[[#This Row],[ارزش کالای فروخته شده]], "")</f>
        <v/>
      </c>
    </row>
    <row r="7" spans="2:15" x14ac:dyDescent="0.8">
      <c r="B7" s="191" t="str">
        <v>کت و شلوار لینن مشکی</v>
      </c>
      <c r="C7" s="141">
        <f>SUMIFS(T[تعداد], T[کالا], B7, T[نوع عملیات], "خرید")</f>
        <v>1</v>
      </c>
      <c r="D7" s="141">
        <f t="shared" si="0"/>
        <v>700000</v>
      </c>
      <c r="E7" s="141">
        <f>SUMIFS(T[قیمت کل], T[کالا], B7, T[نوع عملیات], "خرید")</f>
        <v>700000</v>
      </c>
      <c r="F7" s="141">
        <f>SUMIFS(T[تعداد], T[کالا], B7, T[نوع عملیات], "فروش") + SUMIFS(T[تعداد], T[کالا], B7, T[نوع عملیات], "استفاده خودم")</f>
        <v>2</v>
      </c>
      <c r="G7" s="141">
        <f>SUMIFS(T[قیمت کل], T[کالا], B7, T[نوع عملیات], "فروش")</f>
        <v>2100000</v>
      </c>
      <c r="H7" s="141">
        <f>Summary[[#This Row],[فروش]]*Summary[[#This Row],[قیمت تمام شده]]</f>
        <v>1400000</v>
      </c>
      <c r="I7" s="141">
        <f>Summary[[#This Row],[خرید]]-Summary[[#This Row],[فروش]]</f>
        <v>-1</v>
      </c>
      <c r="J7" s="141">
        <f>Summary[[#This Row],[موجودی]]*Summary[[#This Row],[قیمت تمام شده]]</f>
        <v>-700000</v>
      </c>
      <c r="K7" s="152" t="str">
        <f>IF(B7="", "", _xlfn.XLOOKUP(B7, T[کالا], T[نحوه تسویه], ""))</f>
        <v>اعتباری</v>
      </c>
      <c r="L7" s="152" t="str">
        <f>IF(B7="", "", _xlfn.XLOOKUP(B7, T[کالا], T[شماره فاکتور], ""))</f>
        <v>م 1971</v>
      </c>
      <c r="M7" s="152" t="str">
        <f>IF(B7="", "", _xlfn.XLOOKUP(Summary[[#This Row],[فاکتور]], T[شماره فاکتور], T[فروشنده / مشتری], "نامشخص"))</f>
        <v>مهناز - تولیدی</v>
      </c>
      <c r="N7" s="141">
        <f>Summary[[#This Row],[ارزش فروش]] - (Summary[[#This Row],[قیمت تمام شده]]*Summary[[#This Row],[فروش]])</f>
        <v>700000</v>
      </c>
      <c r="O7" s="365">
        <f>IFERROR(Summary[[#This Row],[سود]]/Summary[[#This Row],[ارزش کالای فروخته شده]], "")</f>
        <v>0.5</v>
      </c>
    </row>
    <row r="8" spans="2:15" x14ac:dyDescent="0.8">
      <c r="B8" s="152" t="str">
        <v>پیراهن شانتون</v>
      </c>
      <c r="C8" s="141">
        <f>SUMIFS(T[تعداد], T[کالا], B8, T[نوع عملیات], "خرید")</f>
        <v>0</v>
      </c>
      <c r="D8" s="141">
        <f t="shared" si="0"/>
        <v>0</v>
      </c>
      <c r="E8" s="141">
        <f>SUMIFS(T[قیمت کل], T[کالا], B8, T[نوع عملیات], "خرید")</f>
        <v>0</v>
      </c>
      <c r="F8" s="141">
        <f>SUMIFS(T[تعداد], T[کالا], B8, T[نوع عملیات], "فروش") + SUMIFS(T[تعداد], T[کالا], B8, T[نوع عملیات], "استفاده خودم")</f>
        <v>0</v>
      </c>
      <c r="G8" s="141">
        <f>SUMIFS(T[قیمت کل], T[کالا], B8, T[نوع عملیات], "فروش")</f>
        <v>0</v>
      </c>
      <c r="H8" s="141">
        <f>Summary[[#This Row],[فروش]]*Summary[[#This Row],[قیمت تمام شده]]</f>
        <v>0</v>
      </c>
      <c r="I8" s="141">
        <f>Summary[[#This Row],[خرید]]-Summary[[#This Row],[فروش]]</f>
        <v>0</v>
      </c>
      <c r="J8" s="141">
        <f>Summary[[#This Row],[موجودی]]*Summary[[#This Row],[قیمت تمام شده]]</f>
        <v>0</v>
      </c>
      <c r="K8" s="152" t="str">
        <f>IF(B8="", "", _xlfn.XLOOKUP(B8, T[کالا], T[نحوه تسویه], ""))</f>
        <v>اعتباری</v>
      </c>
      <c r="L8" s="152" t="str">
        <f>IF(B8="", "", _xlfn.XLOOKUP(B8, T[کالا], T[شماره فاکتور], ""))</f>
        <v>م 1971</v>
      </c>
      <c r="M8" s="152" t="str">
        <f>IF(B8="", "", _xlfn.XLOOKUP(Summary[[#This Row],[فاکتور]], T[شماره فاکتور], T[فروشنده / مشتری], "نامشخص"))</f>
        <v>مهناز - تولیدی</v>
      </c>
      <c r="N8" s="141">
        <f>Summary[[#This Row],[ارزش فروش]] - (Summary[[#This Row],[قیمت تمام شده]]*Summary[[#This Row],[فروش]])</f>
        <v>0</v>
      </c>
      <c r="O8" s="365" t="str">
        <f>IFERROR(Summary[[#This Row],[سود]]/Summary[[#This Row],[ارزش کالای فروخته شده]], "")</f>
        <v/>
      </c>
    </row>
    <row r="9" spans="2:15" x14ac:dyDescent="0.8">
      <c r="B9" s="191" t="str">
        <v>بلوز و شلوار ابر و بادی</v>
      </c>
      <c r="C9" s="141">
        <f>SUMIFS(T[تعداد], T[کالا], B9, T[نوع عملیات], "خرید")</f>
        <v>1</v>
      </c>
      <c r="D9" s="141">
        <f t="shared" si="0"/>
        <v>650000</v>
      </c>
      <c r="E9" s="141">
        <f>SUMIFS(T[قیمت کل], T[کالا], B9, T[نوع عملیات], "خرید")</f>
        <v>650000</v>
      </c>
      <c r="F9" s="141">
        <f>SUMIFS(T[تعداد], T[کالا], B9, T[نوع عملیات], "فروش") + SUMIFS(T[تعداد], T[کالا], B9, T[نوع عملیات], "استفاده خودم")</f>
        <v>1</v>
      </c>
      <c r="G9" s="141">
        <f>SUMIFS(T[قیمت کل], T[کالا], B9, T[نوع عملیات], "فروش")</f>
        <v>950000</v>
      </c>
      <c r="H9" s="141">
        <f>Summary[[#This Row],[فروش]]*Summary[[#This Row],[قیمت تمام شده]]</f>
        <v>650000</v>
      </c>
      <c r="I9" s="141">
        <f>Summary[[#This Row],[خرید]]-Summary[[#This Row],[فروش]]</f>
        <v>0</v>
      </c>
      <c r="J9" s="141">
        <f>Summary[[#This Row],[موجودی]]*Summary[[#This Row],[قیمت تمام شده]]</f>
        <v>0</v>
      </c>
      <c r="K9" s="152" t="str">
        <f>IF(B9="", "", _xlfn.XLOOKUP(B9, T[کالا], T[نحوه تسویه], ""))</f>
        <v>اعتباری</v>
      </c>
      <c r="L9" s="152" t="str">
        <f>IF(B9="", "", _xlfn.XLOOKUP(B9, T[کالا], T[شماره فاکتور], ""))</f>
        <v>م 1971</v>
      </c>
      <c r="M9" s="152" t="str">
        <f>IF(B9="", "", _xlfn.XLOOKUP(Summary[[#This Row],[فاکتور]], T[شماره فاکتور], T[فروشنده / مشتری], "نامشخص"))</f>
        <v>مهناز - تولیدی</v>
      </c>
      <c r="N9" s="141">
        <f>Summary[[#This Row],[ارزش فروش]] - (Summary[[#This Row],[قیمت تمام شده]]*Summary[[#This Row],[فروش]])</f>
        <v>300000</v>
      </c>
      <c r="O9" s="365">
        <f>IFERROR(Summary[[#This Row],[سود]]/Summary[[#This Row],[ارزش کالای فروخته شده]], "")</f>
        <v>0.46153846153846156</v>
      </c>
    </row>
    <row r="10" spans="2:15" x14ac:dyDescent="0.8">
      <c r="B10" s="152" t="str">
        <v>شنل و شلوار</v>
      </c>
      <c r="C10" s="141">
        <f>SUMIFS(T[تعداد], T[کالا], B10, T[نوع عملیات], "خرید")</f>
        <v>0</v>
      </c>
      <c r="D10" s="141">
        <f t="shared" si="0"/>
        <v>0</v>
      </c>
      <c r="E10" s="141">
        <f>SUMIFS(T[قیمت کل], T[کالا], B10, T[نوع عملیات], "خرید")</f>
        <v>0</v>
      </c>
      <c r="F10" s="141">
        <f>SUMIFS(T[تعداد], T[کالا], B10, T[نوع عملیات], "فروش") + SUMIFS(T[تعداد], T[کالا], B10, T[نوع عملیات], "استفاده خودم")</f>
        <v>0</v>
      </c>
      <c r="G10" s="141">
        <f>SUMIFS(T[قیمت کل], T[کالا], B10, T[نوع عملیات], "فروش")</f>
        <v>0</v>
      </c>
      <c r="H10" s="141">
        <f>Summary[[#This Row],[فروش]]*Summary[[#This Row],[قیمت تمام شده]]</f>
        <v>0</v>
      </c>
      <c r="I10" s="141">
        <f>Summary[[#This Row],[خرید]]-Summary[[#This Row],[فروش]]</f>
        <v>0</v>
      </c>
      <c r="J10" s="141">
        <f>Summary[[#This Row],[موجودی]]*Summary[[#This Row],[قیمت تمام شده]]</f>
        <v>0</v>
      </c>
      <c r="K10" s="152" t="str">
        <f>IF(B10="", "", _xlfn.XLOOKUP(B10, T[کالا], T[نحوه تسویه], ""))</f>
        <v>اعتباری</v>
      </c>
      <c r="L10" s="152" t="str">
        <f>IF(B10="", "", _xlfn.XLOOKUP(B10, T[کالا], T[شماره فاکتور], ""))</f>
        <v>م 1971</v>
      </c>
      <c r="M10" s="152" t="str">
        <f>IF(B10="", "", _xlfn.XLOOKUP(Summary[[#This Row],[فاکتور]], T[شماره فاکتور], T[فروشنده / مشتری], "نامشخص"))</f>
        <v>مهناز - تولیدی</v>
      </c>
      <c r="N10" s="141">
        <f>Summary[[#This Row],[ارزش فروش]] - (Summary[[#This Row],[قیمت تمام شده]]*Summary[[#This Row],[فروش]])</f>
        <v>0</v>
      </c>
      <c r="O10" s="365" t="str">
        <f>IFERROR(Summary[[#This Row],[سود]]/Summary[[#This Row],[ارزش کالای فروخته شده]], "")</f>
        <v/>
      </c>
    </row>
    <row r="11" spans="2:15" x14ac:dyDescent="0.8">
      <c r="B11" s="191" t="str">
        <v>دامن لینن</v>
      </c>
      <c r="C11" s="141">
        <f>SUMIFS(T[تعداد], T[کالا], B11, T[نوع عملیات], "خرید")</f>
        <v>1</v>
      </c>
      <c r="D11" s="141">
        <f t="shared" si="0"/>
        <v>350000</v>
      </c>
      <c r="E11" s="141">
        <f>SUMIFS(T[قیمت کل], T[کالا], B11, T[نوع عملیات], "خرید")</f>
        <v>350000</v>
      </c>
      <c r="F11" s="141">
        <f>SUMIFS(T[تعداد], T[کالا], B11, T[نوع عملیات], "فروش") + SUMIFS(T[تعداد], T[کالا], B11, T[نوع عملیات], "استفاده خودم")</f>
        <v>1</v>
      </c>
      <c r="G11" s="141">
        <f>SUMIFS(T[قیمت کل], T[کالا], B11, T[نوع عملیات], "فروش")</f>
        <v>950000</v>
      </c>
      <c r="H11" s="141">
        <f>Summary[[#This Row],[فروش]]*Summary[[#This Row],[قیمت تمام شده]]</f>
        <v>350000</v>
      </c>
      <c r="I11" s="141">
        <f>Summary[[#This Row],[خرید]]-Summary[[#This Row],[فروش]]</f>
        <v>0</v>
      </c>
      <c r="J11" s="141">
        <f>Summary[[#This Row],[موجودی]]*Summary[[#This Row],[قیمت تمام شده]]</f>
        <v>0</v>
      </c>
      <c r="K11" s="152" t="str">
        <f>IF(B11="", "", _xlfn.XLOOKUP(B11, T[کالا], T[نحوه تسویه], ""))</f>
        <v>اعتباری</v>
      </c>
      <c r="L11" s="152" t="str">
        <f>IF(B11="", "", _xlfn.XLOOKUP(B11, T[کالا], T[شماره فاکتور], ""))</f>
        <v>م 1971</v>
      </c>
      <c r="M11" s="152" t="str">
        <f>IF(B11="", "", _xlfn.XLOOKUP(Summary[[#This Row],[فاکتور]], T[شماره فاکتور], T[فروشنده / مشتری], "نامشخص"))</f>
        <v>مهناز - تولیدی</v>
      </c>
      <c r="N11" s="141">
        <f>Summary[[#This Row],[ارزش فروش]] - (Summary[[#This Row],[قیمت تمام شده]]*Summary[[#This Row],[فروش]])</f>
        <v>600000</v>
      </c>
      <c r="O11" s="365">
        <f>IFERROR(Summary[[#This Row],[سود]]/Summary[[#This Row],[ارزش کالای فروخته شده]], "")</f>
        <v>1.7142857142857142</v>
      </c>
    </row>
    <row r="12" spans="2:15" x14ac:dyDescent="0.8">
      <c r="B12" s="152" t="str">
        <v>نیم تنه مشکی</v>
      </c>
      <c r="C12" s="141">
        <f>SUMIFS(T[تعداد], T[کالا], B12, T[نوع عملیات], "خرید")</f>
        <v>0</v>
      </c>
      <c r="D12" s="141">
        <f t="shared" si="0"/>
        <v>0</v>
      </c>
      <c r="E12" s="141">
        <f>SUMIFS(T[قیمت کل], T[کالا], B12, T[نوع عملیات], "خرید")</f>
        <v>0</v>
      </c>
      <c r="F12" s="141">
        <f>SUMIFS(T[تعداد], T[کالا], B12, T[نوع عملیات], "فروش") + SUMIFS(T[تعداد], T[کالا], B12, T[نوع عملیات], "استفاده خودم")</f>
        <v>0</v>
      </c>
      <c r="G12" s="141">
        <f>SUMIFS(T[قیمت کل], T[کالا], B12, T[نوع عملیات], "فروش")</f>
        <v>0</v>
      </c>
      <c r="H12" s="141">
        <f>Summary[[#This Row],[فروش]]*Summary[[#This Row],[قیمت تمام شده]]</f>
        <v>0</v>
      </c>
      <c r="I12" s="141">
        <f>Summary[[#This Row],[خرید]]-Summary[[#This Row],[فروش]]</f>
        <v>0</v>
      </c>
      <c r="J12" s="141">
        <f>Summary[[#This Row],[موجودی]]*Summary[[#This Row],[قیمت تمام شده]]</f>
        <v>0</v>
      </c>
      <c r="K12" s="152" t="str">
        <f>IF(B12="", "", _xlfn.XLOOKUP(B12, T[کالا], T[نحوه تسویه], ""))</f>
        <v>اعتباری</v>
      </c>
      <c r="L12" s="152" t="str">
        <f>IF(B12="", "", _xlfn.XLOOKUP(B12, T[کالا], T[شماره فاکتور], ""))</f>
        <v>م 1971</v>
      </c>
      <c r="M12" s="152" t="str">
        <f>IF(B12="", "", _xlfn.XLOOKUP(Summary[[#This Row],[فاکتور]], T[شماره فاکتور], T[فروشنده / مشتری], "نامشخص"))</f>
        <v>مهناز - تولیدی</v>
      </c>
      <c r="N12" s="141">
        <f>Summary[[#This Row],[ارزش فروش]] - (Summary[[#This Row],[قیمت تمام شده]]*Summary[[#This Row],[فروش]])</f>
        <v>0</v>
      </c>
      <c r="O12" s="365" t="str">
        <f>IFERROR(Summary[[#This Row],[سود]]/Summary[[#This Row],[ارزش کالای فروخته شده]], "")</f>
        <v/>
      </c>
    </row>
    <row r="13" spans="2:15" x14ac:dyDescent="0.8">
      <c r="B13" s="191" t="str">
        <v>شلوار گشاد مازراتی تک بند</v>
      </c>
      <c r="C13" s="141">
        <f>SUMIFS(T[تعداد], T[کالا], B13, T[نوع عملیات], "خرید")</f>
        <v>1</v>
      </c>
      <c r="D13" s="141">
        <f t="shared" si="0"/>
        <v>650000</v>
      </c>
      <c r="E13" s="141">
        <f>SUMIFS(T[قیمت کل], T[کالا], B13, T[نوع عملیات], "خرید")</f>
        <v>650000</v>
      </c>
      <c r="F13" s="141">
        <f>SUMIFS(T[تعداد], T[کالا], B13, T[نوع عملیات], "فروش") + SUMIFS(T[تعداد], T[کالا], B13, T[نوع عملیات], "استفاده خودم")</f>
        <v>1</v>
      </c>
      <c r="G13" s="141">
        <f>SUMIFS(T[قیمت کل], T[کالا], B13, T[نوع عملیات], "فروش")</f>
        <v>1000000</v>
      </c>
      <c r="H13" s="141">
        <f>Summary[[#This Row],[فروش]]*Summary[[#This Row],[قیمت تمام شده]]</f>
        <v>650000</v>
      </c>
      <c r="I13" s="141">
        <f>Summary[[#This Row],[خرید]]-Summary[[#This Row],[فروش]]</f>
        <v>0</v>
      </c>
      <c r="J13" s="141">
        <f>Summary[[#This Row],[موجودی]]*Summary[[#This Row],[قیمت تمام شده]]</f>
        <v>0</v>
      </c>
      <c r="K13" s="152" t="str">
        <f>IF(B13="", "", _xlfn.XLOOKUP(B13, T[کالا], T[نحوه تسویه], ""))</f>
        <v>اعتباری</v>
      </c>
      <c r="L13" s="152" t="str">
        <f>IF(B13="", "", _xlfn.XLOOKUP(B13, T[کالا], T[شماره فاکتور], ""))</f>
        <v>م 1971</v>
      </c>
      <c r="M13" s="152" t="str">
        <f>IF(B13="", "", _xlfn.XLOOKUP(Summary[[#This Row],[فاکتور]], T[شماره فاکتور], T[فروشنده / مشتری], "نامشخص"))</f>
        <v>مهناز - تولیدی</v>
      </c>
      <c r="N13" s="141">
        <f>Summary[[#This Row],[ارزش فروش]] - (Summary[[#This Row],[قیمت تمام شده]]*Summary[[#This Row],[فروش]])</f>
        <v>350000</v>
      </c>
      <c r="O13" s="365">
        <f>IFERROR(Summary[[#This Row],[سود]]/Summary[[#This Row],[ارزش کالای فروخته شده]], "")</f>
        <v>0.53846153846153844</v>
      </c>
    </row>
    <row r="14" spans="2:15" x14ac:dyDescent="0.8">
      <c r="B14" s="152" t="str">
        <v>وست</v>
      </c>
      <c r="C14" s="141">
        <f>SUMIFS(T[تعداد], T[کالا], B14, T[نوع عملیات], "خرید")</f>
        <v>0</v>
      </c>
      <c r="D14" s="141">
        <f t="shared" si="0"/>
        <v>0</v>
      </c>
      <c r="E14" s="141">
        <f>SUMIFS(T[قیمت کل], T[کالا], B14, T[نوع عملیات], "خرید")</f>
        <v>0</v>
      </c>
      <c r="F14" s="141">
        <f>SUMIFS(T[تعداد], T[کالا], B14, T[نوع عملیات], "فروش") + SUMIFS(T[تعداد], T[کالا], B14, T[نوع عملیات], "استفاده خودم")</f>
        <v>0</v>
      </c>
      <c r="G14" s="141">
        <f>SUMIFS(T[قیمت کل], T[کالا], B14, T[نوع عملیات], "فروش")</f>
        <v>0</v>
      </c>
      <c r="H14" s="141">
        <f>Summary[[#This Row],[فروش]]*Summary[[#This Row],[قیمت تمام شده]]</f>
        <v>0</v>
      </c>
      <c r="I14" s="141">
        <f>Summary[[#This Row],[خرید]]-Summary[[#This Row],[فروش]]</f>
        <v>0</v>
      </c>
      <c r="J14" s="141">
        <f>Summary[[#This Row],[موجودی]]*Summary[[#This Row],[قیمت تمام شده]]</f>
        <v>0</v>
      </c>
      <c r="K14" s="152" t="str">
        <f>IF(B14="", "", _xlfn.XLOOKUP(B14, T[کالا], T[نحوه تسویه], ""))</f>
        <v>اعتباری</v>
      </c>
      <c r="L14" s="152" t="str">
        <f>IF(B14="", "", _xlfn.XLOOKUP(B14, T[کالا], T[شماره فاکتور], ""))</f>
        <v>م 1971</v>
      </c>
      <c r="M14" s="152" t="str">
        <f>IF(B14="", "", _xlfn.XLOOKUP(Summary[[#This Row],[فاکتور]], T[شماره فاکتور], T[فروشنده / مشتری], "نامشخص"))</f>
        <v>مهناز - تولیدی</v>
      </c>
      <c r="N14" s="141">
        <f>Summary[[#This Row],[ارزش فروش]] - (Summary[[#This Row],[قیمت تمام شده]]*Summary[[#This Row],[فروش]])</f>
        <v>0</v>
      </c>
      <c r="O14" s="365" t="str">
        <f>IFERROR(Summary[[#This Row],[سود]]/Summary[[#This Row],[ارزش کالای فروخته شده]], "")</f>
        <v/>
      </c>
    </row>
    <row r="15" spans="2:15" x14ac:dyDescent="0.8">
      <c r="B15" s="191" t="str">
        <v>بلوز سرشونه چین دار</v>
      </c>
      <c r="C15" s="141">
        <f>SUMIFS(T[تعداد], T[کالا], B15, T[نوع عملیات], "خرید")</f>
        <v>1</v>
      </c>
      <c r="D15" s="141">
        <f t="shared" si="0"/>
        <v>350000</v>
      </c>
      <c r="E15" s="141">
        <f>SUMIFS(T[قیمت کل], T[کالا], B15, T[نوع عملیات], "خرید")</f>
        <v>350000</v>
      </c>
      <c r="F15" s="141">
        <f>SUMIFS(T[تعداد], T[کالا], B15, T[نوع عملیات], "فروش") + SUMIFS(T[تعداد], T[کالا], B15, T[نوع عملیات], "استفاده خودم")</f>
        <v>1</v>
      </c>
      <c r="G15" s="141">
        <f>SUMIFS(T[قیمت کل], T[کالا], B15, T[نوع عملیات], "فروش")</f>
        <v>850000</v>
      </c>
      <c r="H15" s="141">
        <f>Summary[[#This Row],[فروش]]*Summary[[#This Row],[قیمت تمام شده]]</f>
        <v>350000</v>
      </c>
      <c r="I15" s="141">
        <f>Summary[[#This Row],[خرید]]-Summary[[#This Row],[فروش]]</f>
        <v>0</v>
      </c>
      <c r="J15" s="141">
        <f>Summary[[#This Row],[موجودی]]*Summary[[#This Row],[قیمت تمام شده]]</f>
        <v>0</v>
      </c>
      <c r="K15" s="152" t="str">
        <f>IF(B15="", "", _xlfn.XLOOKUP(B15, T[کالا], T[نحوه تسویه], ""))</f>
        <v>اعتباری</v>
      </c>
      <c r="L15" s="152" t="str">
        <f>IF(B15="", "", _xlfn.XLOOKUP(B15, T[کالا], T[شماره فاکتور], ""))</f>
        <v>م 1970</v>
      </c>
      <c r="M15" s="152" t="str">
        <f>IF(B15="", "", _xlfn.XLOOKUP(Summary[[#This Row],[فاکتور]], T[شماره فاکتور], T[فروشنده / مشتری], "نامشخص"))</f>
        <v>مهناز - تولیدی</v>
      </c>
      <c r="N15" s="141">
        <f>Summary[[#This Row],[ارزش فروش]] - (Summary[[#This Row],[قیمت تمام شده]]*Summary[[#This Row],[فروش]])</f>
        <v>500000</v>
      </c>
      <c r="O15" s="365">
        <f>IFERROR(Summary[[#This Row],[سود]]/Summary[[#This Row],[ارزش کالای فروخته شده]], "")</f>
        <v>1.4285714285714286</v>
      </c>
    </row>
    <row r="16" spans="2:15" x14ac:dyDescent="0.8">
      <c r="B16" s="152" t="str">
        <v>شلوار گشاد مازراتی</v>
      </c>
      <c r="C16" s="141">
        <f>SUMIFS(T[تعداد], T[کالا], B16, T[نوع عملیات], "خرید")</f>
        <v>6</v>
      </c>
      <c r="D16" s="141">
        <f t="shared" si="0"/>
        <v>680000</v>
      </c>
      <c r="E16" s="141">
        <f>SUMIFS(T[قیمت کل], T[کالا], B16, T[نوع عملیات], "خرید")</f>
        <v>4080000</v>
      </c>
      <c r="F16" s="141">
        <f>SUMIFS(T[تعداد], T[کالا], B16, T[نوع عملیات], "فروش") + SUMIFS(T[تعداد], T[کالا], B16, T[نوع عملیات], "استفاده خودم")</f>
        <v>6</v>
      </c>
      <c r="G16" s="141">
        <f>SUMIFS(T[قیمت کل], T[کالا], B16, T[نوع عملیات], "فروش")</f>
        <v>6900000</v>
      </c>
      <c r="H16" s="141">
        <f>Summary[[#This Row],[فروش]]*Summary[[#This Row],[قیمت تمام شده]]</f>
        <v>4080000</v>
      </c>
      <c r="I16" s="141">
        <f>Summary[[#This Row],[خرید]]-Summary[[#This Row],[فروش]]</f>
        <v>0</v>
      </c>
      <c r="J16" s="141">
        <f>Summary[[#This Row],[موجودی]]*Summary[[#This Row],[قیمت تمام شده]]</f>
        <v>0</v>
      </c>
      <c r="K16" s="152" t="str">
        <f>IF(B16="", "", _xlfn.XLOOKUP(B16, T[کالا], T[نحوه تسویه], ""))</f>
        <v>اعتباری</v>
      </c>
      <c r="L16" s="152" t="str">
        <f>IF(B16="", "", _xlfn.XLOOKUP(B16, T[کالا], T[شماره فاکتور], ""))</f>
        <v>م 1970</v>
      </c>
      <c r="M16" s="152" t="str">
        <f>IF(B16="", "", _xlfn.XLOOKUP(Summary[[#This Row],[فاکتور]], T[شماره فاکتور], T[فروشنده / مشتری], "نامشخص"))</f>
        <v>مهناز - تولیدی</v>
      </c>
      <c r="N16" s="141">
        <f>Summary[[#This Row],[ارزش فروش]] - (Summary[[#This Row],[قیمت تمام شده]]*Summary[[#This Row],[فروش]])</f>
        <v>2820000</v>
      </c>
      <c r="O16" s="365">
        <f>IFERROR(Summary[[#This Row],[سود]]/Summary[[#This Row],[ارزش کالای فروخته شده]], "")</f>
        <v>0.69117647058823528</v>
      </c>
    </row>
    <row r="17" spans="2:16" x14ac:dyDescent="0.8">
      <c r="B17" s="191" t="str">
        <v>کت تک مازراتی</v>
      </c>
      <c r="C17" s="141">
        <f>SUMIFS(T[تعداد], T[کالا], B17, T[نوع عملیات], "خرید")</f>
        <v>2</v>
      </c>
      <c r="D17" s="141">
        <f t="shared" si="0"/>
        <v>750000</v>
      </c>
      <c r="E17" s="141">
        <f>SUMIFS(T[قیمت کل], T[کالا], B17, T[نوع عملیات], "خرید")</f>
        <v>1500000</v>
      </c>
      <c r="F17" s="141">
        <f>SUMIFS(T[تعداد], T[کالا], B17, T[نوع عملیات], "فروش") + SUMIFS(T[تعداد], T[کالا], B17, T[نوع عملیات], "استفاده خودم")</f>
        <v>2</v>
      </c>
      <c r="G17" s="141">
        <f>SUMIFS(T[قیمت کل], T[کالا], B17, T[نوع عملیات], "فروش")</f>
        <v>2200000</v>
      </c>
      <c r="H17" s="141">
        <f>Summary[[#This Row],[فروش]]*Summary[[#This Row],[قیمت تمام شده]]</f>
        <v>1500000</v>
      </c>
      <c r="I17" s="141">
        <f>Summary[[#This Row],[خرید]]-Summary[[#This Row],[فروش]]</f>
        <v>0</v>
      </c>
      <c r="J17" s="141">
        <f>Summary[[#This Row],[موجودی]]*Summary[[#This Row],[قیمت تمام شده]]</f>
        <v>0</v>
      </c>
      <c r="K17" s="152" t="str">
        <f>IF(B17="", "", _xlfn.XLOOKUP(B17, T[کالا], T[نحوه تسویه], ""))</f>
        <v>اعتباری</v>
      </c>
      <c r="L17" s="152" t="str">
        <f>IF(B17="", "", _xlfn.XLOOKUP(B17, T[کالا], T[شماره فاکتور], ""))</f>
        <v>م 1970</v>
      </c>
      <c r="M17" s="152" t="str">
        <f>IF(B17="", "", _xlfn.XLOOKUP(Summary[[#This Row],[فاکتور]], T[شماره فاکتور], T[فروشنده / مشتری], "نامشخص"))</f>
        <v>مهناز - تولیدی</v>
      </c>
      <c r="N17" s="141">
        <f>Summary[[#This Row],[ارزش فروش]] - (Summary[[#This Row],[قیمت تمام شده]]*Summary[[#This Row],[فروش]])</f>
        <v>700000</v>
      </c>
      <c r="O17" s="365">
        <f>IFERROR(Summary[[#This Row],[سود]]/Summary[[#This Row],[ارزش کالای فروخته شده]], "")</f>
        <v>0.46666666666666667</v>
      </c>
    </row>
    <row r="18" spans="2:16" x14ac:dyDescent="0.8">
      <c r="B18" s="152" t="str">
        <v>کت و شلوار مازراتی</v>
      </c>
      <c r="C18" s="141">
        <f>SUMIFS(T[تعداد], T[کالا], B18, T[نوع عملیات], "خرید")</f>
        <v>0</v>
      </c>
      <c r="D18" s="141">
        <f t="shared" si="0"/>
        <v>0</v>
      </c>
      <c r="E18" s="141">
        <f>SUMIFS(T[قیمت کل], T[کالا], B18, T[نوع عملیات], "خرید")</f>
        <v>0</v>
      </c>
      <c r="F18" s="141">
        <f>SUMIFS(T[تعداد], T[کالا], B18, T[نوع عملیات], "فروش") + SUMIFS(T[تعداد], T[کالا], B18, T[نوع عملیات], "استفاده خودم")</f>
        <v>0</v>
      </c>
      <c r="G18" s="141">
        <f>SUMIFS(T[قیمت کل], T[کالا], B18, T[نوع عملیات], "فروش")</f>
        <v>0</v>
      </c>
      <c r="H18" s="141">
        <f>Summary[[#This Row],[فروش]]*Summary[[#This Row],[قیمت تمام شده]]</f>
        <v>0</v>
      </c>
      <c r="I18" s="141">
        <f>Summary[[#This Row],[خرید]]-Summary[[#This Row],[فروش]]</f>
        <v>0</v>
      </c>
      <c r="J18" s="141">
        <f>Summary[[#This Row],[موجودی]]*Summary[[#This Row],[قیمت تمام شده]]</f>
        <v>0</v>
      </c>
      <c r="K18" s="152" t="str">
        <f>IF(B18="", "", _xlfn.XLOOKUP(B18, T[کالا], T[نحوه تسویه], ""))</f>
        <v>اعتباری</v>
      </c>
      <c r="L18" s="152" t="str">
        <f>IF(B18="", "", _xlfn.XLOOKUP(B18, T[کالا], T[شماره فاکتور], ""))</f>
        <v>م 1970</v>
      </c>
      <c r="M18" s="152" t="str">
        <f>IF(B18="", "", _xlfn.XLOOKUP(Summary[[#This Row],[فاکتور]], T[شماره فاکتور], T[فروشنده / مشتری], "نامشخص"))</f>
        <v>مهناز - تولیدی</v>
      </c>
      <c r="N18" s="141">
        <f>Summary[[#This Row],[ارزش فروش]] - (Summary[[#This Row],[قیمت تمام شده]]*Summary[[#This Row],[فروش]])</f>
        <v>0</v>
      </c>
      <c r="O18" s="365" t="str">
        <f>IFERROR(Summary[[#This Row],[سود]]/Summary[[#This Row],[ارزش کالای فروخته شده]], "")</f>
        <v/>
      </c>
    </row>
    <row r="19" spans="2:16" x14ac:dyDescent="0.8">
      <c r="B19" s="191" t="str">
        <v>شلوارک مازراتی و لینن</v>
      </c>
      <c r="C19" s="141">
        <f>SUMIFS(T[تعداد], T[کالا], B19, T[نوع عملیات], "خرید")</f>
        <v>0</v>
      </c>
      <c r="D19" s="141">
        <f t="shared" si="0"/>
        <v>0</v>
      </c>
      <c r="E19" s="141">
        <f>SUMIFS(T[قیمت کل], T[کالا], B19, T[نوع عملیات], "خرید")</f>
        <v>0</v>
      </c>
      <c r="F19" s="141">
        <f>SUMIFS(T[تعداد], T[کالا], B19, T[نوع عملیات], "فروش") + SUMIFS(T[تعداد], T[کالا], B19, T[نوع عملیات], "استفاده خودم")</f>
        <v>0</v>
      </c>
      <c r="G19" s="141">
        <f>SUMIFS(T[قیمت کل], T[کالا], B19, T[نوع عملیات], "فروش")</f>
        <v>0</v>
      </c>
      <c r="H19" s="141">
        <f>Summary[[#This Row],[فروش]]*Summary[[#This Row],[قیمت تمام شده]]</f>
        <v>0</v>
      </c>
      <c r="I19" s="141">
        <f>Summary[[#This Row],[خرید]]-Summary[[#This Row],[فروش]]</f>
        <v>0</v>
      </c>
      <c r="J19" s="141">
        <f>Summary[[#This Row],[موجودی]]*Summary[[#This Row],[قیمت تمام شده]]</f>
        <v>0</v>
      </c>
      <c r="K19" s="152" t="str">
        <f>IF(B19="", "", _xlfn.XLOOKUP(B19, T[کالا], T[نحوه تسویه], ""))</f>
        <v>اعتباری</v>
      </c>
      <c r="L19" s="152" t="str">
        <f>IF(B19="", "", _xlfn.XLOOKUP(B19, T[کالا], T[شماره فاکتور], ""))</f>
        <v>م 1970</v>
      </c>
      <c r="M19" s="152" t="str">
        <f>IF(B19="", "", _xlfn.XLOOKUP(Summary[[#This Row],[فاکتور]], T[شماره فاکتور], T[فروشنده / مشتری], "نامشخص"))</f>
        <v>مهناز - تولیدی</v>
      </c>
      <c r="N19" s="141">
        <f>Summary[[#This Row],[ارزش فروش]] - (Summary[[#This Row],[قیمت تمام شده]]*Summary[[#This Row],[فروش]])</f>
        <v>0</v>
      </c>
      <c r="O19" s="365" t="str">
        <f>IFERROR(Summary[[#This Row],[سود]]/Summary[[#This Row],[ارزش کالای فروخته شده]], "")</f>
        <v/>
      </c>
    </row>
    <row r="20" spans="2:16" x14ac:dyDescent="0.8">
      <c r="B20" s="152" t="str">
        <v>دامن کارگو</v>
      </c>
      <c r="C20" s="141">
        <f>SUMIFS(T[تعداد], T[کالا], B20, T[نوع عملیات], "خرید")</f>
        <v>1</v>
      </c>
      <c r="D20" s="141">
        <f t="shared" si="0"/>
        <v>350000</v>
      </c>
      <c r="E20" s="141">
        <f>SUMIFS(T[قیمت کل], T[کالا], B20, T[نوع عملیات], "خرید")</f>
        <v>350000</v>
      </c>
      <c r="F20" s="141">
        <f>SUMIFS(T[تعداد], T[کالا], B20, T[نوع عملیات], "فروش") + SUMIFS(T[تعداد], T[کالا], B20, T[نوع عملیات], "استفاده خودم")</f>
        <v>1</v>
      </c>
      <c r="G20" s="141">
        <f>SUMIFS(T[قیمت کل], T[کالا], B20, T[نوع عملیات], "فروش")</f>
        <v>750000</v>
      </c>
      <c r="H20" s="141">
        <f>Summary[[#This Row],[فروش]]*Summary[[#This Row],[قیمت تمام شده]]</f>
        <v>350000</v>
      </c>
      <c r="I20" s="141">
        <f>Summary[[#This Row],[خرید]]-Summary[[#This Row],[فروش]]</f>
        <v>0</v>
      </c>
      <c r="J20" s="141">
        <f>Summary[[#This Row],[موجودی]]*Summary[[#This Row],[قیمت تمام شده]]</f>
        <v>0</v>
      </c>
      <c r="K20" s="152" t="str">
        <f>IF(B20="", "", _xlfn.XLOOKUP(B20, T[کالا], T[نحوه تسویه], ""))</f>
        <v>اعتباری</v>
      </c>
      <c r="L20" s="152" t="str">
        <f>IF(B20="", "", _xlfn.XLOOKUP(B20, T[کالا], T[شماره فاکتور], ""))</f>
        <v>م 1970</v>
      </c>
      <c r="M20" s="152" t="str">
        <f>IF(B20="", "", _xlfn.XLOOKUP(Summary[[#This Row],[فاکتور]], T[شماره فاکتور], T[فروشنده / مشتری], "نامشخص"))</f>
        <v>مهناز - تولیدی</v>
      </c>
      <c r="N20" s="141">
        <f>Summary[[#This Row],[ارزش فروش]] - (Summary[[#This Row],[قیمت تمام شده]]*Summary[[#This Row],[فروش]])</f>
        <v>400000</v>
      </c>
      <c r="O20" s="365">
        <f>IFERROR(Summary[[#This Row],[سود]]/Summary[[#This Row],[ارزش کالای فروخته شده]], "")</f>
        <v>1.1428571428571428</v>
      </c>
    </row>
    <row r="21" spans="2:16" x14ac:dyDescent="0.8">
      <c r="B21" s="191" t="str">
        <v>ژیله مازراتی و لینن</v>
      </c>
      <c r="C21" s="141">
        <f>SUMIFS(T[تعداد], T[کالا], B21, T[نوع عملیات], "خرید")</f>
        <v>0</v>
      </c>
      <c r="D21" s="141">
        <f t="shared" si="0"/>
        <v>0</v>
      </c>
      <c r="E21" s="141">
        <f>SUMIFS(T[قیمت کل], T[کالا], B21, T[نوع عملیات], "خرید")</f>
        <v>0</v>
      </c>
      <c r="F21" s="141">
        <f>SUMIFS(T[تعداد], T[کالا], B21, T[نوع عملیات], "فروش") + SUMIFS(T[تعداد], T[کالا], B21, T[نوع عملیات], "استفاده خودم")</f>
        <v>0</v>
      </c>
      <c r="G21" s="141">
        <f>SUMIFS(T[قیمت کل], T[کالا], B21, T[نوع عملیات], "فروش")</f>
        <v>0</v>
      </c>
      <c r="H21" s="141">
        <f>Summary[[#This Row],[فروش]]*Summary[[#This Row],[قیمت تمام شده]]</f>
        <v>0</v>
      </c>
      <c r="I21" s="141">
        <f>Summary[[#This Row],[خرید]]-Summary[[#This Row],[فروش]]</f>
        <v>0</v>
      </c>
      <c r="J21" s="141">
        <f>Summary[[#This Row],[موجودی]]*Summary[[#This Row],[قیمت تمام شده]]</f>
        <v>0</v>
      </c>
      <c r="K21" s="152" t="str">
        <f>IF(B21="", "", _xlfn.XLOOKUP(B21, T[کالا], T[نحوه تسویه], ""))</f>
        <v>اعتباری</v>
      </c>
      <c r="L21" s="152" t="str">
        <f>IF(B21="", "", _xlfn.XLOOKUP(B21, T[کالا], T[شماره فاکتور], ""))</f>
        <v>م 1970</v>
      </c>
      <c r="M21" s="152" t="str">
        <f>IF(B21="", "", _xlfn.XLOOKUP(Summary[[#This Row],[فاکتور]], T[شماره فاکتور], T[فروشنده / مشتری], "نامشخص"))</f>
        <v>مهناز - تولیدی</v>
      </c>
      <c r="N21" s="141">
        <f>Summary[[#This Row],[ارزش فروش]] - (Summary[[#This Row],[قیمت تمام شده]]*Summary[[#This Row],[فروش]])</f>
        <v>0</v>
      </c>
      <c r="O21" s="365" t="str">
        <f>IFERROR(Summary[[#This Row],[سود]]/Summary[[#This Row],[ارزش کالای فروخته شده]], "")</f>
        <v/>
      </c>
    </row>
    <row r="22" spans="2:16" x14ac:dyDescent="0.8">
      <c r="B22" s="152" t="str">
        <v>کت و شلوار جیر و چرم</v>
      </c>
      <c r="C22" s="141">
        <f>SUMIFS(T[تعداد], T[کالا], B22, T[نوع عملیات], "خرید")</f>
        <v>0</v>
      </c>
      <c r="D22" s="141">
        <f t="shared" si="0"/>
        <v>0</v>
      </c>
      <c r="E22" s="141">
        <f>SUMIFS(T[قیمت کل], T[کالا], B22, T[نوع عملیات], "خرید")</f>
        <v>0</v>
      </c>
      <c r="F22" s="141">
        <f>SUMIFS(T[تعداد], T[کالا], B22, T[نوع عملیات], "فروش") + SUMIFS(T[تعداد], T[کالا], B22, T[نوع عملیات], "استفاده خودم")</f>
        <v>0</v>
      </c>
      <c r="G22" s="141">
        <f>SUMIFS(T[قیمت کل], T[کالا], B22, T[نوع عملیات], "فروش")</f>
        <v>0</v>
      </c>
      <c r="H22" s="141">
        <f>Summary[[#This Row],[فروش]]*Summary[[#This Row],[قیمت تمام شده]]</f>
        <v>0</v>
      </c>
      <c r="I22" s="141">
        <f>Summary[[#This Row],[خرید]]-Summary[[#This Row],[فروش]]</f>
        <v>0</v>
      </c>
      <c r="J22" s="141">
        <f>Summary[[#This Row],[موجودی]]*Summary[[#This Row],[قیمت تمام شده]]</f>
        <v>0</v>
      </c>
      <c r="K22" s="152" t="str">
        <f>IF(B22="", "", _xlfn.XLOOKUP(B22, T[کالا], T[نحوه تسویه], ""))</f>
        <v>اعتباری</v>
      </c>
      <c r="L22" s="152" t="str">
        <f>IF(B22="", "", _xlfn.XLOOKUP(B22, T[کالا], T[شماره فاکتور], ""))</f>
        <v>م 1970</v>
      </c>
      <c r="M22" s="152" t="str">
        <f>IF(B22="", "", _xlfn.XLOOKUP(Summary[[#This Row],[فاکتور]], T[شماره فاکتور], T[فروشنده / مشتری], "نامشخص"))</f>
        <v>مهناز - تولیدی</v>
      </c>
      <c r="N22" s="141">
        <f>Summary[[#This Row],[ارزش فروش]] - (Summary[[#This Row],[قیمت تمام شده]]*Summary[[#This Row],[فروش]])</f>
        <v>0</v>
      </c>
      <c r="O22" s="365" t="str">
        <f>IFERROR(Summary[[#This Row],[سود]]/Summary[[#This Row],[ارزش کالای فروخته شده]], "")</f>
        <v/>
      </c>
    </row>
    <row r="23" spans="2:16" x14ac:dyDescent="0.8">
      <c r="B23" s="191" t="str">
        <v>شلوار لینن کمر سفید</v>
      </c>
      <c r="C23" s="141">
        <f>SUMIFS(T[تعداد], T[کالا], B23, T[نوع عملیات], "خرید")</f>
        <v>0</v>
      </c>
      <c r="D23" s="141">
        <f t="shared" si="0"/>
        <v>0</v>
      </c>
      <c r="E23" s="141">
        <f>SUMIFS(T[قیمت کل], T[کالا], B23, T[نوع عملیات], "خرید")</f>
        <v>0</v>
      </c>
      <c r="F23" s="141">
        <f>SUMIFS(T[تعداد], T[کالا], B23, T[نوع عملیات], "فروش") + SUMIFS(T[تعداد], T[کالا], B23, T[نوع عملیات], "استفاده خودم")</f>
        <v>0</v>
      </c>
      <c r="G23" s="141">
        <f>SUMIFS(T[قیمت کل], T[کالا], B23, T[نوع عملیات], "فروش")</f>
        <v>0</v>
      </c>
      <c r="H23" s="141">
        <f>Summary[[#This Row],[فروش]]*Summary[[#This Row],[قیمت تمام شده]]</f>
        <v>0</v>
      </c>
      <c r="I23" s="141">
        <f>Summary[[#This Row],[خرید]]-Summary[[#This Row],[فروش]]</f>
        <v>0</v>
      </c>
      <c r="J23" s="141">
        <f>Summary[[#This Row],[موجودی]]*Summary[[#This Row],[قیمت تمام شده]]</f>
        <v>0</v>
      </c>
      <c r="K23" s="152" t="str">
        <f>IF(B23="", "", _xlfn.XLOOKUP(B23, T[کالا], T[نحوه تسویه], ""))</f>
        <v>اعتباری</v>
      </c>
      <c r="L23" s="152" t="str">
        <f>IF(B23="", "", _xlfn.XLOOKUP(B23, T[کالا], T[شماره فاکتور], ""))</f>
        <v>م 1970</v>
      </c>
      <c r="M23" s="152" t="str">
        <f>IF(B23="", "", _xlfn.XLOOKUP(Summary[[#This Row],[فاکتور]], T[شماره فاکتور], T[فروشنده / مشتری], "نامشخص"))</f>
        <v>مهناز - تولیدی</v>
      </c>
      <c r="N23" s="141">
        <f>Summary[[#This Row],[ارزش فروش]] - (Summary[[#This Row],[قیمت تمام شده]]*Summary[[#This Row],[فروش]])</f>
        <v>0</v>
      </c>
      <c r="O23" s="365" t="str">
        <f>IFERROR(Summary[[#This Row],[سود]]/Summary[[#This Row],[ارزش کالای فروخته شده]], "")</f>
        <v/>
      </c>
    </row>
    <row r="24" spans="2:16" x14ac:dyDescent="0.8">
      <c r="B24" s="152" t="str">
        <v>بلوز جیر جلو کوتاه پشت بلند</v>
      </c>
      <c r="C24" s="141">
        <f>SUMIFS(T[تعداد], T[کالا], B24, T[نوع عملیات], "خرید")</f>
        <v>3</v>
      </c>
      <c r="D24" s="141">
        <f t="shared" si="0"/>
        <v>500000</v>
      </c>
      <c r="E24" s="141">
        <f>SUMIFS(T[قیمت کل], T[کالا], B24, T[نوع عملیات], "خرید")</f>
        <v>1500000</v>
      </c>
      <c r="F24" s="141">
        <f>SUMIFS(T[تعداد], T[کالا], B24, T[نوع عملیات], "فروش") + SUMIFS(T[تعداد], T[کالا], B24, T[نوع عملیات], "استفاده خودم")</f>
        <v>3</v>
      </c>
      <c r="G24" s="141">
        <f>SUMIFS(T[قیمت کل], T[کالا], B24, T[نوع عملیات], "فروش")</f>
        <v>2550000</v>
      </c>
      <c r="H24" s="141">
        <f>Summary[[#This Row],[فروش]]*Summary[[#This Row],[قیمت تمام شده]]</f>
        <v>1500000</v>
      </c>
      <c r="I24" s="141">
        <f>Summary[[#This Row],[خرید]]-Summary[[#This Row],[فروش]]</f>
        <v>0</v>
      </c>
      <c r="J24" s="141">
        <f>Summary[[#This Row],[موجودی]]*Summary[[#This Row],[قیمت تمام شده]]</f>
        <v>0</v>
      </c>
      <c r="K24" s="152" t="str">
        <f>IF(B24="", "", _xlfn.XLOOKUP(B24, T[کالا], T[نحوه تسویه], ""))</f>
        <v>اعتباری</v>
      </c>
      <c r="L24" s="152" t="str">
        <f>IF(B24="", "", _xlfn.XLOOKUP(B24, T[کالا], T[شماره فاکتور], ""))</f>
        <v>م 1970</v>
      </c>
      <c r="M24" s="152" t="str">
        <f>IF(B24="", "", _xlfn.XLOOKUP(Summary[[#This Row],[فاکتور]], T[شماره فاکتور], T[فروشنده / مشتری], "نامشخص"))</f>
        <v>مهناز - تولیدی</v>
      </c>
      <c r="N24" s="141">
        <f>Summary[[#This Row],[ارزش فروش]] - (Summary[[#This Row],[قیمت تمام شده]]*Summary[[#This Row],[فروش]])</f>
        <v>1050000</v>
      </c>
      <c r="O24" s="365">
        <f>IFERROR(Summary[[#This Row],[سود]]/Summary[[#This Row],[ارزش کالای فروخته شده]], "")</f>
        <v>0.7</v>
      </c>
    </row>
    <row r="25" spans="2:16" x14ac:dyDescent="0.8">
      <c r="B25" s="191" t="str">
        <v>کت فانتزی لینن</v>
      </c>
      <c r="C25" s="141">
        <f>SUMIFS(T[تعداد], T[کالا], B25, T[نوع عملیات], "خرید")</f>
        <v>0</v>
      </c>
      <c r="D25" s="141">
        <f t="shared" si="0"/>
        <v>0</v>
      </c>
      <c r="E25" s="141">
        <f>SUMIFS(T[قیمت کل], T[کالا], B25, T[نوع عملیات], "خرید")</f>
        <v>0</v>
      </c>
      <c r="F25" s="141">
        <f>SUMIFS(T[تعداد], T[کالا], B25, T[نوع عملیات], "فروش") + SUMIFS(T[تعداد], T[کالا], B25, T[نوع عملیات], "استفاده خودم")</f>
        <v>0</v>
      </c>
      <c r="G25" s="141">
        <f>SUMIFS(T[قیمت کل], T[کالا], B25, T[نوع عملیات], "فروش")</f>
        <v>0</v>
      </c>
      <c r="H25" s="141">
        <f>Summary[[#This Row],[فروش]]*Summary[[#This Row],[قیمت تمام شده]]</f>
        <v>0</v>
      </c>
      <c r="I25" s="141">
        <f>Summary[[#This Row],[خرید]]-Summary[[#This Row],[فروش]]</f>
        <v>0</v>
      </c>
      <c r="J25" s="141">
        <f>Summary[[#This Row],[موجودی]]*Summary[[#This Row],[قیمت تمام شده]]</f>
        <v>0</v>
      </c>
      <c r="K25" s="152" t="str">
        <f>IF(B25="", "", _xlfn.XLOOKUP(B25, T[کالا], T[نحوه تسویه], ""))</f>
        <v>اعتباری</v>
      </c>
      <c r="L25" s="152" t="str">
        <f>IF(B25="", "", _xlfn.XLOOKUP(B25, T[کالا], T[شماره فاکتور], ""))</f>
        <v>م 1970</v>
      </c>
      <c r="M25" s="152" t="str">
        <f>IF(B25="", "", _xlfn.XLOOKUP(Summary[[#This Row],[فاکتور]], T[شماره فاکتور], T[فروشنده / مشتری], "نامشخص"))</f>
        <v>مهناز - تولیدی</v>
      </c>
      <c r="N25" s="141">
        <f>Summary[[#This Row],[ارزش فروش]] - (Summary[[#This Row],[قیمت تمام شده]]*Summary[[#This Row],[فروش]])</f>
        <v>0</v>
      </c>
      <c r="O25" s="365" t="str">
        <f>IFERROR(Summary[[#This Row],[سود]]/Summary[[#This Row],[ارزش کالای فروخته شده]], "")</f>
        <v/>
      </c>
    </row>
    <row r="26" spans="2:16" x14ac:dyDescent="0.8">
      <c r="B26" s="152" t="str">
        <v>بلوز و شلوار لینن جلو بسته</v>
      </c>
      <c r="C26" s="141">
        <f>SUMIFS(T[تعداد], T[کالا], B26, T[نوع عملیات], "خرید")</f>
        <v>2</v>
      </c>
      <c r="D26" s="141">
        <f t="shared" si="0"/>
        <v>650000</v>
      </c>
      <c r="E26" s="141">
        <f>SUMIFS(T[قیمت کل], T[کالا], B26, T[نوع عملیات], "خرید")</f>
        <v>1300000</v>
      </c>
      <c r="F26" s="141">
        <f>SUMIFS(T[تعداد], T[کالا], B26, T[نوع عملیات], "فروش") + SUMIFS(T[تعداد], T[کالا], B26, T[نوع عملیات], "استفاده خودم")</f>
        <v>2</v>
      </c>
      <c r="G26" s="141">
        <f>SUMIFS(T[قیمت کل], T[کالا], B26, T[نوع عملیات], "فروش")</f>
        <v>2300000</v>
      </c>
      <c r="H26" s="141">
        <f>Summary[[#This Row],[فروش]]*Summary[[#This Row],[قیمت تمام شده]]</f>
        <v>1300000</v>
      </c>
      <c r="I26" s="141">
        <f>Summary[[#This Row],[خرید]]-Summary[[#This Row],[فروش]]</f>
        <v>0</v>
      </c>
      <c r="J26" s="141">
        <f>Summary[[#This Row],[موجودی]]*Summary[[#This Row],[قیمت تمام شده]]</f>
        <v>0</v>
      </c>
      <c r="K26" s="152" t="str">
        <f>IF(B26="", "", _xlfn.XLOOKUP(B26, T[کالا], T[نحوه تسویه], ""))</f>
        <v>اعتباری</v>
      </c>
      <c r="L26" s="152" t="str">
        <f>IF(B26="", "", _xlfn.XLOOKUP(B26, T[کالا], T[شماره فاکتور], ""))</f>
        <v>م 1970</v>
      </c>
      <c r="M26" s="152" t="str">
        <f>IF(B26="", "", _xlfn.XLOOKUP(Summary[[#This Row],[فاکتور]], T[شماره فاکتور], T[فروشنده / مشتری], "نامشخص"))</f>
        <v>مهناز - تولیدی</v>
      </c>
      <c r="N26" s="141">
        <f>Summary[[#This Row],[ارزش فروش]] - (Summary[[#This Row],[قیمت تمام شده]]*Summary[[#This Row],[فروش]])</f>
        <v>1000000</v>
      </c>
      <c r="O26" s="365">
        <f>IFERROR(Summary[[#This Row],[سود]]/Summary[[#This Row],[ارزش کالای فروخته شده]], "")</f>
        <v>0.76923076923076927</v>
      </c>
    </row>
    <row r="27" spans="2:16" x14ac:dyDescent="0.8">
      <c r="B27" s="191" t="str">
        <v>شومیز شلوار لینن جلوباز</v>
      </c>
      <c r="C27" s="141">
        <f>SUMIFS(T[تعداد], T[کالا], B27, T[نوع عملیات], "خرید")</f>
        <v>1</v>
      </c>
      <c r="D27" s="141">
        <f t="shared" si="0"/>
        <v>650000</v>
      </c>
      <c r="E27" s="141">
        <f>SUMIFS(T[قیمت کل], T[کالا], B27, T[نوع عملیات], "خرید")</f>
        <v>650000</v>
      </c>
      <c r="F27" s="141">
        <f>SUMIFS(T[تعداد], T[کالا], B27, T[نوع عملیات], "فروش") + SUMIFS(T[تعداد], T[کالا], B27, T[نوع عملیات], "استفاده خودم")</f>
        <v>1</v>
      </c>
      <c r="G27" s="141">
        <f>SUMIFS(T[قیمت کل], T[کالا], B27, T[نوع عملیات], "فروش")</f>
        <v>1200000</v>
      </c>
      <c r="H27" s="141">
        <f>Summary[[#This Row],[فروش]]*Summary[[#This Row],[قیمت تمام شده]]</f>
        <v>650000</v>
      </c>
      <c r="I27" s="141">
        <f>Summary[[#This Row],[خرید]]-Summary[[#This Row],[فروش]]</f>
        <v>0</v>
      </c>
      <c r="J27" s="141">
        <f>Summary[[#This Row],[موجودی]]*Summary[[#This Row],[قیمت تمام شده]]</f>
        <v>0</v>
      </c>
      <c r="K27" s="152" t="str">
        <f>IF(B27="", "", _xlfn.XLOOKUP(B27, T[کالا], T[نحوه تسویه], ""))</f>
        <v>اعتباری</v>
      </c>
      <c r="L27" s="152" t="str">
        <f>IF(B27="", "", _xlfn.XLOOKUP(B27, T[کالا], T[شماره فاکتور], ""))</f>
        <v>م 1970</v>
      </c>
      <c r="M27" s="152" t="str">
        <f>IF(B27="", "", _xlfn.XLOOKUP(Summary[[#This Row],[فاکتور]], T[شماره فاکتور], T[فروشنده / مشتری], "نامشخص"))</f>
        <v>مهناز - تولیدی</v>
      </c>
      <c r="N27" s="141">
        <f>Summary[[#This Row],[ارزش فروش]] - (Summary[[#This Row],[قیمت تمام شده]]*Summary[[#This Row],[فروش]])</f>
        <v>550000</v>
      </c>
      <c r="O27" s="365">
        <f>IFERROR(Summary[[#This Row],[سود]]/Summary[[#This Row],[ارزش کالای فروخته شده]], "")</f>
        <v>0.84615384615384615</v>
      </c>
    </row>
    <row r="28" spans="2:16" x14ac:dyDescent="0.8">
      <c r="B28" s="152" t="str">
        <v>شلوار لمه</v>
      </c>
      <c r="C28" s="141">
        <f>SUMIFS(T[تعداد], T[کالا], B28, T[نوع عملیات], "خرید")</f>
        <v>0</v>
      </c>
      <c r="D28" s="141">
        <f t="shared" si="0"/>
        <v>0</v>
      </c>
      <c r="E28" s="141">
        <f>SUMIFS(T[قیمت کل], T[کالا], B28, T[نوع عملیات], "خرید")</f>
        <v>0</v>
      </c>
      <c r="F28" s="141">
        <f>SUMIFS(T[تعداد], T[کالا], B28, T[نوع عملیات], "فروش") + SUMIFS(T[تعداد], T[کالا], B28, T[نوع عملیات], "استفاده خودم")</f>
        <v>0</v>
      </c>
      <c r="G28" s="141">
        <f>SUMIFS(T[قیمت کل], T[کالا], B28, T[نوع عملیات], "فروش")</f>
        <v>0</v>
      </c>
      <c r="H28" s="141">
        <f>Summary[[#This Row],[فروش]]*Summary[[#This Row],[قیمت تمام شده]]</f>
        <v>0</v>
      </c>
      <c r="I28" s="141">
        <f>Summary[[#This Row],[خرید]]-Summary[[#This Row],[فروش]]</f>
        <v>0</v>
      </c>
      <c r="J28" s="141">
        <f>Summary[[#This Row],[موجودی]]*Summary[[#This Row],[قیمت تمام شده]]</f>
        <v>0</v>
      </c>
      <c r="K28" s="152" t="str">
        <f>IF(B28="", "", _xlfn.XLOOKUP(B28, T[کالا], T[نحوه تسویه], ""))</f>
        <v>اعتباری</v>
      </c>
      <c r="L28" s="152" t="str">
        <f>IF(B28="", "", _xlfn.XLOOKUP(B28, T[کالا], T[شماره فاکتور], ""))</f>
        <v>م 1970</v>
      </c>
      <c r="M28" s="152" t="str">
        <f>IF(B28="", "", _xlfn.XLOOKUP(Summary[[#This Row],[فاکتور]], T[شماره فاکتور], T[فروشنده / مشتری], "نامشخص"))</f>
        <v>مهناز - تولیدی</v>
      </c>
      <c r="N28" s="141">
        <f>Summary[[#This Row],[ارزش فروش]] - (Summary[[#This Row],[قیمت تمام شده]]*Summary[[#This Row],[فروش]])</f>
        <v>0</v>
      </c>
      <c r="O28" s="365" t="str">
        <f>IFERROR(Summary[[#This Row],[سود]]/Summary[[#This Row],[ارزش کالای فروخته شده]], "")</f>
        <v/>
      </c>
      <c r="P28" s="163"/>
    </row>
    <row r="29" spans="2:16" x14ac:dyDescent="0.8">
      <c r="B29" s="191" t="str">
        <v>مانتو پاپیون</v>
      </c>
      <c r="C29" s="141">
        <f>SUMIFS(T[تعداد], T[کالا], B29, T[نوع عملیات], "خرید")</f>
        <v>5</v>
      </c>
      <c r="D29" s="141">
        <f t="shared" si="0"/>
        <v>1280000</v>
      </c>
      <c r="E29" s="141">
        <f>SUMIFS(T[قیمت کل], T[کالا], B29, T[نوع عملیات], "خرید")</f>
        <v>6400000</v>
      </c>
      <c r="F29" s="141">
        <f>SUMIFS(T[تعداد], T[کالا], B29, T[نوع عملیات], "فروش") + SUMIFS(T[تعداد], T[کالا], B29, T[نوع عملیات], "استفاده خودم")</f>
        <v>2</v>
      </c>
      <c r="G29" s="141">
        <f>SUMIFS(T[قیمت کل], T[کالا], B29, T[نوع عملیات], "فروش")</f>
        <v>2800000</v>
      </c>
      <c r="H29" s="141">
        <f>Summary[[#This Row],[فروش]]*Summary[[#This Row],[قیمت تمام شده]]</f>
        <v>2560000</v>
      </c>
      <c r="I29" s="141">
        <f>Summary[[#This Row],[خرید]]-Summary[[#This Row],[فروش]]</f>
        <v>3</v>
      </c>
      <c r="J29" s="141">
        <f>Summary[[#This Row],[موجودی]]*Summary[[#This Row],[قیمت تمام شده]]</f>
        <v>3840000</v>
      </c>
      <c r="K29" s="152" t="str">
        <f>IF(B29="", "", _xlfn.XLOOKUP(B29, T[کالا], T[نحوه تسویه], ""))</f>
        <v>اعتباری</v>
      </c>
      <c r="L29" s="152" t="str">
        <f>IF(B29="", "", _xlfn.XLOOKUP(B29, T[کالا], T[شماره فاکتور], ""))</f>
        <v>ف 312</v>
      </c>
      <c r="M29" s="152" t="str">
        <f>IF(B29="", "", _xlfn.XLOOKUP(Summary[[#This Row],[فاکتور]], T[شماره فاکتور], T[فروشنده / مشتری], "نامشخص"))</f>
        <v>فریده</v>
      </c>
      <c r="N29" s="141">
        <f>Summary[[#This Row],[ارزش فروش]] - (Summary[[#This Row],[قیمت تمام شده]]*Summary[[#This Row],[فروش]])</f>
        <v>240000</v>
      </c>
      <c r="O29" s="365">
        <f>IFERROR(Summary[[#This Row],[سود]]/Summary[[#This Row],[ارزش کالای فروخته شده]], "")</f>
        <v>9.375E-2</v>
      </c>
      <c r="P29" s="141"/>
    </row>
    <row r="30" spans="2:16" x14ac:dyDescent="0.8">
      <c r="B30" s="152" t="str">
        <v>مانتو مزون</v>
      </c>
      <c r="C30" s="141">
        <f>SUMIFS(T[تعداد], T[کالا], B30, T[نوع عملیات], "خرید")</f>
        <v>1</v>
      </c>
      <c r="D30" s="141">
        <f t="shared" si="0"/>
        <v>1200000</v>
      </c>
      <c r="E30" s="141">
        <f>SUMIFS(T[قیمت کل], T[کالا], B30, T[نوع عملیات], "خرید")</f>
        <v>1200000</v>
      </c>
      <c r="F30" s="141">
        <f>SUMIFS(T[تعداد], T[کالا], B30, T[نوع عملیات], "فروش") + SUMIFS(T[تعداد], T[کالا], B30, T[نوع عملیات], "استفاده خودم")</f>
        <v>1</v>
      </c>
      <c r="G30" s="141">
        <f>SUMIFS(T[قیمت کل], T[کالا], B30, T[نوع عملیات], "فروش")</f>
        <v>1800000</v>
      </c>
      <c r="H30" s="141">
        <f>Summary[[#This Row],[فروش]]*Summary[[#This Row],[قیمت تمام شده]]</f>
        <v>1200000</v>
      </c>
      <c r="I30" s="141">
        <f>Summary[[#This Row],[خرید]]-Summary[[#This Row],[فروش]]</f>
        <v>0</v>
      </c>
      <c r="J30" s="141">
        <f>Summary[[#This Row],[موجودی]]*Summary[[#This Row],[قیمت تمام شده]]</f>
        <v>0</v>
      </c>
      <c r="K30" s="152" t="str">
        <f>IF(B30="", "", _xlfn.XLOOKUP(B30, T[کالا], T[نحوه تسویه], ""))</f>
        <v>اعتباری</v>
      </c>
      <c r="L30" s="152" t="str">
        <f>IF(B30="", "", _xlfn.XLOOKUP(B30, T[کالا], T[شماره فاکتور], ""))</f>
        <v>ف 312</v>
      </c>
      <c r="M30" s="152" t="str">
        <f>IF(B30="", "", _xlfn.XLOOKUP(Summary[[#This Row],[فاکتور]], T[شماره فاکتور], T[فروشنده / مشتری], "نامشخص"))</f>
        <v>فریده</v>
      </c>
      <c r="N30" s="141">
        <f>Summary[[#This Row],[ارزش فروش]] - (Summary[[#This Row],[قیمت تمام شده]]*Summary[[#This Row],[فروش]])</f>
        <v>600000</v>
      </c>
      <c r="O30" s="365">
        <f>IFERROR(Summary[[#This Row],[سود]]/Summary[[#This Row],[ارزش کالای فروخته شده]], "")</f>
        <v>0.5</v>
      </c>
    </row>
    <row r="31" spans="2:16" x14ac:dyDescent="0.8">
      <c r="B31" s="191" t="str">
        <v>مانتو دیپلمات</v>
      </c>
      <c r="C31" s="141">
        <f>SUMIFS(T[تعداد], T[کالا], B31, T[نوع عملیات], "خرید")</f>
        <v>2</v>
      </c>
      <c r="D31" s="141">
        <f t="shared" si="0"/>
        <v>1150000</v>
      </c>
      <c r="E31" s="141">
        <f>SUMIFS(T[قیمت کل], T[کالا], B31, T[نوع عملیات], "خرید")</f>
        <v>2300000</v>
      </c>
      <c r="F31" s="141">
        <f>SUMIFS(T[تعداد], T[کالا], B31, T[نوع عملیات], "فروش") + SUMIFS(T[تعداد], T[کالا], B31, T[نوع عملیات], "استفاده خودم")</f>
        <v>1</v>
      </c>
      <c r="G31" s="141">
        <f>SUMIFS(T[قیمت کل], T[کالا], B31, T[نوع عملیات], "فروش")</f>
        <v>1200000</v>
      </c>
      <c r="H31" s="141">
        <f>Summary[[#This Row],[فروش]]*Summary[[#This Row],[قیمت تمام شده]]</f>
        <v>1150000</v>
      </c>
      <c r="I31" s="141">
        <f>Summary[[#This Row],[خرید]]-Summary[[#This Row],[فروش]]</f>
        <v>1</v>
      </c>
      <c r="J31" s="141">
        <f>Summary[[#This Row],[موجودی]]*Summary[[#This Row],[قیمت تمام شده]]</f>
        <v>1150000</v>
      </c>
      <c r="K31" s="152" t="str">
        <f>IF(B31="", "", _xlfn.XLOOKUP(B31, T[کالا], T[نحوه تسویه], ""))</f>
        <v>اعتباری</v>
      </c>
      <c r="L31" s="152" t="str">
        <f>IF(B31="", "", _xlfn.XLOOKUP(B31, T[کالا], T[شماره فاکتور], ""))</f>
        <v>ف 312</v>
      </c>
      <c r="M31" s="152" t="str">
        <f>IF(B31="", "", _xlfn.XLOOKUP(Summary[[#This Row],[فاکتور]], T[شماره فاکتور], T[فروشنده / مشتری], "نامشخص"))</f>
        <v>فریده</v>
      </c>
      <c r="N31" s="141">
        <f>Summary[[#This Row],[ارزش فروش]] - (Summary[[#This Row],[قیمت تمام شده]]*Summary[[#This Row],[فروش]])</f>
        <v>50000</v>
      </c>
      <c r="O31" s="365">
        <f>IFERROR(Summary[[#This Row],[سود]]/Summary[[#This Row],[ارزش کالای فروخته شده]], "")</f>
        <v>4.3478260869565216E-2</v>
      </c>
    </row>
    <row r="32" spans="2:16" x14ac:dyDescent="0.8">
      <c r="B32" s="152" t="str">
        <v>مانتو کتان</v>
      </c>
      <c r="C32" s="141">
        <f>SUMIFS(T[تعداد], T[کالا], B32, T[نوع عملیات], "خرید")</f>
        <v>5</v>
      </c>
      <c r="D32" s="141">
        <f t="shared" si="0"/>
        <v>850000</v>
      </c>
      <c r="E32" s="141">
        <f>SUMIFS(T[قیمت کل], T[کالا], B32, T[نوع عملیات], "خرید")</f>
        <v>4250000</v>
      </c>
      <c r="F32" s="141">
        <f>SUMIFS(T[تعداد], T[کالا], B32, T[نوع عملیات], "فروش") + SUMIFS(T[تعداد], T[کالا], B32, T[نوع عملیات], "استفاده خودم")</f>
        <v>1</v>
      </c>
      <c r="G32" s="141">
        <f>SUMIFS(T[قیمت کل], T[کالا], B32, T[نوع عملیات], "فروش")</f>
        <v>950000</v>
      </c>
      <c r="H32" s="141">
        <f>Summary[[#This Row],[فروش]]*Summary[[#This Row],[قیمت تمام شده]]</f>
        <v>850000</v>
      </c>
      <c r="I32" s="141">
        <f>Summary[[#This Row],[خرید]]-Summary[[#This Row],[فروش]]</f>
        <v>4</v>
      </c>
      <c r="J32" s="141">
        <f>Summary[[#This Row],[موجودی]]*Summary[[#This Row],[قیمت تمام شده]]</f>
        <v>3400000</v>
      </c>
      <c r="K32" s="152" t="str">
        <f>IF(B32="", "", _xlfn.XLOOKUP(B32, T[کالا], T[نحوه تسویه], ""))</f>
        <v>اعتباری</v>
      </c>
      <c r="L32" s="152" t="str">
        <f>IF(B32="", "", _xlfn.XLOOKUP(B32, T[کالا], T[شماره فاکتور], ""))</f>
        <v>ف 312</v>
      </c>
      <c r="M32" s="152" t="str">
        <f>IF(B32="", "", _xlfn.XLOOKUP(Summary[[#This Row],[فاکتور]], T[شماره فاکتور], T[فروشنده / مشتری], "نامشخص"))</f>
        <v>فریده</v>
      </c>
      <c r="N32" s="141">
        <f>Summary[[#This Row],[ارزش فروش]] - (Summary[[#This Row],[قیمت تمام شده]]*Summary[[#This Row],[فروش]])</f>
        <v>100000</v>
      </c>
      <c r="O32" s="365">
        <f>IFERROR(Summary[[#This Row],[سود]]/Summary[[#This Row],[ارزش کالای فروخته شده]], "")</f>
        <v>0.11764705882352941</v>
      </c>
    </row>
    <row r="33" spans="2:15" x14ac:dyDescent="0.8">
      <c r="B33" s="191" t="str">
        <v>شومیز مراکشی</v>
      </c>
      <c r="C33" s="141">
        <f>SUMIFS(T[تعداد], T[کالا], B33, T[نوع عملیات], "خرید")</f>
        <v>4</v>
      </c>
      <c r="D33" s="141">
        <f t="shared" si="0"/>
        <v>598000</v>
      </c>
      <c r="E33" s="141">
        <f>SUMIFS(T[قیمت کل], T[کالا], B33, T[نوع عملیات], "خرید")</f>
        <v>2392000</v>
      </c>
      <c r="F33" s="141">
        <f>SUMIFS(T[تعداد], T[کالا], B33, T[نوع عملیات], "فروش") + SUMIFS(T[تعداد], T[کالا], B33, T[نوع عملیات], "استفاده خودم")</f>
        <v>0</v>
      </c>
      <c r="G33" s="141">
        <f>SUMIFS(T[قیمت کل], T[کالا], B33, T[نوع عملیات], "فروش")</f>
        <v>0</v>
      </c>
      <c r="H33" s="141">
        <f>Summary[[#This Row],[فروش]]*Summary[[#This Row],[قیمت تمام شده]]</f>
        <v>0</v>
      </c>
      <c r="I33" s="141">
        <f>Summary[[#This Row],[خرید]]-Summary[[#This Row],[فروش]]</f>
        <v>4</v>
      </c>
      <c r="J33" s="141">
        <f>Summary[[#This Row],[موجودی]]*Summary[[#This Row],[قیمت تمام شده]]</f>
        <v>2392000</v>
      </c>
      <c r="K33" s="152" t="str">
        <f>IF(B33="", "", _xlfn.XLOOKUP(B33, T[کالا], T[نحوه تسویه], ""))</f>
        <v>اعتباری</v>
      </c>
      <c r="L33" s="152" t="str">
        <f>IF(B33="", "", _xlfn.XLOOKUP(B33, T[کالا], T[شماره فاکتور], ""))</f>
        <v>ف 312</v>
      </c>
      <c r="M33" s="152" t="str">
        <f>IF(B33="", "", _xlfn.XLOOKUP(Summary[[#This Row],[فاکتور]], T[شماره فاکتور], T[فروشنده / مشتری], "نامشخص"))</f>
        <v>فریده</v>
      </c>
      <c r="N33" s="141">
        <f>Summary[[#This Row],[ارزش فروش]] - (Summary[[#This Row],[قیمت تمام شده]]*Summary[[#This Row],[فروش]])</f>
        <v>0</v>
      </c>
      <c r="O33" s="365" t="str">
        <f>IFERROR(Summary[[#This Row],[سود]]/Summary[[#This Row],[ارزش کالای فروخته شده]], "")</f>
        <v/>
      </c>
    </row>
    <row r="34" spans="2:15" x14ac:dyDescent="0.8">
      <c r="B34" s="152" t="str">
        <v>شومیز پلنگی</v>
      </c>
      <c r="C34" s="141">
        <f>SUMIFS(T[تعداد], T[کالا], B34, T[نوع عملیات], "خرید")</f>
        <v>3</v>
      </c>
      <c r="D34" s="141">
        <f t="shared" si="0"/>
        <v>650000</v>
      </c>
      <c r="E34" s="141">
        <f>SUMIFS(T[قیمت کل], T[کالا], B34, T[نوع عملیات], "خرید")</f>
        <v>1950000</v>
      </c>
      <c r="F34" s="141">
        <f>SUMIFS(T[تعداد], T[کالا], B34, T[نوع عملیات], "فروش") + SUMIFS(T[تعداد], T[کالا], B34, T[نوع عملیات], "استفاده خودم")</f>
        <v>2</v>
      </c>
      <c r="G34" s="141">
        <f>SUMIFS(T[قیمت کل], T[کالا], B34, T[نوع عملیات], "فروش")</f>
        <v>1550000</v>
      </c>
      <c r="H34" s="141">
        <f>Summary[[#This Row],[فروش]]*Summary[[#This Row],[قیمت تمام شده]]</f>
        <v>1300000</v>
      </c>
      <c r="I34" s="141">
        <f>Summary[[#This Row],[خرید]]-Summary[[#This Row],[فروش]]</f>
        <v>1</v>
      </c>
      <c r="J34" s="141">
        <f>Summary[[#This Row],[موجودی]]*Summary[[#This Row],[قیمت تمام شده]]</f>
        <v>650000</v>
      </c>
      <c r="K34" s="152" t="str">
        <f>IF(B34="", "", _xlfn.XLOOKUP(B34, T[کالا], T[نحوه تسویه], ""))</f>
        <v>اعتباری</v>
      </c>
      <c r="L34" s="152" t="str">
        <f>IF(B34="", "", _xlfn.XLOOKUP(B34, T[کالا], T[شماره فاکتور], ""))</f>
        <v>ف 312</v>
      </c>
      <c r="M34" s="152" t="str">
        <f>IF(B34="", "", _xlfn.XLOOKUP(Summary[[#This Row],[فاکتور]], T[شماره فاکتور], T[فروشنده / مشتری], "نامشخص"))</f>
        <v>فریده</v>
      </c>
      <c r="N34" s="141">
        <f>Summary[[#This Row],[ارزش فروش]] - (Summary[[#This Row],[قیمت تمام شده]]*Summary[[#This Row],[فروش]])</f>
        <v>250000</v>
      </c>
      <c r="O34" s="365">
        <f>IFERROR(Summary[[#This Row],[سود]]/Summary[[#This Row],[ارزش کالای فروخته شده]], "")</f>
        <v>0.19230769230769232</v>
      </c>
    </row>
    <row r="35" spans="2:15" x14ac:dyDescent="0.8">
      <c r="B35" s="191" t="str">
        <v>شال LV</v>
      </c>
      <c r="C35" s="141">
        <f>SUMIFS(T[تعداد], T[کالا], B35, T[نوع عملیات], "خرید")</f>
        <v>9</v>
      </c>
      <c r="D35" s="141">
        <f t="shared" ref="D35:D66" si="1">IFERROR(E35/C35, 0)</f>
        <v>398000</v>
      </c>
      <c r="E35" s="141">
        <f>SUMIFS(T[قیمت کل], T[کالا], B35, T[نوع عملیات], "خرید")</f>
        <v>3582000</v>
      </c>
      <c r="F35" s="141">
        <f>SUMIFS(T[تعداد], T[کالا], B35, T[نوع عملیات], "فروش") + SUMIFS(T[تعداد], T[کالا], B35, T[نوع عملیات], "استفاده خودم")</f>
        <v>9</v>
      </c>
      <c r="G35" s="141">
        <f>SUMIFS(T[قیمت کل], T[کالا], B35, T[نوع عملیات], "فروش")</f>
        <v>4000000</v>
      </c>
      <c r="H35" s="141">
        <f>Summary[[#This Row],[فروش]]*Summary[[#This Row],[قیمت تمام شده]]</f>
        <v>3582000</v>
      </c>
      <c r="I35" s="141">
        <f>Summary[[#This Row],[خرید]]-Summary[[#This Row],[فروش]]</f>
        <v>0</v>
      </c>
      <c r="J35" s="141">
        <f>Summary[[#This Row],[موجودی]]*Summary[[#This Row],[قیمت تمام شده]]</f>
        <v>0</v>
      </c>
      <c r="K35" s="152" t="str">
        <f>IF(B35="", "", _xlfn.XLOOKUP(B35, T[کالا], T[نحوه تسویه], ""))</f>
        <v>اعتباری</v>
      </c>
      <c r="L35" s="152" t="str">
        <f>IF(B35="", "", _xlfn.XLOOKUP(B35, T[کالا], T[شماره فاکتور], ""))</f>
        <v>ف 312</v>
      </c>
      <c r="M35" s="152" t="str">
        <f>IF(B35="", "", _xlfn.XLOOKUP(Summary[[#This Row],[فاکتور]], T[شماره فاکتور], T[فروشنده / مشتری], "نامشخص"))</f>
        <v>فریده</v>
      </c>
      <c r="N35" s="141">
        <f>Summary[[#This Row],[ارزش فروش]] - (Summary[[#This Row],[قیمت تمام شده]]*Summary[[#This Row],[فروش]])</f>
        <v>418000</v>
      </c>
      <c r="O35" s="365">
        <f>IFERROR(Summary[[#This Row],[سود]]/Summary[[#This Row],[ارزش کالای فروخته شده]], "")</f>
        <v>0.11669458403126745</v>
      </c>
    </row>
    <row r="36" spans="2:15" x14ac:dyDescent="0.8">
      <c r="B36" s="152" t="str">
        <v>بلوز کرکره</v>
      </c>
      <c r="C36" s="141">
        <f>SUMIFS(T[تعداد], T[کالا], B36, T[نوع عملیات], "خرید")</f>
        <v>8</v>
      </c>
      <c r="D36" s="141">
        <f t="shared" si="1"/>
        <v>285000</v>
      </c>
      <c r="E36" s="141">
        <f>SUMIFS(T[قیمت کل], T[کالا], B36, T[نوع عملیات], "خرید")</f>
        <v>2280000</v>
      </c>
      <c r="F36" s="141">
        <f>SUMIFS(T[تعداد], T[کالا], B36, T[نوع عملیات], "فروش") + SUMIFS(T[تعداد], T[کالا], B36, T[نوع عملیات], "استفاده خودم")</f>
        <v>3</v>
      </c>
      <c r="G36" s="141">
        <f>SUMIFS(T[قیمت کل], T[کالا], B36, T[نوع عملیات], "فروش")</f>
        <v>1550000</v>
      </c>
      <c r="H36" s="141">
        <f>Summary[[#This Row],[فروش]]*Summary[[#This Row],[قیمت تمام شده]]</f>
        <v>855000</v>
      </c>
      <c r="I36" s="141">
        <f>Summary[[#This Row],[خرید]]-Summary[[#This Row],[فروش]]</f>
        <v>5</v>
      </c>
      <c r="J36" s="141">
        <f>Summary[[#This Row],[موجودی]]*Summary[[#This Row],[قیمت تمام شده]]</f>
        <v>1425000</v>
      </c>
      <c r="K36" s="152" t="str">
        <f>IF(B36="", "", _xlfn.XLOOKUP(B36, T[کالا], T[نحوه تسویه], ""))</f>
        <v>اعتباری</v>
      </c>
      <c r="L36" s="152" t="str">
        <f>IF(B36="", "", _xlfn.XLOOKUP(B36, T[کالا], T[شماره فاکتور], ""))</f>
        <v>ف 312</v>
      </c>
      <c r="M36" s="152" t="str">
        <f>IF(B36="", "", _xlfn.XLOOKUP(Summary[[#This Row],[فاکتور]], T[شماره فاکتور], T[فروشنده / مشتری], "نامشخص"))</f>
        <v>فریده</v>
      </c>
      <c r="N36" s="141">
        <f>Summary[[#This Row],[ارزش فروش]] - (Summary[[#This Row],[قیمت تمام شده]]*Summary[[#This Row],[فروش]])</f>
        <v>695000</v>
      </c>
      <c r="O36" s="365">
        <f>IFERROR(Summary[[#This Row],[سود]]/Summary[[#This Row],[ارزش کالای فروخته شده]], "")</f>
        <v>0.8128654970760234</v>
      </c>
    </row>
    <row r="37" spans="2:15" x14ac:dyDescent="0.8">
      <c r="B37" s="191" t="str">
        <v>شلوار جین دمپا</v>
      </c>
      <c r="C37" s="141">
        <f>SUMIFS(T[تعداد], T[کالا], B37, T[نوع عملیات], "خرید")</f>
        <v>4</v>
      </c>
      <c r="D37" s="141">
        <f t="shared" si="1"/>
        <v>680000</v>
      </c>
      <c r="E37" s="141">
        <f>SUMIFS(T[قیمت کل], T[کالا], B37, T[نوع عملیات], "خرید")</f>
        <v>2720000</v>
      </c>
      <c r="F37" s="141">
        <f>SUMIFS(T[تعداد], T[کالا], B37, T[نوع عملیات], "فروش") + SUMIFS(T[تعداد], T[کالا], B37, T[نوع عملیات], "استفاده خودم")</f>
        <v>3</v>
      </c>
      <c r="G37" s="141">
        <f>SUMIFS(T[قیمت کل], T[کالا], B37, T[نوع عملیات], "فروش")</f>
        <v>3400000</v>
      </c>
      <c r="H37" s="141">
        <f>Summary[[#This Row],[فروش]]*Summary[[#This Row],[قیمت تمام شده]]</f>
        <v>2040000</v>
      </c>
      <c r="I37" s="141">
        <f>Summary[[#This Row],[خرید]]-Summary[[#This Row],[فروش]]</f>
        <v>1</v>
      </c>
      <c r="J37" s="141">
        <f>Summary[[#This Row],[موجودی]]*Summary[[#This Row],[قیمت تمام شده]]</f>
        <v>680000</v>
      </c>
      <c r="K37" s="152" t="str">
        <f>IF(B37="", "", _xlfn.XLOOKUP(B37, T[کالا], T[نحوه تسویه], ""))</f>
        <v>اعتباری</v>
      </c>
      <c r="L37" s="152" t="str">
        <f>IF(B37="", "", _xlfn.XLOOKUP(B37, T[کالا], T[شماره فاکتور], ""))</f>
        <v>ف 312</v>
      </c>
      <c r="M37" s="152" t="str">
        <f>IF(B37="", "", _xlfn.XLOOKUP(Summary[[#This Row],[فاکتور]], T[شماره فاکتور], T[فروشنده / مشتری], "نامشخص"))</f>
        <v>فریده</v>
      </c>
      <c r="N37" s="141">
        <f>Summary[[#This Row],[ارزش فروش]] - (Summary[[#This Row],[قیمت تمام شده]]*Summary[[#This Row],[فروش]])</f>
        <v>1360000</v>
      </c>
      <c r="O37" s="365">
        <f>IFERROR(Summary[[#This Row],[سود]]/Summary[[#This Row],[ارزش کالای فروخته شده]], "")</f>
        <v>0.66666666666666663</v>
      </c>
    </row>
    <row r="38" spans="2:15" x14ac:dyDescent="0.8">
      <c r="B38" s="152" t="str">
        <v>شلوار مازراتی</v>
      </c>
      <c r="C38" s="141">
        <f>SUMIFS(T[تعداد], T[کالا], B38, T[نوع عملیات], "خرید")</f>
        <v>5</v>
      </c>
      <c r="D38" s="141">
        <f t="shared" si="1"/>
        <v>260000</v>
      </c>
      <c r="E38" s="141">
        <f>SUMIFS(T[قیمت کل], T[کالا], B38, T[نوع عملیات], "خرید")</f>
        <v>1300000</v>
      </c>
      <c r="F38" s="141">
        <f>SUMIFS(T[تعداد], T[کالا], B38, T[نوع عملیات], "فروش") + SUMIFS(T[تعداد], T[کالا], B38, T[نوع عملیات], "استفاده خودم")</f>
        <v>1</v>
      </c>
      <c r="G38" s="141">
        <f>SUMIFS(T[قیمت کل], T[کالا], B38, T[نوع عملیات], "فروش")</f>
        <v>850000</v>
      </c>
      <c r="H38" s="141">
        <f>Summary[[#This Row],[فروش]]*Summary[[#This Row],[قیمت تمام شده]]</f>
        <v>260000</v>
      </c>
      <c r="I38" s="141">
        <f>Summary[[#This Row],[خرید]]-Summary[[#This Row],[فروش]]</f>
        <v>4</v>
      </c>
      <c r="J38" s="141">
        <f>Summary[[#This Row],[موجودی]]*Summary[[#This Row],[قیمت تمام شده]]</f>
        <v>1040000</v>
      </c>
      <c r="K38" s="152" t="str">
        <f>IF(B38="", "", _xlfn.XLOOKUP(B38, T[کالا], T[نحوه تسویه], ""))</f>
        <v>اعتباری</v>
      </c>
      <c r="L38" s="152" t="str">
        <f>IF(B38="", "", _xlfn.XLOOKUP(B38, T[کالا], T[شماره فاکتور], ""))</f>
        <v>ف 312</v>
      </c>
      <c r="M38" s="152" t="str">
        <f>IF(B38="", "", _xlfn.XLOOKUP(Summary[[#This Row],[فاکتور]], T[شماره فاکتور], T[فروشنده / مشتری], "نامشخص"))</f>
        <v>فریده</v>
      </c>
      <c r="N38" s="141">
        <f>Summary[[#This Row],[ارزش فروش]] - (Summary[[#This Row],[قیمت تمام شده]]*Summary[[#This Row],[فروش]])</f>
        <v>590000</v>
      </c>
      <c r="O38" s="365">
        <f>IFERROR(Summary[[#This Row],[سود]]/Summary[[#This Row],[ارزش کالای فروخته شده]], "")</f>
        <v>2.2692307692307692</v>
      </c>
    </row>
    <row r="39" spans="2:15" x14ac:dyDescent="0.8">
      <c r="B39" s="191" t="str">
        <v>بلوز بافت صورتی</v>
      </c>
      <c r="C39" s="141">
        <f>SUMIFS(T[تعداد], T[کالا], B39, T[نوع عملیات], "خرید")</f>
        <v>1</v>
      </c>
      <c r="D39" s="141">
        <f t="shared" si="1"/>
        <v>650000</v>
      </c>
      <c r="E39" s="141">
        <f>SUMIFS(T[قیمت کل], T[کالا], B39, T[نوع عملیات], "خرید")</f>
        <v>650000</v>
      </c>
      <c r="F39" s="141">
        <f>SUMIFS(T[تعداد], T[کالا], B39, T[نوع عملیات], "فروش") + SUMIFS(T[تعداد], T[کالا], B39, T[نوع عملیات], "استفاده خودم")</f>
        <v>1</v>
      </c>
      <c r="G39" s="141">
        <f>SUMIFS(T[قیمت کل], T[کالا], B39, T[نوع عملیات], "فروش")</f>
        <v>850000</v>
      </c>
      <c r="H39" s="141">
        <f>Summary[[#This Row],[فروش]]*Summary[[#This Row],[قیمت تمام شده]]</f>
        <v>650000</v>
      </c>
      <c r="I39" s="141">
        <f>Summary[[#This Row],[خرید]]-Summary[[#This Row],[فروش]]</f>
        <v>0</v>
      </c>
      <c r="J39" s="141">
        <f>Summary[[#This Row],[موجودی]]*Summary[[#This Row],[قیمت تمام شده]]</f>
        <v>0</v>
      </c>
      <c r="K39" s="152" t="str">
        <f>IF(B39="", "", _xlfn.XLOOKUP(B39, T[کالا], T[نحوه تسویه], ""))</f>
        <v>اعتباری</v>
      </c>
      <c r="L39" s="152" t="str">
        <f>IF(B39="", "", _xlfn.XLOOKUP(B39, T[کالا], T[شماره فاکتور], ""))</f>
        <v>ف 312</v>
      </c>
      <c r="M39" s="152" t="str">
        <f>IF(B39="", "", _xlfn.XLOOKUP(Summary[[#This Row],[فاکتور]], T[شماره فاکتور], T[فروشنده / مشتری], "نامشخص"))</f>
        <v>فریده</v>
      </c>
      <c r="N39" s="141">
        <f>Summary[[#This Row],[ارزش فروش]] - (Summary[[#This Row],[قیمت تمام شده]]*Summary[[#This Row],[فروش]])</f>
        <v>200000</v>
      </c>
      <c r="O39" s="365">
        <f>IFERROR(Summary[[#This Row],[سود]]/Summary[[#This Row],[ارزش کالای فروخته شده]], "")</f>
        <v>0.30769230769230771</v>
      </c>
    </row>
    <row r="40" spans="2:15" x14ac:dyDescent="0.8">
      <c r="B40" s="152" t="str">
        <v>شلوار مام</v>
      </c>
      <c r="C40" s="141">
        <f>SUMIFS(T[تعداد], T[کالا], B40, T[نوع عملیات], "خرید")</f>
        <v>2</v>
      </c>
      <c r="D40" s="141">
        <f t="shared" si="1"/>
        <v>650000</v>
      </c>
      <c r="E40" s="141">
        <f>SUMIFS(T[قیمت کل], T[کالا], B40, T[نوع عملیات], "خرید")</f>
        <v>1300000</v>
      </c>
      <c r="F40" s="141">
        <f>SUMIFS(T[تعداد], T[کالا], B40, T[نوع عملیات], "فروش") + SUMIFS(T[تعداد], T[کالا], B40, T[نوع عملیات], "استفاده خودم")</f>
        <v>2</v>
      </c>
      <c r="G40" s="141">
        <f>SUMIFS(T[قیمت کل], T[کالا], B40, T[نوع عملیات], "فروش")</f>
        <v>1850000</v>
      </c>
      <c r="H40" s="141">
        <f>Summary[[#This Row],[فروش]]*Summary[[#This Row],[قیمت تمام شده]]</f>
        <v>1300000</v>
      </c>
      <c r="I40" s="141">
        <f>Summary[[#This Row],[خرید]]-Summary[[#This Row],[فروش]]</f>
        <v>0</v>
      </c>
      <c r="J40" s="141">
        <f>Summary[[#This Row],[موجودی]]*Summary[[#This Row],[قیمت تمام شده]]</f>
        <v>0</v>
      </c>
      <c r="K40" s="152" t="str">
        <f>IF(B40="", "", _xlfn.XLOOKUP(B40, T[کالا], T[نحوه تسویه], ""))</f>
        <v>اعتباری</v>
      </c>
      <c r="L40" s="152" t="str">
        <f>IF(B40="", "", _xlfn.XLOOKUP(B40, T[کالا], T[شماره فاکتور], ""))</f>
        <v>ف 312</v>
      </c>
      <c r="M40" s="152" t="str">
        <f>IF(B40="", "", _xlfn.XLOOKUP(Summary[[#This Row],[فاکتور]], T[شماره فاکتور], T[فروشنده / مشتری], "نامشخص"))</f>
        <v>فریده</v>
      </c>
      <c r="N40" s="141">
        <f>Summary[[#This Row],[ارزش فروش]] - (Summary[[#This Row],[قیمت تمام شده]]*Summary[[#This Row],[فروش]])</f>
        <v>550000</v>
      </c>
      <c r="O40" s="365">
        <f>IFERROR(Summary[[#This Row],[سود]]/Summary[[#This Row],[ارزش کالای فروخته شده]], "")</f>
        <v>0.42307692307692307</v>
      </c>
    </row>
    <row r="41" spans="2:15" x14ac:dyDescent="0.8">
      <c r="B41" s="191" t="str">
        <v>دامن حلزونی مشکی</v>
      </c>
      <c r="C41" s="141">
        <f>SUMIFS(T[تعداد], T[کالا], B41, T[نوع عملیات], "خرید")</f>
        <v>4</v>
      </c>
      <c r="D41" s="141">
        <f t="shared" si="1"/>
        <v>320000</v>
      </c>
      <c r="E41" s="141">
        <f>SUMIFS(T[قیمت کل], T[کالا], B41, T[نوع عملیات], "خرید")</f>
        <v>1280000</v>
      </c>
      <c r="F41" s="141">
        <f>SUMIFS(T[تعداد], T[کالا], B41, T[نوع عملیات], "فروش") + SUMIFS(T[تعداد], T[کالا], B41, T[نوع عملیات], "استفاده خودم")</f>
        <v>4</v>
      </c>
      <c r="G41" s="141">
        <f>SUMIFS(T[قیمت کل], T[کالا], B41, T[نوع عملیات], "فروش")</f>
        <v>2600000</v>
      </c>
      <c r="H41" s="141">
        <f>Summary[[#This Row],[فروش]]*Summary[[#This Row],[قیمت تمام شده]]</f>
        <v>1280000</v>
      </c>
      <c r="I41" s="141">
        <f>Summary[[#This Row],[خرید]]-Summary[[#This Row],[فروش]]</f>
        <v>0</v>
      </c>
      <c r="J41" s="141">
        <f>Summary[[#This Row],[موجودی]]*Summary[[#This Row],[قیمت تمام شده]]</f>
        <v>0</v>
      </c>
      <c r="K41" s="152" t="str">
        <f>IF(B41="", "", _xlfn.XLOOKUP(B41, T[کالا], T[نحوه تسویه], ""))</f>
        <v>حساب 5802</v>
      </c>
      <c r="L41" s="152" t="str">
        <f>IF(B41="", "", _xlfn.XLOOKUP(B41, T[کالا], T[شماره فاکتور], ""))</f>
        <v>ب 312</v>
      </c>
      <c r="M41" s="152" t="str">
        <f>IF(B41="", "", _xlfn.XLOOKUP(Summary[[#This Row],[فاکتور]], T[شماره فاکتور], T[فروشنده / مشتری], "نامشخص"))</f>
        <v>بازار</v>
      </c>
      <c r="N41" s="141">
        <f>Summary[[#This Row],[ارزش فروش]] - (Summary[[#This Row],[قیمت تمام شده]]*Summary[[#This Row],[فروش]])</f>
        <v>1320000</v>
      </c>
      <c r="O41" s="365">
        <f>IFERROR(Summary[[#This Row],[سود]]/Summary[[#This Row],[ارزش کالای فروخته شده]], "")</f>
        <v>1.03125</v>
      </c>
    </row>
    <row r="42" spans="2:15" x14ac:dyDescent="0.8">
      <c r="B42" s="152" t="str">
        <v>بلوز طوسی زیپ دار</v>
      </c>
      <c r="C42" s="141">
        <f>SUMIFS(T[تعداد], T[کالا], B42, T[نوع عملیات], "خرید")</f>
        <v>1</v>
      </c>
      <c r="D42" s="141">
        <f t="shared" si="1"/>
        <v>160000</v>
      </c>
      <c r="E42" s="141">
        <f>SUMIFS(T[قیمت کل], T[کالا], B42, T[نوع عملیات], "خرید")</f>
        <v>160000</v>
      </c>
      <c r="F42" s="141">
        <f>SUMIFS(T[تعداد], T[کالا], B42, T[نوع عملیات], "فروش") + SUMIFS(T[تعداد], T[کالا], B42, T[نوع عملیات], "استفاده خودم")</f>
        <v>1</v>
      </c>
      <c r="G42" s="141">
        <f>SUMIFS(T[قیمت کل], T[کالا], B42, T[نوع عملیات], "فروش")</f>
        <v>450000</v>
      </c>
      <c r="H42" s="141">
        <f>Summary[[#This Row],[فروش]]*Summary[[#This Row],[قیمت تمام شده]]</f>
        <v>160000</v>
      </c>
      <c r="I42" s="141">
        <f>Summary[[#This Row],[خرید]]-Summary[[#This Row],[فروش]]</f>
        <v>0</v>
      </c>
      <c r="J42" s="141">
        <f>Summary[[#This Row],[موجودی]]*Summary[[#This Row],[قیمت تمام شده]]</f>
        <v>0</v>
      </c>
      <c r="K42" s="152" t="str">
        <f>IF(B42="", "", _xlfn.XLOOKUP(B42, T[کالا], T[نحوه تسویه], ""))</f>
        <v>نقدی</v>
      </c>
      <c r="L42" s="152" t="str">
        <f>IF(B42="", "", _xlfn.XLOOKUP(B42, T[کالا], T[شماره فاکتور], ""))</f>
        <v>و 309</v>
      </c>
      <c r="M42" s="152" t="str">
        <f>IF(B42="", "", _xlfn.XLOOKUP(Summary[[#This Row],[فاکتور]], T[شماره فاکتور], T[فروشنده / مشتری], "نامشخص"))</f>
        <v>وان ترکیه</v>
      </c>
      <c r="N42" s="141">
        <f>Summary[[#This Row],[ارزش فروش]] - (Summary[[#This Row],[قیمت تمام شده]]*Summary[[#This Row],[فروش]])</f>
        <v>290000</v>
      </c>
      <c r="O42" s="365">
        <f>IFERROR(Summary[[#This Row],[سود]]/Summary[[#This Row],[ارزش کالای فروخته شده]], "")</f>
        <v>1.8125</v>
      </c>
    </row>
    <row r="43" spans="2:15" x14ac:dyDescent="0.8">
      <c r="B43" s="191" t="str">
        <v>گوشواره</v>
      </c>
      <c r="C43" s="141">
        <f>SUMIFS(T[تعداد], T[کالا], B43, T[نوع عملیات], "خرید")</f>
        <v>9</v>
      </c>
      <c r="D43" s="141">
        <f t="shared" si="1"/>
        <v>200000</v>
      </c>
      <c r="E43" s="141">
        <f>SUMIFS(T[قیمت کل], T[کالا], B43, T[نوع عملیات], "خرید")</f>
        <v>1800000</v>
      </c>
      <c r="F43" s="141">
        <f>SUMIFS(T[تعداد], T[کالا], B43, T[نوع عملیات], "فروش") + SUMIFS(T[تعداد], T[کالا], B43, T[نوع عملیات], "استفاده خودم")</f>
        <v>4</v>
      </c>
      <c r="G43" s="141">
        <f>SUMIFS(T[قیمت کل], T[کالا], B43, T[نوع عملیات], "فروش")</f>
        <v>950000</v>
      </c>
      <c r="H43" s="141">
        <f>Summary[[#This Row],[فروش]]*Summary[[#This Row],[قیمت تمام شده]]</f>
        <v>800000</v>
      </c>
      <c r="I43" s="141">
        <f>Summary[[#This Row],[خرید]]-Summary[[#This Row],[فروش]]</f>
        <v>5</v>
      </c>
      <c r="J43" s="141">
        <f>Summary[[#This Row],[موجودی]]*Summary[[#This Row],[قیمت تمام شده]]</f>
        <v>1000000</v>
      </c>
      <c r="K43" s="152" t="str">
        <f>IF(B43="", "", _xlfn.XLOOKUP(B43, T[کالا], T[نحوه تسویه], ""))</f>
        <v>نقدی</v>
      </c>
      <c r="L43" s="152" t="str">
        <f>IF(B43="", "", _xlfn.XLOOKUP(B43, T[کالا], T[شماره فاکتور], ""))</f>
        <v>و 309</v>
      </c>
      <c r="M43" s="152" t="str">
        <f>IF(B43="", "", _xlfn.XLOOKUP(Summary[[#This Row],[فاکتور]], T[شماره فاکتور], T[فروشنده / مشتری], "نامشخص"))</f>
        <v>وان ترکیه</v>
      </c>
      <c r="N43" s="141">
        <f>Summary[[#This Row],[ارزش فروش]] - (Summary[[#This Row],[قیمت تمام شده]]*Summary[[#This Row],[فروش]])</f>
        <v>150000</v>
      </c>
      <c r="O43" s="365">
        <f>IFERROR(Summary[[#This Row],[سود]]/Summary[[#This Row],[ارزش کالای فروخته شده]], "")</f>
        <v>0.1875</v>
      </c>
    </row>
    <row r="44" spans="2:15" x14ac:dyDescent="0.8">
      <c r="B44" s="152" t="str">
        <v>کوتون سفید</v>
      </c>
      <c r="C44" s="141">
        <f>SUMIFS(T[تعداد], T[کالا], B44, T[نوع عملیات], "خرید")</f>
        <v>1</v>
      </c>
      <c r="D44" s="141">
        <f t="shared" si="1"/>
        <v>600000</v>
      </c>
      <c r="E44" s="141">
        <f>SUMIFS(T[قیمت کل], T[کالا], B44, T[نوع عملیات], "خرید")</f>
        <v>600000</v>
      </c>
      <c r="F44" s="141">
        <f>SUMIFS(T[تعداد], T[کالا], B44, T[نوع عملیات], "فروش") + SUMIFS(T[تعداد], T[کالا], B44, T[نوع عملیات], "استفاده خودم")</f>
        <v>1</v>
      </c>
      <c r="G44" s="141">
        <f>SUMIFS(T[قیمت کل], T[کالا], B44, T[نوع عملیات], "فروش")</f>
        <v>1000000</v>
      </c>
      <c r="H44" s="141">
        <f>Summary[[#This Row],[فروش]]*Summary[[#This Row],[قیمت تمام شده]]</f>
        <v>600000</v>
      </c>
      <c r="I44" s="141">
        <f>Summary[[#This Row],[خرید]]-Summary[[#This Row],[فروش]]</f>
        <v>0</v>
      </c>
      <c r="J44" s="141">
        <f>Summary[[#This Row],[موجودی]]*Summary[[#This Row],[قیمت تمام شده]]</f>
        <v>0</v>
      </c>
      <c r="K44" s="152" t="str">
        <f>IF(B44="", "", _xlfn.XLOOKUP(B44, T[کالا], T[نحوه تسویه], ""))</f>
        <v>نقدی</v>
      </c>
      <c r="L44" s="152" t="str">
        <f>IF(B44="", "", _xlfn.XLOOKUP(B44, T[کالا], T[شماره فاکتور], ""))</f>
        <v>و 309</v>
      </c>
      <c r="M44" s="152" t="str">
        <f>IF(B44="", "", _xlfn.XLOOKUP(Summary[[#This Row],[فاکتور]], T[شماره فاکتور], T[فروشنده / مشتری], "نامشخص"))</f>
        <v>وان ترکیه</v>
      </c>
      <c r="N44" s="141">
        <f>Summary[[#This Row],[ارزش فروش]] - (Summary[[#This Row],[قیمت تمام شده]]*Summary[[#This Row],[فروش]])</f>
        <v>400000</v>
      </c>
      <c r="O44" s="365">
        <f>IFERROR(Summary[[#This Row],[سود]]/Summary[[#This Row],[ارزش کالای فروخته شده]], "")</f>
        <v>0.66666666666666663</v>
      </c>
    </row>
    <row r="45" spans="2:15" x14ac:dyDescent="0.8">
      <c r="B45" s="191" t="str">
        <v>کوتون XSIDE</v>
      </c>
      <c r="C45" s="141">
        <f>SUMIFS(T[تعداد], T[کالا], B45, T[نوع عملیات], "خرید")</f>
        <v>1</v>
      </c>
      <c r="D45" s="141">
        <f t="shared" si="1"/>
        <v>850000</v>
      </c>
      <c r="E45" s="141">
        <f>SUMIFS(T[قیمت کل], T[کالا], B45, T[نوع عملیات], "خرید")</f>
        <v>850000</v>
      </c>
      <c r="F45" s="141">
        <f>SUMIFS(T[تعداد], T[کالا], B45, T[نوع عملیات], "فروش") + SUMIFS(T[تعداد], T[کالا], B45, T[نوع عملیات], "استفاده خودم")</f>
        <v>1</v>
      </c>
      <c r="G45" s="141">
        <f>SUMIFS(T[قیمت کل], T[کالا], B45, T[نوع عملیات], "فروش")</f>
        <v>1300000</v>
      </c>
      <c r="H45" s="141">
        <f>Summary[[#This Row],[فروش]]*Summary[[#This Row],[قیمت تمام شده]]</f>
        <v>850000</v>
      </c>
      <c r="I45" s="141">
        <f>Summary[[#This Row],[خرید]]-Summary[[#This Row],[فروش]]</f>
        <v>0</v>
      </c>
      <c r="J45" s="141">
        <f>Summary[[#This Row],[موجودی]]*Summary[[#This Row],[قیمت تمام شده]]</f>
        <v>0</v>
      </c>
      <c r="K45" s="152" t="str">
        <f>IF(B45="", "", _xlfn.XLOOKUP(B45, T[کالا], T[نحوه تسویه], ""))</f>
        <v>نقدی</v>
      </c>
      <c r="L45" s="152" t="str">
        <f>IF(B45="", "", _xlfn.XLOOKUP(B45, T[کالا], T[شماره فاکتور], ""))</f>
        <v>و 309</v>
      </c>
      <c r="M45" s="152" t="str">
        <f>IF(B45="", "", _xlfn.XLOOKUP(Summary[[#This Row],[فاکتور]], T[شماره فاکتور], T[فروشنده / مشتری], "نامشخص"))</f>
        <v>وان ترکیه</v>
      </c>
      <c r="N45" s="141">
        <f>Summary[[#This Row],[ارزش فروش]] - (Summary[[#This Row],[قیمت تمام شده]]*Summary[[#This Row],[فروش]])</f>
        <v>450000</v>
      </c>
      <c r="O45" s="365">
        <f>IFERROR(Summary[[#This Row],[سود]]/Summary[[#This Row],[ارزش کالای فروخته شده]], "")</f>
        <v>0.52941176470588236</v>
      </c>
    </row>
    <row r="46" spans="2:15" x14ac:dyDescent="0.8">
      <c r="B46" s="152" t="str">
        <v>سوئیشرت کلاه دار ترک</v>
      </c>
      <c r="C46" s="141">
        <f>SUMIFS(T[تعداد], T[کالا], B46, T[نوع عملیات], "خرید")</f>
        <v>1</v>
      </c>
      <c r="D46" s="141">
        <f t="shared" si="1"/>
        <v>200000</v>
      </c>
      <c r="E46" s="141">
        <f>SUMIFS(T[قیمت کل], T[کالا], B46, T[نوع عملیات], "خرید")</f>
        <v>200000</v>
      </c>
      <c r="F46" s="141">
        <f>SUMIFS(T[تعداد], T[کالا], B46, T[نوع عملیات], "فروش") + SUMIFS(T[تعداد], T[کالا], B46, T[نوع عملیات], "استفاده خودم")</f>
        <v>1</v>
      </c>
      <c r="G46" s="141">
        <f>SUMIFS(T[قیمت کل], T[کالا], B46, T[نوع عملیات], "فروش")</f>
        <v>450000</v>
      </c>
      <c r="H46" s="141">
        <f>Summary[[#This Row],[فروش]]*Summary[[#This Row],[قیمت تمام شده]]</f>
        <v>200000</v>
      </c>
      <c r="I46" s="141">
        <f>Summary[[#This Row],[خرید]]-Summary[[#This Row],[فروش]]</f>
        <v>0</v>
      </c>
      <c r="J46" s="141">
        <f>Summary[[#This Row],[موجودی]]*Summary[[#This Row],[قیمت تمام شده]]</f>
        <v>0</v>
      </c>
      <c r="K46" s="152" t="str">
        <f>IF(B46="", "", _xlfn.XLOOKUP(B46, T[کالا], T[نحوه تسویه], ""))</f>
        <v>نقدی</v>
      </c>
      <c r="L46" s="152" t="str">
        <f>IF(B46="", "", _xlfn.XLOOKUP(B46, T[کالا], T[شماره فاکتور], ""))</f>
        <v>و 309</v>
      </c>
      <c r="M46" s="152" t="str">
        <f>IF(B46="", "", _xlfn.XLOOKUP(Summary[[#This Row],[فاکتور]], T[شماره فاکتور], T[فروشنده / مشتری], "نامشخص"))</f>
        <v>وان ترکیه</v>
      </c>
      <c r="N46" s="141">
        <f>Summary[[#This Row],[ارزش فروش]] - (Summary[[#This Row],[قیمت تمام شده]]*Summary[[#This Row],[فروش]])</f>
        <v>250000</v>
      </c>
      <c r="O46" s="365">
        <f>IFERROR(Summary[[#This Row],[سود]]/Summary[[#This Row],[ارزش کالای فروخته شده]], "")</f>
        <v>1.25</v>
      </c>
    </row>
    <row r="47" spans="2:15" x14ac:dyDescent="0.8">
      <c r="B47" s="191" t="str">
        <v>تیشرت طوسی ترک</v>
      </c>
      <c r="C47" s="141">
        <f>SUMIFS(T[تعداد], T[کالا], B47, T[نوع عملیات], "خرید")</f>
        <v>3</v>
      </c>
      <c r="D47" s="141">
        <f t="shared" si="1"/>
        <v>100000</v>
      </c>
      <c r="E47" s="141">
        <f>SUMIFS(T[قیمت کل], T[کالا], B47, T[نوع عملیات], "خرید")</f>
        <v>300000</v>
      </c>
      <c r="F47" s="141">
        <f>SUMIFS(T[تعداد], T[کالا], B47, T[نوع عملیات], "فروش") + SUMIFS(T[تعداد], T[کالا], B47, T[نوع عملیات], "استفاده خودم")</f>
        <v>2</v>
      </c>
      <c r="G47" s="141">
        <f>SUMIFS(T[قیمت کل], T[کالا], B47, T[نوع عملیات], "فروش")</f>
        <v>650000</v>
      </c>
      <c r="H47" s="141">
        <f>Summary[[#This Row],[فروش]]*Summary[[#This Row],[قیمت تمام شده]]</f>
        <v>200000</v>
      </c>
      <c r="I47" s="141">
        <f>Summary[[#This Row],[خرید]]-Summary[[#This Row],[فروش]]</f>
        <v>1</v>
      </c>
      <c r="J47" s="141">
        <f>Summary[[#This Row],[موجودی]]*Summary[[#This Row],[قیمت تمام شده]]</f>
        <v>100000</v>
      </c>
      <c r="K47" s="152" t="str">
        <f>IF(B47="", "", _xlfn.XLOOKUP(B47, T[کالا], T[نحوه تسویه], ""))</f>
        <v>نقدی</v>
      </c>
      <c r="L47" s="152" t="str">
        <f>IF(B47="", "", _xlfn.XLOOKUP(B47, T[کالا], T[شماره فاکتور], ""))</f>
        <v>و 309</v>
      </c>
      <c r="M47" s="152" t="str">
        <f>IF(B47="", "", _xlfn.XLOOKUP(Summary[[#This Row],[فاکتور]], T[شماره فاکتور], T[فروشنده / مشتری], "نامشخص"))</f>
        <v>وان ترکیه</v>
      </c>
      <c r="N47" s="141">
        <f>Summary[[#This Row],[ارزش فروش]] - (Summary[[#This Row],[قیمت تمام شده]]*Summary[[#This Row],[فروش]])</f>
        <v>450000</v>
      </c>
      <c r="O47" s="365">
        <f>IFERROR(Summary[[#This Row],[سود]]/Summary[[#This Row],[ارزش کالای فروخته شده]], "")</f>
        <v>2.25</v>
      </c>
    </row>
    <row r="48" spans="2:15" x14ac:dyDescent="0.8">
      <c r="B48" s="152" t="str">
        <v>اکسسوری</v>
      </c>
      <c r="C48" s="141">
        <f>SUMIFS(T[تعداد], T[کالا], B48, T[نوع عملیات], "خرید")</f>
        <v>1</v>
      </c>
      <c r="D48" s="141">
        <f t="shared" si="1"/>
        <v>100000</v>
      </c>
      <c r="E48" s="141">
        <f>SUMIFS(T[قیمت کل], T[کالا], B48, T[نوع عملیات], "خرید")</f>
        <v>100000</v>
      </c>
      <c r="F48" s="141">
        <f>SUMIFS(T[تعداد], T[کالا], B48, T[نوع عملیات], "فروش") + SUMIFS(T[تعداد], T[کالا], B48, T[نوع عملیات], "استفاده خودم")</f>
        <v>1</v>
      </c>
      <c r="G48" s="141">
        <f>SUMIFS(T[قیمت کل], T[کالا], B48, T[نوع عملیات], "فروش")</f>
        <v>350000</v>
      </c>
      <c r="H48" s="141">
        <f>Summary[[#This Row],[فروش]]*Summary[[#This Row],[قیمت تمام شده]]</f>
        <v>100000</v>
      </c>
      <c r="I48" s="141">
        <f>Summary[[#This Row],[خرید]]-Summary[[#This Row],[فروش]]</f>
        <v>0</v>
      </c>
      <c r="J48" s="141">
        <f>Summary[[#This Row],[موجودی]]*Summary[[#This Row],[قیمت تمام شده]]</f>
        <v>0</v>
      </c>
      <c r="K48" s="152" t="str">
        <f>IF(B48="", "", _xlfn.XLOOKUP(B48, T[کالا], T[نحوه تسویه], ""))</f>
        <v>نقدی</v>
      </c>
      <c r="L48" s="152" t="str">
        <f>IF(B48="", "", _xlfn.XLOOKUP(B48, T[کالا], T[شماره فاکتور], ""))</f>
        <v>و 309</v>
      </c>
      <c r="M48" s="152" t="str">
        <f>IF(B48="", "", _xlfn.XLOOKUP(Summary[[#This Row],[فاکتور]], T[شماره فاکتور], T[فروشنده / مشتری], "نامشخص"))</f>
        <v>وان ترکیه</v>
      </c>
      <c r="N48" s="141">
        <f>Summary[[#This Row],[ارزش فروش]] - (Summary[[#This Row],[قیمت تمام شده]]*Summary[[#This Row],[فروش]])</f>
        <v>250000</v>
      </c>
      <c r="O48" s="365">
        <f>IFERROR(Summary[[#This Row],[سود]]/Summary[[#This Row],[ارزش کالای فروخته شده]], "")</f>
        <v>2.5</v>
      </c>
    </row>
    <row r="49" spans="2:15" x14ac:dyDescent="0.8">
      <c r="B49" s="191" t="str">
        <v>شلوار کرم ترک</v>
      </c>
      <c r="C49" s="141">
        <f>SUMIFS(T[تعداد], T[کالا], B49, T[نوع عملیات], "خرید")</f>
        <v>1</v>
      </c>
      <c r="D49" s="141">
        <f t="shared" si="1"/>
        <v>0</v>
      </c>
      <c r="E49" s="141">
        <f>SUMIFS(T[قیمت کل], T[کالا], B49, T[نوع عملیات], "خرید")</f>
        <v>0</v>
      </c>
      <c r="F49" s="141">
        <f>SUMIFS(T[تعداد], T[کالا], B49, T[نوع عملیات], "فروش") + SUMIFS(T[تعداد], T[کالا], B49, T[نوع عملیات], "استفاده خودم")</f>
        <v>1</v>
      </c>
      <c r="G49" s="141">
        <f>SUMIFS(T[قیمت کل], T[کالا], B49, T[نوع عملیات], "فروش")</f>
        <v>650000</v>
      </c>
      <c r="H49" s="141">
        <f>Summary[[#This Row],[فروش]]*Summary[[#This Row],[قیمت تمام شده]]</f>
        <v>0</v>
      </c>
      <c r="I49" s="141">
        <f>Summary[[#This Row],[خرید]]-Summary[[#This Row],[فروش]]</f>
        <v>0</v>
      </c>
      <c r="J49" s="141">
        <f>Summary[[#This Row],[موجودی]]*Summary[[#This Row],[قیمت تمام شده]]</f>
        <v>0</v>
      </c>
      <c r="K49" s="152">
        <f>IF(B49="", "", _xlfn.XLOOKUP(B49, T[کالا], T[نحوه تسویه], ""))</f>
        <v>0</v>
      </c>
      <c r="L49" s="152" t="str">
        <f>IF(B49="", "", _xlfn.XLOOKUP(B49, T[کالا], T[شماره فاکتور], ""))</f>
        <v>اس 311</v>
      </c>
      <c r="M49" s="152" t="str">
        <f>IF(B49="", "", _xlfn.XLOOKUP(Summary[[#This Row],[فاکتور]], T[شماره فاکتور], T[فروشنده / مشتری], "نامشخص"))</f>
        <v>استانبول</v>
      </c>
      <c r="N49" s="141">
        <f>Summary[[#This Row],[ارزش فروش]] - (Summary[[#This Row],[قیمت تمام شده]]*Summary[[#This Row],[فروش]])</f>
        <v>650000</v>
      </c>
      <c r="O49" s="365" t="str">
        <f>IFERROR(Summary[[#This Row],[سود]]/Summary[[#This Row],[ارزش کالای فروخته شده]], "")</f>
        <v/>
      </c>
    </row>
    <row r="50" spans="2:15" x14ac:dyDescent="0.8">
      <c r="B50" s="152" t="str">
        <v>دامن ترک سفید</v>
      </c>
      <c r="C50" s="141">
        <f>SUMIFS(T[تعداد], T[کالا], B50, T[نوع عملیات], "خرید")</f>
        <v>1</v>
      </c>
      <c r="D50" s="141">
        <f t="shared" si="1"/>
        <v>0</v>
      </c>
      <c r="E50" s="141">
        <f>SUMIFS(T[قیمت کل], T[کالا], B50, T[نوع عملیات], "خرید")</f>
        <v>0</v>
      </c>
      <c r="F50" s="141">
        <f>SUMIFS(T[تعداد], T[کالا], B50, T[نوع عملیات], "فروش") + SUMIFS(T[تعداد], T[کالا], B50, T[نوع عملیات], "استفاده خودم")</f>
        <v>1</v>
      </c>
      <c r="G50" s="141">
        <f>SUMIFS(T[قیمت کل], T[کالا], B50, T[نوع عملیات], "فروش")</f>
        <v>1000000</v>
      </c>
      <c r="H50" s="141">
        <f>Summary[[#This Row],[فروش]]*Summary[[#This Row],[قیمت تمام شده]]</f>
        <v>0</v>
      </c>
      <c r="I50" s="141">
        <f>Summary[[#This Row],[خرید]]-Summary[[#This Row],[فروش]]</f>
        <v>0</v>
      </c>
      <c r="J50" s="141">
        <f>Summary[[#This Row],[موجودی]]*Summary[[#This Row],[قیمت تمام شده]]</f>
        <v>0</v>
      </c>
      <c r="K50" s="152">
        <f>IF(B50="", "", _xlfn.XLOOKUP(B50, T[کالا], T[نحوه تسویه], ""))</f>
        <v>0</v>
      </c>
      <c r="L50" s="152" t="str">
        <f>IF(B50="", "", _xlfn.XLOOKUP(B50, T[کالا], T[شماره فاکتور], ""))</f>
        <v>اس 311</v>
      </c>
      <c r="M50" s="152" t="str">
        <f>IF(B50="", "", _xlfn.XLOOKUP(Summary[[#This Row],[فاکتور]], T[شماره فاکتور], T[فروشنده / مشتری], "نامشخص"))</f>
        <v>استانبول</v>
      </c>
      <c r="N50" s="141">
        <f>Summary[[#This Row],[ارزش فروش]] - (Summary[[#This Row],[قیمت تمام شده]]*Summary[[#This Row],[فروش]])</f>
        <v>1000000</v>
      </c>
      <c r="O50" s="365" t="str">
        <f>IFERROR(Summary[[#This Row],[سود]]/Summary[[#This Row],[ارزش کالای فروخته شده]], "")</f>
        <v/>
      </c>
    </row>
    <row r="51" spans="2:15" x14ac:dyDescent="0.8">
      <c r="B51" s="191" t="str">
        <v>نیم تنه ترک گره ای</v>
      </c>
      <c r="C51" s="141">
        <f>SUMIFS(T[تعداد], T[کالا], B51, T[نوع عملیات], "خرید")</f>
        <v>2</v>
      </c>
      <c r="D51" s="141">
        <f t="shared" si="1"/>
        <v>0</v>
      </c>
      <c r="E51" s="141">
        <f>SUMIFS(T[قیمت کل], T[کالا], B51, T[نوع عملیات], "خرید")</f>
        <v>0</v>
      </c>
      <c r="F51" s="141">
        <f>SUMIFS(T[تعداد], T[کالا], B51, T[نوع عملیات], "فروش") + SUMIFS(T[تعداد], T[کالا], B51, T[نوع عملیات], "استفاده خودم")</f>
        <v>2</v>
      </c>
      <c r="G51" s="141">
        <f>SUMIFS(T[قیمت کل], T[کالا], B51, T[نوع عملیات], "فروش")</f>
        <v>1200000</v>
      </c>
      <c r="H51" s="141">
        <f>Summary[[#This Row],[فروش]]*Summary[[#This Row],[قیمت تمام شده]]</f>
        <v>0</v>
      </c>
      <c r="I51" s="141">
        <f>Summary[[#This Row],[خرید]]-Summary[[#This Row],[فروش]]</f>
        <v>0</v>
      </c>
      <c r="J51" s="141">
        <f>Summary[[#This Row],[موجودی]]*Summary[[#This Row],[قیمت تمام شده]]</f>
        <v>0</v>
      </c>
      <c r="K51" s="152">
        <f>IF(B51="", "", _xlfn.XLOOKUP(B51, T[کالا], T[نحوه تسویه], ""))</f>
        <v>0</v>
      </c>
      <c r="L51" s="152" t="str">
        <f>IF(B51="", "", _xlfn.XLOOKUP(B51, T[کالا], T[شماره فاکتور], ""))</f>
        <v>اس 311</v>
      </c>
      <c r="M51" s="152" t="str">
        <f>IF(B51="", "", _xlfn.XLOOKUP(Summary[[#This Row],[فاکتور]], T[شماره فاکتور], T[فروشنده / مشتری], "نامشخص"))</f>
        <v>استانبول</v>
      </c>
      <c r="N51" s="141">
        <f>Summary[[#This Row],[ارزش فروش]] - (Summary[[#This Row],[قیمت تمام شده]]*Summary[[#This Row],[فروش]])</f>
        <v>1200000</v>
      </c>
      <c r="O51" s="365" t="str">
        <f>IFERROR(Summary[[#This Row],[سود]]/Summary[[#This Row],[ارزش کالای فروخته شده]], "")</f>
        <v/>
      </c>
    </row>
    <row r="52" spans="2:15" x14ac:dyDescent="0.8">
      <c r="B52" s="152" t="str">
        <v>پیراهن استانبول</v>
      </c>
      <c r="C52" s="141">
        <f>SUMIFS(T[تعداد], T[کالا], B52, T[نوع عملیات], "خرید")</f>
        <v>1</v>
      </c>
      <c r="D52" s="141">
        <f t="shared" si="1"/>
        <v>0</v>
      </c>
      <c r="E52" s="141">
        <f>SUMIFS(T[قیمت کل], T[کالا], B52, T[نوع عملیات], "خرید")</f>
        <v>0</v>
      </c>
      <c r="F52" s="141">
        <f>SUMIFS(T[تعداد], T[کالا], B52, T[نوع عملیات], "فروش") + SUMIFS(T[تعداد], T[کالا], B52, T[نوع عملیات], "استفاده خودم")</f>
        <v>1</v>
      </c>
      <c r="G52" s="141">
        <f>SUMIFS(T[قیمت کل], T[کالا], B52, T[نوع عملیات], "فروش")</f>
        <v>800000</v>
      </c>
      <c r="H52" s="141">
        <f>Summary[[#This Row],[فروش]]*Summary[[#This Row],[قیمت تمام شده]]</f>
        <v>0</v>
      </c>
      <c r="I52" s="141">
        <f>Summary[[#This Row],[خرید]]-Summary[[#This Row],[فروش]]</f>
        <v>0</v>
      </c>
      <c r="J52" s="141">
        <f>Summary[[#This Row],[موجودی]]*Summary[[#This Row],[قیمت تمام شده]]</f>
        <v>0</v>
      </c>
      <c r="K52" s="152">
        <f>IF(B52="", "", _xlfn.XLOOKUP(B52, T[کالا], T[نحوه تسویه], ""))</f>
        <v>0</v>
      </c>
      <c r="L52" s="152" t="str">
        <f>IF(B52="", "", _xlfn.XLOOKUP(B52, T[کالا], T[شماره فاکتور], ""))</f>
        <v>اس 311</v>
      </c>
      <c r="M52" s="152" t="str">
        <f>IF(B52="", "", _xlfn.XLOOKUP(Summary[[#This Row],[فاکتور]], T[شماره فاکتور], T[فروشنده / مشتری], "نامشخص"))</f>
        <v>استانبول</v>
      </c>
      <c r="N52" s="141">
        <f>Summary[[#This Row],[ارزش فروش]] - (Summary[[#This Row],[قیمت تمام شده]]*Summary[[#This Row],[فروش]])</f>
        <v>800000</v>
      </c>
      <c r="O52" s="365" t="str">
        <f>IFERROR(Summary[[#This Row],[سود]]/Summary[[#This Row],[ارزش کالای فروخته شده]], "")</f>
        <v/>
      </c>
    </row>
    <row r="53" spans="2:15" x14ac:dyDescent="0.8">
      <c r="B53" s="191" t="str">
        <v>شلوار 4 دکمه مشکی</v>
      </c>
      <c r="C53" s="141">
        <f>SUMIFS(T[تعداد], T[کالا], B53, T[نوع عملیات], "خرید")</f>
        <v>2</v>
      </c>
      <c r="D53" s="141">
        <f t="shared" si="1"/>
        <v>850000</v>
      </c>
      <c r="E53" s="141">
        <f>SUMIFS(T[قیمت کل], T[کالا], B53, T[نوع عملیات], "خرید")</f>
        <v>1700000</v>
      </c>
      <c r="F53" s="141">
        <f>SUMIFS(T[تعداد], T[کالا], B53, T[نوع عملیات], "فروش") + SUMIFS(T[تعداد], T[کالا], B53, T[نوع عملیات], "استفاده خودم")</f>
        <v>1</v>
      </c>
      <c r="G53" s="141">
        <f>SUMIFS(T[قیمت کل], T[کالا], B53, T[نوع عملیات], "فروش")</f>
        <v>900000</v>
      </c>
      <c r="H53" s="141">
        <f>Summary[[#This Row],[فروش]]*Summary[[#This Row],[قیمت تمام شده]]</f>
        <v>850000</v>
      </c>
      <c r="I53" s="141">
        <f>Summary[[#This Row],[خرید]]-Summary[[#This Row],[فروش]]</f>
        <v>1</v>
      </c>
      <c r="J53" s="141">
        <f>Summary[[#This Row],[موجودی]]*Summary[[#This Row],[قیمت تمام شده]]</f>
        <v>850000</v>
      </c>
      <c r="K53" s="152" t="str">
        <f>IF(B53="", "", _xlfn.XLOOKUP(B53, T[کالا], T[نحوه تسویه], ""))</f>
        <v>حساب 5802</v>
      </c>
      <c r="L53" s="152" t="str">
        <f>IF(B53="", "", _xlfn.XLOOKUP(B53, T[کالا], T[شماره فاکتور], ""))</f>
        <v>د 312</v>
      </c>
      <c r="M53" s="152" t="str">
        <f>IF(B53="", "", _xlfn.XLOOKUP(Summary[[#This Row],[فاکتور]], T[شماره فاکتور], T[فروشنده / مشتری], "نامشخص"))</f>
        <v>دلگشا</v>
      </c>
      <c r="N53" s="141">
        <f>Summary[[#This Row],[ارزش فروش]] - (Summary[[#This Row],[قیمت تمام شده]]*Summary[[#This Row],[فروش]])</f>
        <v>50000</v>
      </c>
      <c r="O53" s="365">
        <f>IFERROR(Summary[[#This Row],[سود]]/Summary[[#This Row],[ارزش کالای فروخته شده]], "")</f>
        <v>5.8823529411764705E-2</v>
      </c>
    </row>
    <row r="54" spans="2:15" x14ac:dyDescent="0.8">
      <c r="B54" s="152" t="str">
        <v>شلوار 4 دکمه کرم</v>
      </c>
      <c r="C54" s="141">
        <f>SUMIFS(T[تعداد], T[کالا], B54, T[نوع عملیات], "خرید")</f>
        <v>1</v>
      </c>
      <c r="D54" s="141">
        <f t="shared" si="1"/>
        <v>850000</v>
      </c>
      <c r="E54" s="141">
        <f>SUMIFS(T[قیمت کل], T[کالا], B54, T[نوع عملیات], "خرید")</f>
        <v>850000</v>
      </c>
      <c r="F54" s="141">
        <f>SUMIFS(T[تعداد], T[کالا], B54, T[نوع عملیات], "فروش") + SUMIFS(T[تعداد], T[کالا], B54, T[نوع عملیات], "استفاده خودم")</f>
        <v>1</v>
      </c>
      <c r="G54" s="141">
        <f>SUMIFS(T[قیمت کل], T[کالا], B54, T[نوع عملیات], "فروش")</f>
        <v>1200000</v>
      </c>
      <c r="H54" s="141">
        <f>Summary[[#This Row],[فروش]]*Summary[[#This Row],[قیمت تمام شده]]</f>
        <v>850000</v>
      </c>
      <c r="I54" s="141">
        <f>Summary[[#This Row],[خرید]]-Summary[[#This Row],[فروش]]</f>
        <v>0</v>
      </c>
      <c r="J54" s="141">
        <f>Summary[[#This Row],[موجودی]]*Summary[[#This Row],[قیمت تمام شده]]</f>
        <v>0</v>
      </c>
      <c r="K54" s="152">
        <f>IF(B54="", "", _xlfn.XLOOKUP(B54, T[کالا], T[نحوه تسویه], ""))</f>
        <v>0</v>
      </c>
      <c r="L54" s="152" t="str">
        <f>IF(B54="", "", _xlfn.XLOOKUP(B54, T[کالا], T[شماره فاکتور], ""))</f>
        <v>د 312</v>
      </c>
      <c r="M54" s="152" t="str">
        <f>IF(B54="", "", _xlfn.XLOOKUP(Summary[[#This Row],[فاکتور]], T[شماره فاکتور], T[فروشنده / مشتری], "نامشخص"))</f>
        <v>دلگشا</v>
      </c>
      <c r="N54" s="141">
        <f>Summary[[#This Row],[ارزش فروش]] - (Summary[[#This Row],[قیمت تمام شده]]*Summary[[#This Row],[فروش]])</f>
        <v>350000</v>
      </c>
      <c r="O54" s="365">
        <f>IFERROR(Summary[[#This Row],[سود]]/Summary[[#This Row],[ارزش کالای فروخته شده]], "")</f>
        <v>0.41176470588235292</v>
      </c>
    </row>
    <row r="55" spans="2:15" x14ac:dyDescent="0.8">
      <c r="B55" s="191" t="str">
        <v>کراپ تاپ دلگشا</v>
      </c>
      <c r="C55" s="141">
        <f>SUMIFS(T[تعداد], T[کالا], B55, T[نوع عملیات], "خرید")</f>
        <v>9</v>
      </c>
      <c r="D55" s="141">
        <f t="shared" si="1"/>
        <v>190000</v>
      </c>
      <c r="E55" s="141">
        <f>SUMIFS(T[قیمت کل], T[کالا], B55, T[نوع عملیات], "خرید")</f>
        <v>1710000</v>
      </c>
      <c r="F55" s="141">
        <f>SUMIFS(T[تعداد], T[کالا], B55, T[نوع عملیات], "فروش") + SUMIFS(T[تعداد], T[کالا], B55, T[نوع عملیات], "استفاده خودم")</f>
        <v>6</v>
      </c>
      <c r="G55" s="141">
        <f>SUMIFS(T[قیمت کل], T[کالا], B55, T[نوع عملیات], "فروش")</f>
        <v>1800000</v>
      </c>
      <c r="H55" s="141">
        <f>Summary[[#This Row],[فروش]]*Summary[[#This Row],[قیمت تمام شده]]</f>
        <v>1140000</v>
      </c>
      <c r="I55" s="141">
        <f>Summary[[#This Row],[خرید]]-Summary[[#This Row],[فروش]]</f>
        <v>3</v>
      </c>
      <c r="J55" s="141">
        <f>Summary[[#This Row],[موجودی]]*Summary[[#This Row],[قیمت تمام شده]]</f>
        <v>570000</v>
      </c>
      <c r="K55" s="152">
        <f>IF(B55="", "", _xlfn.XLOOKUP(B55, T[کالا], T[نحوه تسویه], ""))</f>
        <v>0</v>
      </c>
      <c r="L55" s="152" t="str">
        <f>IF(B55="", "", _xlfn.XLOOKUP(B55, T[کالا], T[شماره فاکتور], ""))</f>
        <v>د 312</v>
      </c>
      <c r="M55" s="152" t="str">
        <f>IF(B55="", "", _xlfn.XLOOKUP(Summary[[#This Row],[فاکتور]], T[شماره فاکتور], T[فروشنده / مشتری], "نامشخص"))</f>
        <v>دلگشا</v>
      </c>
      <c r="N55" s="141">
        <f>Summary[[#This Row],[ارزش فروش]] - (Summary[[#This Row],[قیمت تمام شده]]*Summary[[#This Row],[فروش]])</f>
        <v>660000</v>
      </c>
      <c r="O55" s="365">
        <f>IFERROR(Summary[[#This Row],[سود]]/Summary[[#This Row],[ارزش کالای فروخته شده]], "")</f>
        <v>0.57894736842105265</v>
      </c>
    </row>
    <row r="56" spans="2:15" x14ac:dyDescent="0.8">
      <c r="B56" s="152" t="str">
        <v>شومیز مشکی</v>
      </c>
      <c r="C56" s="141">
        <f>SUMIFS(T[تعداد], T[کالا], B56, T[نوع عملیات], "خرید")</f>
        <v>1</v>
      </c>
      <c r="D56" s="141">
        <f t="shared" si="1"/>
        <v>850000</v>
      </c>
      <c r="E56" s="141">
        <f>SUMIFS(T[قیمت کل], T[کالا], B56, T[نوع عملیات], "خرید")</f>
        <v>850000</v>
      </c>
      <c r="F56" s="141">
        <f>SUMIFS(T[تعداد], T[کالا], B56, T[نوع عملیات], "فروش") + SUMIFS(T[تعداد], T[کالا], B56, T[نوع عملیات], "استفاده خودم")</f>
        <v>1</v>
      </c>
      <c r="G56" s="141">
        <f>SUMIFS(T[قیمت کل], T[کالا], B56, T[نوع عملیات], "فروش")</f>
        <v>1100000</v>
      </c>
      <c r="H56" s="141">
        <f>Summary[[#This Row],[فروش]]*Summary[[#This Row],[قیمت تمام شده]]</f>
        <v>850000</v>
      </c>
      <c r="I56" s="141">
        <f>Summary[[#This Row],[خرید]]-Summary[[#This Row],[فروش]]</f>
        <v>0</v>
      </c>
      <c r="J56" s="141">
        <f>Summary[[#This Row],[موجودی]]*Summary[[#This Row],[قیمت تمام شده]]</f>
        <v>0</v>
      </c>
      <c r="K56" s="152">
        <f>IF(B56="", "", _xlfn.XLOOKUP(B56, T[کالا], T[نحوه تسویه], ""))</f>
        <v>0</v>
      </c>
      <c r="L56" s="152" t="str">
        <f>IF(B56="", "", _xlfn.XLOOKUP(B56, T[کالا], T[شماره فاکتور], ""))</f>
        <v>د 312</v>
      </c>
      <c r="M56" s="152" t="str">
        <f>IF(B56="", "", _xlfn.XLOOKUP(Summary[[#This Row],[فاکتور]], T[شماره فاکتور], T[فروشنده / مشتری], "نامشخص"))</f>
        <v>دلگشا</v>
      </c>
      <c r="N56" s="141">
        <f>Summary[[#This Row],[ارزش فروش]] - (Summary[[#This Row],[قیمت تمام شده]]*Summary[[#This Row],[فروش]])</f>
        <v>250000</v>
      </c>
      <c r="O56" s="365">
        <f>IFERROR(Summary[[#This Row],[سود]]/Summary[[#This Row],[ارزش کالای فروخته شده]], "")</f>
        <v>0.29411764705882354</v>
      </c>
    </row>
    <row r="57" spans="2:15" x14ac:dyDescent="0.8">
      <c r="B57" s="191" t="str">
        <v>ست خانگی پشت باز دلگشا</v>
      </c>
      <c r="C57" s="141">
        <f>SUMIFS(T[تعداد], T[کالا], B57, T[نوع عملیات], "خرید")</f>
        <v>1</v>
      </c>
      <c r="D57" s="141">
        <f t="shared" si="1"/>
        <v>200000</v>
      </c>
      <c r="E57" s="141">
        <f>SUMIFS(T[قیمت کل], T[کالا], B57, T[نوع عملیات], "خرید")</f>
        <v>200000</v>
      </c>
      <c r="F57" s="141">
        <f>SUMIFS(T[تعداد], T[کالا], B57, T[نوع عملیات], "فروش") + SUMIFS(T[تعداد], T[کالا], B57, T[نوع عملیات], "استفاده خودم")</f>
        <v>1</v>
      </c>
      <c r="G57" s="141">
        <f>SUMIFS(T[قیمت کل], T[کالا], B57, T[نوع عملیات], "فروش")</f>
        <v>450000</v>
      </c>
      <c r="H57" s="141">
        <f>Summary[[#This Row],[فروش]]*Summary[[#This Row],[قیمت تمام شده]]</f>
        <v>200000</v>
      </c>
      <c r="I57" s="141">
        <f>Summary[[#This Row],[خرید]]-Summary[[#This Row],[فروش]]</f>
        <v>0</v>
      </c>
      <c r="J57" s="141">
        <f>Summary[[#This Row],[موجودی]]*Summary[[#This Row],[قیمت تمام شده]]</f>
        <v>0</v>
      </c>
      <c r="K57" s="152">
        <f>IF(B57="", "", _xlfn.XLOOKUP(B57, T[کالا], T[نحوه تسویه], ""))</f>
        <v>0</v>
      </c>
      <c r="L57" s="152" t="str">
        <f>IF(B57="", "", _xlfn.XLOOKUP(B57, T[کالا], T[شماره فاکتور], ""))</f>
        <v>د 312</v>
      </c>
      <c r="M57" s="152" t="str">
        <f>IF(B57="", "", _xlfn.XLOOKUP(Summary[[#This Row],[فاکتور]], T[شماره فاکتور], T[فروشنده / مشتری], "نامشخص"))</f>
        <v>دلگشا</v>
      </c>
      <c r="N57" s="141">
        <f>Summary[[#This Row],[ارزش فروش]] - (Summary[[#This Row],[قیمت تمام شده]]*Summary[[#This Row],[فروش]])</f>
        <v>250000</v>
      </c>
      <c r="O57" s="365">
        <f>IFERROR(Summary[[#This Row],[سود]]/Summary[[#This Row],[ارزش کالای فروخته شده]], "")</f>
        <v>1.25</v>
      </c>
    </row>
    <row r="58" spans="2:15" x14ac:dyDescent="0.8">
      <c r="B58" s="152" t="str">
        <v>دامن پلیسه و یقه تور یه آستین</v>
      </c>
      <c r="C58" s="141">
        <f>SUMIFS(T[تعداد], T[کالا], B58, T[نوع عملیات], "خرید")</f>
        <v>1</v>
      </c>
      <c r="D58" s="141">
        <f t="shared" si="1"/>
        <v>310000</v>
      </c>
      <c r="E58" s="141">
        <f>SUMIFS(T[قیمت کل], T[کالا], B58, T[نوع عملیات], "خرید")</f>
        <v>310000</v>
      </c>
      <c r="F58" s="141">
        <f>SUMIFS(T[تعداد], T[کالا], B58, T[نوع عملیات], "فروش") + SUMIFS(T[تعداد], T[کالا], B58, T[نوع عملیات], "استفاده خودم")</f>
        <v>1</v>
      </c>
      <c r="G58" s="141">
        <f>SUMIFS(T[قیمت کل], T[کالا], B58, T[نوع عملیات], "فروش")</f>
        <v>600000</v>
      </c>
      <c r="H58" s="141">
        <f>Summary[[#This Row],[فروش]]*Summary[[#This Row],[قیمت تمام شده]]</f>
        <v>310000</v>
      </c>
      <c r="I58" s="141">
        <f>Summary[[#This Row],[خرید]]-Summary[[#This Row],[فروش]]</f>
        <v>0</v>
      </c>
      <c r="J58" s="141">
        <f>Summary[[#This Row],[موجودی]]*Summary[[#This Row],[قیمت تمام شده]]</f>
        <v>0</v>
      </c>
      <c r="K58" s="152" t="str">
        <f>IF(B58="", "", _xlfn.XLOOKUP(B58, T[کالا], T[نحوه تسویه], ""))</f>
        <v>حساب 5802</v>
      </c>
      <c r="L58" s="152" t="str">
        <f>IF(B58="", "", _xlfn.XLOOKUP(B58, T[کالا], T[شماره فاکتور], ""))</f>
        <v>د 312</v>
      </c>
      <c r="M58" s="152" t="str">
        <f>IF(B58="", "", _xlfn.XLOOKUP(Summary[[#This Row],[فاکتور]], T[شماره فاکتور], T[فروشنده / مشتری], "نامشخص"))</f>
        <v>دلگشا</v>
      </c>
      <c r="N58" s="141">
        <f>Summary[[#This Row],[ارزش فروش]] - (Summary[[#This Row],[قیمت تمام شده]]*Summary[[#This Row],[فروش]])</f>
        <v>290000</v>
      </c>
      <c r="O58" s="365">
        <f>IFERROR(Summary[[#This Row],[سود]]/Summary[[#This Row],[ارزش کالای فروخته شده]], "")</f>
        <v>0.93548387096774188</v>
      </c>
    </row>
    <row r="59" spans="2:15" x14ac:dyDescent="0.8">
      <c r="B59" s="191" t="str">
        <v>نیم تنه دامن گره ای</v>
      </c>
      <c r="C59" s="141">
        <f>SUMIFS(T[تعداد], T[کالا], B59, T[نوع عملیات], "خرید")</f>
        <v>4</v>
      </c>
      <c r="D59" s="141">
        <f t="shared" si="1"/>
        <v>335000</v>
      </c>
      <c r="E59" s="141">
        <f>SUMIFS(T[قیمت کل], T[کالا], B59, T[نوع عملیات], "خرید")</f>
        <v>1340000</v>
      </c>
      <c r="F59" s="141">
        <f>SUMIFS(T[تعداد], T[کالا], B59, T[نوع عملیات], "فروش") + SUMIFS(T[تعداد], T[کالا], B59, T[نوع عملیات], "استفاده خودم")</f>
        <v>3</v>
      </c>
      <c r="G59" s="141">
        <f>SUMIFS(T[قیمت کل], T[کالا], B59, T[نوع عملیات], "فروش")</f>
        <v>2350000</v>
      </c>
      <c r="H59" s="141">
        <f>Summary[[#This Row],[فروش]]*Summary[[#This Row],[قیمت تمام شده]]</f>
        <v>1005000</v>
      </c>
      <c r="I59" s="141">
        <f>Summary[[#This Row],[خرید]]-Summary[[#This Row],[فروش]]</f>
        <v>1</v>
      </c>
      <c r="J59" s="141">
        <f>Summary[[#This Row],[موجودی]]*Summary[[#This Row],[قیمت تمام شده]]</f>
        <v>335000</v>
      </c>
      <c r="K59" s="152" t="str">
        <f>IF(B59="", "", _xlfn.XLOOKUP(B59, T[کالا], T[نحوه تسویه], ""))</f>
        <v>حساب 5802</v>
      </c>
      <c r="L59" s="152" t="str">
        <f>IF(B59="", "", _xlfn.XLOOKUP(B59, T[کالا], T[شماره فاکتور], ""))</f>
        <v>ب 312</v>
      </c>
      <c r="M59" s="152" t="str">
        <f>IF(B59="", "", _xlfn.XLOOKUP(Summary[[#This Row],[فاکتور]], T[شماره فاکتور], T[فروشنده / مشتری], "نامشخص"))</f>
        <v>بازار</v>
      </c>
      <c r="N59" s="141">
        <f>Summary[[#This Row],[ارزش فروش]] - (Summary[[#This Row],[قیمت تمام شده]]*Summary[[#This Row],[فروش]])</f>
        <v>1345000</v>
      </c>
      <c r="O59" s="365">
        <f>IFERROR(Summary[[#This Row],[سود]]/Summary[[#This Row],[ارزش کالای فروخته شده]], "")</f>
        <v>1.3383084577114428</v>
      </c>
    </row>
    <row r="60" spans="2:15" x14ac:dyDescent="0.8">
      <c r="B60" s="152" t="str">
        <v>ست خانگی Sperso</v>
      </c>
      <c r="C60" s="141">
        <f>SUMIFS(T[تعداد], T[کالا], B60, T[نوع عملیات], "خرید")</f>
        <v>1</v>
      </c>
      <c r="D60" s="141">
        <f t="shared" si="1"/>
        <v>150000</v>
      </c>
      <c r="E60" s="141">
        <f>SUMIFS(T[قیمت کل], T[کالا], B60, T[نوع عملیات], "خرید")</f>
        <v>150000</v>
      </c>
      <c r="F60" s="141">
        <f>SUMIFS(T[تعداد], T[کالا], B60, T[نوع عملیات], "فروش") + SUMIFS(T[تعداد], T[کالا], B60, T[نوع عملیات], "استفاده خودم")</f>
        <v>1</v>
      </c>
      <c r="G60" s="141">
        <f>SUMIFS(T[قیمت کل], T[کالا], B60, T[نوع عملیات], "فروش")</f>
        <v>450000</v>
      </c>
      <c r="H60" s="141">
        <f>Summary[[#This Row],[فروش]]*Summary[[#This Row],[قیمت تمام شده]]</f>
        <v>150000</v>
      </c>
      <c r="I60" s="141">
        <f>Summary[[#This Row],[خرید]]-Summary[[#This Row],[فروش]]</f>
        <v>0</v>
      </c>
      <c r="J60" s="141">
        <f>Summary[[#This Row],[موجودی]]*Summary[[#This Row],[قیمت تمام شده]]</f>
        <v>0</v>
      </c>
      <c r="K60" s="152" t="str">
        <f>IF(B60="", "", _xlfn.XLOOKUP(B60, T[کالا], T[نحوه تسویه], ""))</f>
        <v>حساب 5802</v>
      </c>
      <c r="L60" s="152" t="str">
        <f>IF(B60="", "", _xlfn.XLOOKUP(B60, T[کالا], T[شماره فاکتور], ""))</f>
        <v>ب 312</v>
      </c>
      <c r="M60" s="152" t="str">
        <f>IF(B60="", "", _xlfn.XLOOKUP(Summary[[#This Row],[فاکتور]], T[شماره فاکتور], T[فروشنده / مشتری], "نامشخص"))</f>
        <v>بازار</v>
      </c>
      <c r="N60" s="141">
        <f>Summary[[#This Row],[ارزش فروش]] - (Summary[[#This Row],[قیمت تمام شده]]*Summary[[#This Row],[فروش]])</f>
        <v>300000</v>
      </c>
      <c r="O60" s="365">
        <f>IFERROR(Summary[[#This Row],[سود]]/Summary[[#This Row],[ارزش کالای فروخته شده]], "")</f>
        <v>2</v>
      </c>
    </row>
    <row r="61" spans="2:15" x14ac:dyDescent="0.8">
      <c r="B61" s="191" t="str">
        <v>بافت شنل قهوه ای</v>
      </c>
      <c r="C61" s="141">
        <f>SUMIFS(T[تعداد], T[کالا], B61, T[نوع عملیات], "خرید")</f>
        <v>1</v>
      </c>
      <c r="D61" s="141">
        <f t="shared" si="1"/>
        <v>150000</v>
      </c>
      <c r="E61" s="141">
        <f>SUMIFS(T[قیمت کل], T[کالا], B61, T[نوع عملیات], "خرید")</f>
        <v>150000</v>
      </c>
      <c r="F61" s="141">
        <f>SUMIFS(T[تعداد], T[کالا], B61, T[نوع عملیات], "فروش") + SUMIFS(T[تعداد], T[کالا], B61, T[نوع عملیات], "استفاده خودم")</f>
        <v>1</v>
      </c>
      <c r="G61" s="141">
        <f>SUMIFS(T[قیمت کل], T[کالا], B61, T[نوع عملیات], "فروش")</f>
        <v>450000</v>
      </c>
      <c r="H61" s="141">
        <f>Summary[[#This Row],[فروش]]*Summary[[#This Row],[قیمت تمام شده]]</f>
        <v>150000</v>
      </c>
      <c r="I61" s="141">
        <f>Summary[[#This Row],[خرید]]-Summary[[#This Row],[فروش]]</f>
        <v>0</v>
      </c>
      <c r="J61" s="141">
        <f>Summary[[#This Row],[موجودی]]*Summary[[#This Row],[قیمت تمام شده]]</f>
        <v>0</v>
      </c>
      <c r="K61" s="152" t="str">
        <f>IF(B61="", "", _xlfn.XLOOKUP(B61, T[کالا], T[نحوه تسویه], ""))</f>
        <v>حساب 5802</v>
      </c>
      <c r="L61" s="152" t="str">
        <f>IF(B61="", "", _xlfn.XLOOKUP(B61, T[کالا], T[شماره فاکتور], ""))</f>
        <v>ب 312</v>
      </c>
      <c r="M61" s="152" t="str">
        <f>IF(B61="", "", _xlfn.XLOOKUP(Summary[[#This Row],[فاکتور]], T[شماره فاکتور], T[فروشنده / مشتری], "نامشخص"))</f>
        <v>بازار</v>
      </c>
      <c r="N61" s="141">
        <f>Summary[[#This Row],[ارزش فروش]] - (Summary[[#This Row],[قیمت تمام شده]]*Summary[[#This Row],[فروش]])</f>
        <v>300000</v>
      </c>
      <c r="O61" s="365">
        <f>IFERROR(Summary[[#This Row],[سود]]/Summary[[#This Row],[ارزش کالای فروخته شده]], "")</f>
        <v>2</v>
      </c>
    </row>
    <row r="62" spans="2:15" x14ac:dyDescent="0.8">
      <c r="B62" s="152" t="str">
        <v>شلوار دم پا کج راه مشکی</v>
      </c>
      <c r="C62" s="141">
        <f>SUMIFS(T[تعداد], T[کالا], B62, T[نوع عملیات], "خرید")</f>
        <v>7</v>
      </c>
      <c r="D62" s="141">
        <f t="shared" si="1"/>
        <v>520000</v>
      </c>
      <c r="E62" s="141">
        <f>SUMIFS(T[قیمت کل], T[کالا], B62, T[نوع عملیات], "خرید")</f>
        <v>3640000</v>
      </c>
      <c r="F62" s="141">
        <f>SUMIFS(T[تعداد], T[کالا], B62, T[نوع عملیات], "فروش") + SUMIFS(T[تعداد], T[کالا], B62, T[نوع عملیات], "استفاده خودم")</f>
        <v>2</v>
      </c>
      <c r="G62" s="141">
        <f>SUMIFS(T[قیمت کل], T[کالا], B62, T[نوع عملیات], "فروش")</f>
        <v>1850000</v>
      </c>
      <c r="H62" s="141">
        <f>Summary[[#This Row],[فروش]]*Summary[[#This Row],[قیمت تمام شده]]</f>
        <v>1040000</v>
      </c>
      <c r="I62" s="141">
        <f>Summary[[#This Row],[خرید]]-Summary[[#This Row],[فروش]]</f>
        <v>5</v>
      </c>
      <c r="J62" s="141">
        <f>Summary[[#This Row],[موجودی]]*Summary[[#This Row],[قیمت تمام شده]]</f>
        <v>2600000</v>
      </c>
      <c r="K62" s="152" t="str">
        <f>IF(B62="", "", _xlfn.XLOOKUP(B62, T[کالا], T[نحوه تسویه], ""))</f>
        <v>حساب 5802</v>
      </c>
      <c r="L62" s="152" t="str">
        <f>IF(B62="", "", _xlfn.XLOOKUP(B62, T[کالا], T[شماره فاکتور], ""))</f>
        <v>ب 312</v>
      </c>
      <c r="M62" s="152" t="str">
        <f>IF(B62="", "", _xlfn.XLOOKUP(Summary[[#This Row],[فاکتور]], T[شماره فاکتور], T[فروشنده / مشتری], "نامشخص"))</f>
        <v>بازار</v>
      </c>
      <c r="N62" s="141">
        <f>Summary[[#This Row],[ارزش فروش]] - (Summary[[#This Row],[قیمت تمام شده]]*Summary[[#This Row],[فروش]])</f>
        <v>810000</v>
      </c>
      <c r="O62" s="365">
        <f>IFERROR(Summary[[#This Row],[سود]]/Summary[[#This Row],[ارزش کالای فروخته شده]], "")</f>
        <v>0.77884615384615385</v>
      </c>
    </row>
    <row r="63" spans="2:15" x14ac:dyDescent="0.8">
      <c r="B63" s="191" t="str">
        <v>بلوز New York</v>
      </c>
      <c r="C63" s="141">
        <f>SUMIFS(T[تعداد], T[کالا], B63, T[نوع عملیات], "خرید")</f>
        <v>3</v>
      </c>
      <c r="D63" s="141">
        <f t="shared" si="1"/>
        <v>150000</v>
      </c>
      <c r="E63" s="141">
        <f>SUMIFS(T[قیمت کل], T[کالا], B63, T[نوع عملیات], "خرید")</f>
        <v>450000</v>
      </c>
      <c r="F63" s="141">
        <f>SUMIFS(T[تعداد], T[کالا], B63, T[نوع عملیات], "فروش") + SUMIFS(T[تعداد], T[کالا], B63, T[نوع عملیات], "استفاده خودم")</f>
        <v>2</v>
      </c>
      <c r="G63" s="141">
        <f>SUMIFS(T[قیمت کل], T[کالا], B63, T[نوع عملیات], "فروش")</f>
        <v>1150000</v>
      </c>
      <c r="H63" s="141">
        <f>Summary[[#This Row],[فروش]]*Summary[[#This Row],[قیمت تمام شده]]</f>
        <v>300000</v>
      </c>
      <c r="I63" s="141">
        <f>Summary[[#This Row],[خرید]]-Summary[[#This Row],[فروش]]</f>
        <v>1</v>
      </c>
      <c r="J63" s="141">
        <f>Summary[[#This Row],[موجودی]]*Summary[[#This Row],[قیمت تمام شده]]</f>
        <v>150000</v>
      </c>
      <c r="K63" s="152" t="str">
        <f>IF(B63="", "", _xlfn.XLOOKUP(B63, T[کالا], T[نحوه تسویه], ""))</f>
        <v>حساب 5802</v>
      </c>
      <c r="L63" s="152" t="str">
        <f>IF(B63="", "", _xlfn.XLOOKUP(B63, T[کالا], T[شماره فاکتور], ""))</f>
        <v>ب 312</v>
      </c>
      <c r="M63" s="152" t="str">
        <f>IF(B63="", "", _xlfn.XLOOKUP(Summary[[#This Row],[فاکتور]], T[شماره فاکتور], T[فروشنده / مشتری], "نامشخص"))</f>
        <v>بازار</v>
      </c>
      <c r="N63" s="141">
        <f>Summary[[#This Row],[ارزش فروش]] - (Summary[[#This Row],[قیمت تمام شده]]*Summary[[#This Row],[فروش]])</f>
        <v>850000</v>
      </c>
      <c r="O63" s="365">
        <f>IFERROR(Summary[[#This Row],[سود]]/Summary[[#This Row],[ارزش کالای فروخته شده]], "")</f>
        <v>2.8333333333333335</v>
      </c>
    </row>
    <row r="64" spans="2:15" x14ac:dyDescent="0.8">
      <c r="B64" s="152" t="str">
        <v>شلوار کرم گرمکن</v>
      </c>
      <c r="C64" s="141">
        <f>SUMIFS(T[تعداد], T[کالا], B64, T[نوع عملیات], "خرید")</f>
        <v>1</v>
      </c>
      <c r="D64" s="141">
        <f t="shared" si="1"/>
        <v>200000</v>
      </c>
      <c r="E64" s="141">
        <f>SUMIFS(T[قیمت کل], T[کالا], B64, T[نوع عملیات], "خرید")</f>
        <v>200000</v>
      </c>
      <c r="F64" s="141">
        <f>SUMIFS(T[تعداد], T[کالا], B64, T[نوع عملیات], "فروش") + SUMIFS(T[تعداد], T[کالا], B64, T[نوع عملیات], "استفاده خودم")</f>
        <v>1</v>
      </c>
      <c r="G64" s="141">
        <f>SUMIFS(T[قیمت کل], T[کالا], B64, T[نوع عملیات], "فروش")</f>
        <v>500000</v>
      </c>
      <c r="H64" s="141">
        <f>Summary[[#This Row],[فروش]]*Summary[[#This Row],[قیمت تمام شده]]</f>
        <v>200000</v>
      </c>
      <c r="I64" s="141">
        <f>Summary[[#This Row],[خرید]]-Summary[[#This Row],[فروش]]</f>
        <v>0</v>
      </c>
      <c r="J64" s="141">
        <f>Summary[[#This Row],[موجودی]]*Summary[[#This Row],[قیمت تمام شده]]</f>
        <v>0</v>
      </c>
      <c r="K64" s="152" t="str">
        <f>IF(B64="", "", _xlfn.XLOOKUP(B64, T[کالا], T[نحوه تسویه], ""))</f>
        <v>حساب 5802</v>
      </c>
      <c r="L64" s="152" t="str">
        <f>IF(B64="", "", _xlfn.XLOOKUP(B64, T[کالا], T[شماره فاکتور], ""))</f>
        <v>ب 312</v>
      </c>
      <c r="M64" s="152" t="str">
        <f>IF(B64="", "", _xlfn.XLOOKUP(Summary[[#This Row],[فاکتور]], T[شماره فاکتور], T[فروشنده / مشتری], "نامشخص"))</f>
        <v>بازار</v>
      </c>
      <c r="N64" s="141">
        <f>Summary[[#This Row],[ارزش فروش]] - (Summary[[#This Row],[قیمت تمام شده]]*Summary[[#This Row],[فروش]])</f>
        <v>300000</v>
      </c>
      <c r="O64" s="365">
        <f>IFERROR(Summary[[#This Row],[سود]]/Summary[[#This Row],[ارزش کالای فروخته شده]], "")</f>
        <v>1.5</v>
      </c>
    </row>
    <row r="65" spans="2:15" x14ac:dyDescent="0.8">
      <c r="B65" s="191" t="str">
        <v>شلوار جین بگ</v>
      </c>
      <c r="C65" s="141">
        <f>SUMIFS(T[تعداد], T[کالا], B65, T[نوع عملیات], "خرید")</f>
        <v>1</v>
      </c>
      <c r="D65" s="141">
        <f t="shared" si="1"/>
        <v>675000</v>
      </c>
      <c r="E65" s="141">
        <f>SUMIFS(T[قیمت کل], T[کالا], B65, T[نوع عملیات], "خرید")</f>
        <v>675000</v>
      </c>
      <c r="F65" s="141">
        <f>SUMIFS(T[تعداد], T[کالا], B65, T[نوع عملیات], "فروش") + SUMIFS(T[تعداد], T[کالا], B65, T[نوع عملیات], "استفاده خودم")</f>
        <v>1</v>
      </c>
      <c r="G65" s="141">
        <f>SUMIFS(T[قیمت کل], T[کالا], B65, T[نوع عملیات], "فروش")</f>
        <v>1150000</v>
      </c>
      <c r="H65" s="141">
        <f>Summary[[#This Row],[فروش]]*Summary[[#This Row],[قیمت تمام شده]]</f>
        <v>675000</v>
      </c>
      <c r="I65" s="141">
        <f>Summary[[#This Row],[خرید]]-Summary[[#This Row],[فروش]]</f>
        <v>0</v>
      </c>
      <c r="J65" s="141">
        <f>Summary[[#This Row],[موجودی]]*Summary[[#This Row],[قیمت تمام شده]]</f>
        <v>0</v>
      </c>
      <c r="K65" s="152" t="str">
        <f>IF(B65="", "", _xlfn.XLOOKUP(B65, T[کالا], T[نحوه تسویه], ""))</f>
        <v>حساب 5802</v>
      </c>
      <c r="L65" s="152" t="str">
        <f>IF(B65="", "", _xlfn.XLOOKUP(B65, T[کالا], T[شماره فاکتور], ""))</f>
        <v>ب 312</v>
      </c>
      <c r="M65" s="152" t="str">
        <f>IF(B65="", "", _xlfn.XLOOKUP(Summary[[#This Row],[فاکتور]], T[شماره فاکتور], T[فروشنده / مشتری], "نامشخص"))</f>
        <v>بازار</v>
      </c>
      <c r="N65" s="141">
        <f>Summary[[#This Row],[ارزش فروش]] - (Summary[[#This Row],[قیمت تمام شده]]*Summary[[#This Row],[فروش]])</f>
        <v>475000</v>
      </c>
      <c r="O65" s="365">
        <f>IFERROR(Summary[[#This Row],[سود]]/Summary[[#This Row],[ارزش کالای فروخته شده]], "")</f>
        <v>0.70370370370370372</v>
      </c>
    </row>
    <row r="66" spans="2:15" x14ac:dyDescent="0.8">
      <c r="B66" s="152" t="str">
        <v>کمربند دامن</v>
      </c>
      <c r="C66" s="141">
        <f>SUMIFS(T[تعداد], T[کالا], B66, T[نوع عملیات], "خرید")</f>
        <v>1</v>
      </c>
      <c r="D66" s="141">
        <f t="shared" si="1"/>
        <v>0</v>
      </c>
      <c r="E66" s="141">
        <f>SUMIFS(T[قیمت کل], T[کالا], B66, T[نوع عملیات], "خرید")</f>
        <v>0</v>
      </c>
      <c r="F66" s="141">
        <f>SUMIFS(T[تعداد], T[کالا], B66, T[نوع عملیات], "فروش") + SUMIFS(T[تعداد], T[کالا], B66, T[نوع عملیات], "استفاده خودم")</f>
        <v>1</v>
      </c>
      <c r="G66" s="141">
        <f>SUMIFS(T[قیمت کل], T[کالا], B66, T[نوع عملیات], "فروش")</f>
        <v>100000</v>
      </c>
      <c r="H66" s="141">
        <f>Summary[[#This Row],[فروش]]*Summary[[#This Row],[قیمت تمام شده]]</f>
        <v>0</v>
      </c>
      <c r="I66" s="141">
        <f>Summary[[#This Row],[خرید]]-Summary[[#This Row],[فروش]]</f>
        <v>0</v>
      </c>
      <c r="J66" s="141">
        <f>Summary[[#This Row],[موجودی]]*Summary[[#This Row],[قیمت تمام شده]]</f>
        <v>0</v>
      </c>
      <c r="K66" s="152" t="str">
        <f>IF(B66="", "", _xlfn.XLOOKUP(B66, T[کالا], T[نحوه تسویه], ""))</f>
        <v>حساب 5802</v>
      </c>
      <c r="L66" s="152" t="str">
        <f>IF(B66="", "", _xlfn.XLOOKUP(B66, T[کالا], T[شماره فاکتور], ""))</f>
        <v>ب 312</v>
      </c>
      <c r="M66" s="152" t="str">
        <f>IF(B66="", "", _xlfn.XLOOKUP(Summary[[#This Row],[فاکتور]], T[شماره فاکتور], T[فروشنده / مشتری], "نامشخص"))</f>
        <v>بازار</v>
      </c>
      <c r="N66" s="141">
        <f>Summary[[#This Row],[ارزش فروش]] - (Summary[[#This Row],[قیمت تمام شده]]*Summary[[#This Row],[فروش]])</f>
        <v>100000</v>
      </c>
      <c r="O66" s="365" t="str">
        <f>IFERROR(Summary[[#This Row],[سود]]/Summary[[#This Row],[ارزش کالای فروخته شده]], "")</f>
        <v/>
      </c>
    </row>
    <row r="67" spans="2:15" x14ac:dyDescent="0.8">
      <c r="B67" s="191" t="str">
        <v>بلوز سفید و مشکی آزاد</v>
      </c>
      <c r="C67" s="141">
        <f>SUMIFS(T[تعداد], T[کالا], B67, T[نوع عملیات], "خرید")</f>
        <v>3</v>
      </c>
      <c r="D67" s="141">
        <f t="shared" ref="D67:D98" si="2">IFERROR(E67/C67, 0)</f>
        <v>190000</v>
      </c>
      <c r="E67" s="141">
        <f>SUMIFS(T[قیمت کل], T[کالا], B67, T[نوع عملیات], "خرید")</f>
        <v>570000</v>
      </c>
      <c r="F67" s="141">
        <f>SUMIFS(T[تعداد], T[کالا], B67, T[نوع عملیات], "فروش") + SUMIFS(T[تعداد], T[کالا], B67, T[نوع عملیات], "استفاده خودم")</f>
        <v>1</v>
      </c>
      <c r="G67" s="141">
        <f>SUMIFS(T[قیمت کل], T[کالا], B67, T[نوع عملیات], "فروش")</f>
        <v>450000</v>
      </c>
      <c r="H67" s="141">
        <f>Summary[[#This Row],[فروش]]*Summary[[#This Row],[قیمت تمام شده]]</f>
        <v>190000</v>
      </c>
      <c r="I67" s="141">
        <f>Summary[[#This Row],[خرید]]-Summary[[#This Row],[فروش]]</f>
        <v>2</v>
      </c>
      <c r="J67" s="141">
        <f>Summary[[#This Row],[موجودی]]*Summary[[#This Row],[قیمت تمام شده]]</f>
        <v>380000</v>
      </c>
      <c r="K67" s="152" t="str">
        <f>IF(B67="", "", _xlfn.XLOOKUP(B67, T[کالا], T[نحوه تسویه], ""))</f>
        <v>حساب 5802</v>
      </c>
      <c r="L67" s="152" t="str">
        <f>IF(B67="", "", _xlfn.XLOOKUP(B67, T[کالا], T[شماره فاکتور], ""))</f>
        <v>ب 312</v>
      </c>
      <c r="M67" s="152" t="str">
        <f>IF(B67="", "", _xlfn.XLOOKUP(Summary[[#This Row],[فاکتور]], T[شماره فاکتور], T[فروشنده / مشتری], "نامشخص"))</f>
        <v>بازار</v>
      </c>
      <c r="N67" s="141">
        <f>Summary[[#This Row],[ارزش فروش]] - (Summary[[#This Row],[قیمت تمام شده]]*Summary[[#This Row],[فروش]])</f>
        <v>260000</v>
      </c>
      <c r="O67" s="365">
        <f>IFERROR(Summary[[#This Row],[سود]]/Summary[[#This Row],[ارزش کالای فروخته شده]], "")</f>
        <v>1.368421052631579</v>
      </c>
    </row>
    <row r="68" spans="2:15" x14ac:dyDescent="0.8">
      <c r="B68" s="152" t="str">
        <v>مانتو دیپلمات بلند</v>
      </c>
      <c r="C68" s="141">
        <f>SUMIFS(T[تعداد], T[کالا], B68, T[نوع عملیات], "خرید")</f>
        <v>3</v>
      </c>
      <c r="D68" s="141">
        <f t="shared" si="2"/>
        <v>1300000</v>
      </c>
      <c r="E68" s="141">
        <f>SUMIFS(T[قیمت کل], T[کالا], B68, T[نوع عملیات], "خرید")</f>
        <v>3900000</v>
      </c>
      <c r="F68" s="141">
        <f>SUMIFS(T[تعداد], T[کالا], B68, T[نوع عملیات], "فروش") + SUMIFS(T[تعداد], T[کالا], B68, T[نوع عملیات], "استفاده خودم")</f>
        <v>2</v>
      </c>
      <c r="G68" s="141">
        <f>SUMIFS(T[قیمت کل], T[کالا], B68, T[نوع عملیات], "فروش")</f>
        <v>4000000</v>
      </c>
      <c r="H68" s="141">
        <f>Summary[[#This Row],[فروش]]*Summary[[#This Row],[قیمت تمام شده]]</f>
        <v>2600000</v>
      </c>
      <c r="I68" s="141">
        <f>Summary[[#This Row],[خرید]]-Summary[[#This Row],[فروش]]</f>
        <v>1</v>
      </c>
      <c r="J68" s="141">
        <f>Summary[[#This Row],[موجودی]]*Summary[[#This Row],[قیمت تمام شده]]</f>
        <v>1300000</v>
      </c>
      <c r="K68" s="152" t="str">
        <f>IF(B68="", "", _xlfn.XLOOKUP(B68, T[کالا], T[نحوه تسویه], ""))</f>
        <v>حساب 5802</v>
      </c>
      <c r="L68" s="152" t="str">
        <f>IF(B68="", "", _xlfn.XLOOKUP(B68, T[کالا], T[شماره فاکتور], ""))</f>
        <v>ب 312</v>
      </c>
      <c r="M68" s="152" t="str">
        <f>IF(B68="", "", _xlfn.XLOOKUP(Summary[[#This Row],[فاکتور]], T[شماره فاکتور], T[فروشنده / مشتری], "نامشخص"))</f>
        <v>بازار</v>
      </c>
      <c r="N68" s="141">
        <f>Summary[[#This Row],[ارزش فروش]] - (Summary[[#This Row],[قیمت تمام شده]]*Summary[[#This Row],[فروش]])</f>
        <v>1400000</v>
      </c>
      <c r="O68" s="365">
        <f>IFERROR(Summary[[#This Row],[سود]]/Summary[[#This Row],[ارزش کالای فروخته شده]], "")</f>
        <v>0.53846153846153844</v>
      </c>
    </row>
    <row r="69" spans="2:15" x14ac:dyDescent="0.8">
      <c r="B69" s="191" t="str">
        <v>تیشرت زنجیردار</v>
      </c>
      <c r="C69" s="141">
        <f>SUMIFS(T[تعداد], T[کالا], B69, T[نوع عملیات], "خرید")</f>
        <v>1</v>
      </c>
      <c r="D69" s="141">
        <f t="shared" si="2"/>
        <v>98000</v>
      </c>
      <c r="E69" s="141">
        <f>SUMIFS(T[قیمت کل], T[کالا], B69, T[نوع عملیات], "خرید")</f>
        <v>98000</v>
      </c>
      <c r="F69" s="141">
        <f>SUMIFS(T[تعداد], T[کالا], B69, T[نوع عملیات], "فروش") + SUMIFS(T[تعداد], T[کالا], B69, T[نوع عملیات], "استفاده خودم")</f>
        <v>1</v>
      </c>
      <c r="G69" s="141">
        <f>SUMIFS(T[قیمت کل], T[کالا], B69, T[نوع عملیات], "فروش")</f>
        <v>250000</v>
      </c>
      <c r="H69" s="141">
        <f>Summary[[#This Row],[فروش]]*Summary[[#This Row],[قیمت تمام شده]]</f>
        <v>98000</v>
      </c>
      <c r="I69" s="141">
        <f>Summary[[#This Row],[خرید]]-Summary[[#This Row],[فروش]]</f>
        <v>0</v>
      </c>
      <c r="J69" s="141">
        <f>Summary[[#This Row],[موجودی]]*Summary[[#This Row],[قیمت تمام شده]]</f>
        <v>0</v>
      </c>
      <c r="K69" s="152" t="str">
        <f>IF(B69="", "", _xlfn.XLOOKUP(B69, T[کالا], T[نحوه تسویه], ""))</f>
        <v>حساب 5802</v>
      </c>
      <c r="L69" s="152" t="str">
        <f>IF(B69="", "", _xlfn.XLOOKUP(B69, T[کالا], T[شماره فاکتور], ""))</f>
        <v>ب 312</v>
      </c>
      <c r="M69" s="152" t="str">
        <f>IF(B69="", "", _xlfn.XLOOKUP(Summary[[#This Row],[فاکتور]], T[شماره فاکتور], T[فروشنده / مشتری], "نامشخص"))</f>
        <v>بازار</v>
      </c>
      <c r="N69" s="141">
        <f>Summary[[#This Row],[ارزش فروش]] - (Summary[[#This Row],[قیمت تمام شده]]*Summary[[#This Row],[فروش]])</f>
        <v>152000</v>
      </c>
      <c r="O69" s="365">
        <f>IFERROR(Summary[[#This Row],[سود]]/Summary[[#This Row],[ارزش کالای فروخته شده]], "")</f>
        <v>1.5510204081632653</v>
      </c>
    </row>
    <row r="70" spans="2:15" x14ac:dyDescent="0.8">
      <c r="B70" s="152" t="str">
        <v>تاپ مشکی</v>
      </c>
      <c r="C70" s="141">
        <f>SUMIFS(T[تعداد], T[کالا], B70, T[نوع عملیات], "خرید")</f>
        <v>1</v>
      </c>
      <c r="D70" s="141">
        <f t="shared" si="2"/>
        <v>190000</v>
      </c>
      <c r="E70" s="141">
        <f>SUMIFS(T[قیمت کل], T[کالا], B70, T[نوع عملیات], "خرید")</f>
        <v>190000</v>
      </c>
      <c r="F70" s="141">
        <f>SUMIFS(T[تعداد], T[کالا], B70, T[نوع عملیات], "فروش") + SUMIFS(T[تعداد], T[کالا], B70, T[نوع عملیات], "استفاده خودم")</f>
        <v>1</v>
      </c>
      <c r="G70" s="141">
        <f>SUMIFS(T[قیمت کل], T[کالا], B70, T[نوع عملیات], "فروش")</f>
        <v>350000</v>
      </c>
      <c r="H70" s="141">
        <f>Summary[[#This Row],[فروش]]*Summary[[#This Row],[قیمت تمام شده]]</f>
        <v>190000</v>
      </c>
      <c r="I70" s="141">
        <f>Summary[[#This Row],[خرید]]-Summary[[#This Row],[فروش]]</f>
        <v>0</v>
      </c>
      <c r="J70" s="141">
        <f>Summary[[#This Row],[موجودی]]*Summary[[#This Row],[قیمت تمام شده]]</f>
        <v>0</v>
      </c>
      <c r="K70" s="152" t="str">
        <f>IF(B70="", "", _xlfn.XLOOKUP(B70, T[کالا], T[نحوه تسویه], ""))</f>
        <v>حساب 5802</v>
      </c>
      <c r="L70" s="152" t="str">
        <f>IF(B70="", "", _xlfn.XLOOKUP(B70, T[کالا], T[شماره فاکتور], ""))</f>
        <v>ب 312</v>
      </c>
      <c r="M70" s="152" t="str">
        <f>IF(B70="", "", _xlfn.XLOOKUP(Summary[[#This Row],[فاکتور]], T[شماره فاکتور], T[فروشنده / مشتری], "نامشخص"))</f>
        <v>بازار</v>
      </c>
      <c r="N70" s="141">
        <f>Summary[[#This Row],[ارزش فروش]] - (Summary[[#This Row],[قیمت تمام شده]]*Summary[[#This Row],[فروش]])</f>
        <v>160000</v>
      </c>
      <c r="O70" s="365">
        <f>IFERROR(Summary[[#This Row],[سود]]/Summary[[#This Row],[ارزش کالای فروخته شده]], "")</f>
        <v>0.84210526315789469</v>
      </c>
    </row>
    <row r="71" spans="2:15" x14ac:dyDescent="0.8">
      <c r="B71" s="191" t="str">
        <v>تاپ مروارید</v>
      </c>
      <c r="C71" s="141">
        <f>SUMIFS(T[تعداد], T[کالا], B71, T[نوع عملیات], "خرید")</f>
        <v>1</v>
      </c>
      <c r="D71" s="141">
        <f t="shared" si="2"/>
        <v>190000</v>
      </c>
      <c r="E71" s="141">
        <f>SUMIFS(T[قیمت کل], T[کالا], B71, T[نوع عملیات], "خرید")</f>
        <v>190000</v>
      </c>
      <c r="F71" s="141">
        <f>SUMIFS(T[تعداد], T[کالا], B71, T[نوع عملیات], "فروش") + SUMIFS(T[تعداد], T[کالا], B71, T[نوع عملیات], "استفاده خودم")</f>
        <v>1</v>
      </c>
      <c r="G71" s="141">
        <f>SUMIFS(T[قیمت کل], T[کالا], B71, T[نوع عملیات], "فروش")</f>
        <v>350000</v>
      </c>
      <c r="H71" s="141">
        <f>Summary[[#This Row],[فروش]]*Summary[[#This Row],[قیمت تمام شده]]</f>
        <v>190000</v>
      </c>
      <c r="I71" s="141">
        <f>Summary[[#This Row],[خرید]]-Summary[[#This Row],[فروش]]</f>
        <v>0</v>
      </c>
      <c r="J71" s="141">
        <f>Summary[[#This Row],[موجودی]]*Summary[[#This Row],[قیمت تمام شده]]</f>
        <v>0</v>
      </c>
      <c r="K71" s="152" t="str">
        <f>IF(B71="", "", _xlfn.XLOOKUP(B71, T[کالا], T[نحوه تسویه], ""))</f>
        <v>حساب 5802</v>
      </c>
      <c r="L71" s="152" t="str">
        <f>IF(B71="", "", _xlfn.XLOOKUP(B71, T[کالا], T[شماره فاکتور], ""))</f>
        <v>ب 312</v>
      </c>
      <c r="M71" s="152" t="str">
        <f>IF(B71="", "", _xlfn.XLOOKUP(Summary[[#This Row],[فاکتور]], T[شماره فاکتور], T[فروشنده / مشتری], "نامشخص"))</f>
        <v>بازار</v>
      </c>
      <c r="N71" s="141">
        <f>Summary[[#This Row],[ارزش فروش]] - (Summary[[#This Row],[قیمت تمام شده]]*Summary[[#This Row],[فروش]])</f>
        <v>160000</v>
      </c>
      <c r="O71" s="365">
        <f>IFERROR(Summary[[#This Row],[سود]]/Summary[[#This Row],[ارزش کالای فروخته شده]], "")</f>
        <v>0.84210526315789469</v>
      </c>
    </row>
    <row r="72" spans="2:15" x14ac:dyDescent="0.8">
      <c r="B72" s="152" t="str">
        <v>تاپ مشکی گشاد</v>
      </c>
      <c r="C72" s="141">
        <f>SUMIFS(T[تعداد], T[کالا], B72, T[نوع عملیات], "خرید")</f>
        <v>1</v>
      </c>
      <c r="D72" s="141">
        <f t="shared" si="2"/>
        <v>300000</v>
      </c>
      <c r="E72" s="141">
        <f>SUMIFS(T[قیمت کل], T[کالا], B72, T[نوع عملیات], "خرید")</f>
        <v>300000</v>
      </c>
      <c r="F72" s="141">
        <f>SUMIFS(T[تعداد], T[کالا], B72, T[نوع عملیات], "فروش") + SUMIFS(T[تعداد], T[کالا], B72, T[نوع عملیات], "استفاده خودم")</f>
        <v>1</v>
      </c>
      <c r="G72" s="141">
        <f>SUMIFS(T[قیمت کل], T[کالا], B72, T[نوع عملیات], "فروش")</f>
        <v>800000</v>
      </c>
      <c r="H72" s="141">
        <f>Summary[[#This Row],[فروش]]*Summary[[#This Row],[قیمت تمام شده]]</f>
        <v>300000</v>
      </c>
      <c r="I72" s="141">
        <f>Summary[[#This Row],[خرید]]-Summary[[#This Row],[فروش]]</f>
        <v>0</v>
      </c>
      <c r="J72" s="141">
        <f>Summary[[#This Row],[موجودی]]*Summary[[#This Row],[قیمت تمام شده]]</f>
        <v>0</v>
      </c>
      <c r="K72" s="152" t="str">
        <f>IF(B72="", "", _xlfn.XLOOKUP(B72, T[کالا], T[نحوه تسویه], ""))</f>
        <v>حساب 5802</v>
      </c>
      <c r="L72" s="152" t="str">
        <f>IF(B72="", "", _xlfn.XLOOKUP(B72, T[کالا], T[شماره فاکتور], ""))</f>
        <v>ب 312</v>
      </c>
      <c r="M72" s="152" t="str">
        <f>IF(B72="", "", _xlfn.XLOOKUP(Summary[[#This Row],[فاکتور]], T[شماره فاکتور], T[فروشنده / مشتری], "نامشخص"))</f>
        <v>بازار</v>
      </c>
      <c r="N72" s="141">
        <f>Summary[[#This Row],[ارزش فروش]] - (Summary[[#This Row],[قیمت تمام شده]]*Summary[[#This Row],[فروش]])</f>
        <v>500000</v>
      </c>
      <c r="O72" s="365">
        <f>IFERROR(Summary[[#This Row],[سود]]/Summary[[#This Row],[ارزش کالای فروخته شده]], "")</f>
        <v>1.6666666666666667</v>
      </c>
    </row>
    <row r="73" spans="2:15" x14ac:dyDescent="0.8">
      <c r="B73" s="191" t="str">
        <v>دامن دیپلمات</v>
      </c>
      <c r="C73" s="141">
        <f>SUMIFS(T[تعداد], T[کالا], B73, T[نوع عملیات], "خرید")</f>
        <v>1</v>
      </c>
      <c r="D73" s="141">
        <f t="shared" si="2"/>
        <v>0</v>
      </c>
      <c r="E73" s="141">
        <f>SUMIFS(T[قیمت کل], T[کالا], B73, T[نوع عملیات], "خرید")</f>
        <v>0</v>
      </c>
      <c r="F73" s="141">
        <f>SUMIFS(T[تعداد], T[کالا], B73, T[نوع عملیات], "فروش") + SUMIFS(T[تعداد], T[کالا], B73, T[نوع عملیات], "استفاده خودم")</f>
        <v>1</v>
      </c>
      <c r="G73" s="141">
        <f>SUMIFS(T[قیمت کل], T[کالا], B73, T[نوع عملیات], "فروش")</f>
        <v>700000</v>
      </c>
      <c r="H73" s="141">
        <f>Summary[[#This Row],[فروش]]*Summary[[#This Row],[قیمت تمام شده]]</f>
        <v>0</v>
      </c>
      <c r="I73" s="141">
        <f>Summary[[#This Row],[خرید]]-Summary[[#This Row],[فروش]]</f>
        <v>0</v>
      </c>
      <c r="J73" s="141">
        <f>Summary[[#This Row],[موجودی]]*Summary[[#This Row],[قیمت تمام شده]]</f>
        <v>0</v>
      </c>
      <c r="K73" s="152" t="str">
        <f>IF(B73="", "", _xlfn.XLOOKUP(B73, T[کالا], T[نحوه تسویه], ""))</f>
        <v>حساب 5802</v>
      </c>
      <c r="L73" s="152" t="str">
        <f>IF(B73="", "", _xlfn.XLOOKUP(B73, T[کالا], T[شماره فاکتور], ""))</f>
        <v>ب 312</v>
      </c>
      <c r="M73" s="152" t="str">
        <f>IF(B73="", "", _xlfn.XLOOKUP(Summary[[#This Row],[فاکتور]], T[شماره فاکتور], T[فروشنده / مشتری], "نامشخص"))</f>
        <v>بازار</v>
      </c>
      <c r="N73" s="141">
        <f>Summary[[#This Row],[ارزش فروش]] - (Summary[[#This Row],[قیمت تمام شده]]*Summary[[#This Row],[فروش]])</f>
        <v>700000</v>
      </c>
      <c r="O73" s="365" t="str">
        <f>IFERROR(Summary[[#This Row],[سود]]/Summary[[#This Row],[ارزش کالای فروخته شده]], "")</f>
        <v/>
      </c>
    </row>
    <row r="74" spans="2:15" x14ac:dyDescent="0.8">
      <c r="B74" s="152" t="str">
        <v>گرمکن زارا</v>
      </c>
      <c r="C74" s="141">
        <f>SUMIFS(T[تعداد], T[کالا], B74, T[نوع عملیات], "خرید")</f>
        <v>1</v>
      </c>
      <c r="D74" s="141">
        <f t="shared" si="2"/>
        <v>0</v>
      </c>
      <c r="E74" s="141">
        <f>SUMIFS(T[قیمت کل], T[کالا], B74, T[نوع عملیات], "خرید")</f>
        <v>0</v>
      </c>
      <c r="F74" s="141">
        <f>SUMIFS(T[تعداد], T[کالا], B74, T[نوع عملیات], "فروش") + SUMIFS(T[تعداد], T[کالا], B74, T[نوع عملیات], "استفاده خودم")</f>
        <v>1</v>
      </c>
      <c r="G74" s="141">
        <f>SUMIFS(T[قیمت کل], T[کالا], B74, T[نوع عملیات], "فروش")</f>
        <v>750000</v>
      </c>
      <c r="H74" s="141">
        <f>Summary[[#This Row],[فروش]]*Summary[[#This Row],[قیمت تمام شده]]</f>
        <v>0</v>
      </c>
      <c r="I74" s="141">
        <f>Summary[[#This Row],[خرید]]-Summary[[#This Row],[فروش]]</f>
        <v>0</v>
      </c>
      <c r="J74" s="141">
        <f>Summary[[#This Row],[موجودی]]*Summary[[#This Row],[قیمت تمام شده]]</f>
        <v>0</v>
      </c>
      <c r="K74" s="152" t="str">
        <f>IF(B74="", "", _xlfn.XLOOKUP(B74, T[کالا], T[نحوه تسویه], ""))</f>
        <v>حساب 5802</v>
      </c>
      <c r="L74" s="152" t="str">
        <f>IF(B74="", "", _xlfn.XLOOKUP(B74, T[کالا], T[شماره فاکتور], ""))</f>
        <v>ب 312</v>
      </c>
      <c r="M74" s="152" t="str">
        <f>IF(B74="", "", _xlfn.XLOOKUP(Summary[[#This Row],[فاکتور]], T[شماره فاکتور], T[فروشنده / مشتری], "نامشخص"))</f>
        <v>بازار</v>
      </c>
      <c r="N74" s="141">
        <f>Summary[[#This Row],[ارزش فروش]] - (Summary[[#This Row],[قیمت تمام شده]]*Summary[[#This Row],[فروش]])</f>
        <v>750000</v>
      </c>
      <c r="O74" s="365" t="str">
        <f>IFERROR(Summary[[#This Row],[سود]]/Summary[[#This Row],[ارزش کالای فروخته شده]], "")</f>
        <v/>
      </c>
    </row>
    <row r="75" spans="2:15" x14ac:dyDescent="0.8">
      <c r="B75" s="191" t="str">
        <v>شلوار تور جدید</v>
      </c>
      <c r="C75" s="141">
        <f>SUMIFS(T[تعداد], T[کالا], B75, T[نوع عملیات], "خرید")</f>
        <v>4</v>
      </c>
      <c r="D75" s="141">
        <f t="shared" si="2"/>
        <v>740000</v>
      </c>
      <c r="E75" s="141">
        <f>SUMIFS(T[قیمت کل], T[کالا], B75, T[نوع عملیات], "خرید")</f>
        <v>2960000</v>
      </c>
      <c r="F75" s="141">
        <f>SUMIFS(T[تعداد], T[کالا], B75, T[نوع عملیات], "فروش") + SUMIFS(T[تعداد], T[کالا], B75, T[نوع عملیات], "استفاده خودم")</f>
        <v>4</v>
      </c>
      <c r="G75" s="141">
        <f>SUMIFS(T[قیمت کل], T[کالا], B75, T[نوع عملیات], "فروش")</f>
        <v>5200000</v>
      </c>
      <c r="H75" s="141">
        <f>Summary[[#This Row],[فروش]]*Summary[[#This Row],[قیمت تمام شده]]</f>
        <v>2960000</v>
      </c>
      <c r="I75" s="141">
        <f>Summary[[#This Row],[خرید]]-Summary[[#This Row],[فروش]]</f>
        <v>0</v>
      </c>
      <c r="J75" s="141">
        <f>Summary[[#This Row],[موجودی]]*Summary[[#This Row],[قیمت تمام شده]]</f>
        <v>0</v>
      </c>
      <c r="K75" s="152" t="str">
        <f>IF(B75="", "", _xlfn.XLOOKUP(B75, T[کالا], T[نحوه تسویه], ""))</f>
        <v>حساب 5802</v>
      </c>
      <c r="L75" s="152" t="str">
        <f>IF(B75="", "", _xlfn.XLOOKUP(B75, T[کالا], T[شماره فاکتور], ""))</f>
        <v>ب 312</v>
      </c>
      <c r="M75" s="152" t="str">
        <f>IF(B75="", "", _xlfn.XLOOKUP(Summary[[#This Row],[فاکتور]], T[شماره فاکتور], T[فروشنده / مشتری], "نامشخص"))</f>
        <v>بازار</v>
      </c>
      <c r="N75" s="141">
        <f>Summary[[#This Row],[ارزش فروش]] - (Summary[[#This Row],[قیمت تمام شده]]*Summary[[#This Row],[فروش]])</f>
        <v>2240000</v>
      </c>
      <c r="O75" s="365">
        <f>IFERROR(Summary[[#This Row],[سود]]/Summary[[#This Row],[ارزش کالای فروخته شده]], "")</f>
        <v>0.7567567567567568</v>
      </c>
    </row>
    <row r="76" spans="2:15" x14ac:dyDescent="0.8">
      <c r="B76" s="152" t="str">
        <v>ست خانگی StarBox</v>
      </c>
      <c r="C76" s="141">
        <f>SUMIFS(T[تعداد], T[کالا], B76, T[نوع عملیات], "خرید")</f>
        <v>1</v>
      </c>
      <c r="D76" s="141">
        <f t="shared" si="2"/>
        <v>200000</v>
      </c>
      <c r="E76" s="141">
        <f>SUMIFS(T[قیمت کل], T[کالا], B76, T[نوع عملیات], "خرید")</f>
        <v>200000</v>
      </c>
      <c r="F76" s="141">
        <f>SUMIFS(T[تعداد], T[کالا], B76, T[نوع عملیات], "فروش") + SUMIFS(T[تعداد], T[کالا], B76, T[نوع عملیات], "استفاده خودم")</f>
        <v>1</v>
      </c>
      <c r="G76" s="141">
        <f>SUMIFS(T[قیمت کل], T[کالا], B76, T[نوع عملیات], "فروش")</f>
        <v>700000</v>
      </c>
      <c r="H76" s="141">
        <f>Summary[[#This Row],[فروش]]*Summary[[#This Row],[قیمت تمام شده]]</f>
        <v>200000</v>
      </c>
      <c r="I76" s="141">
        <f>Summary[[#This Row],[خرید]]-Summary[[#This Row],[فروش]]</f>
        <v>0</v>
      </c>
      <c r="J76" s="141">
        <f>Summary[[#This Row],[موجودی]]*Summary[[#This Row],[قیمت تمام شده]]</f>
        <v>0</v>
      </c>
      <c r="K76" s="152" t="str">
        <f>IF(B76="", "", _xlfn.XLOOKUP(B76, T[کالا], T[نحوه تسویه], ""))</f>
        <v>حساب 5802</v>
      </c>
      <c r="L76" s="152" t="str">
        <f>IF(B76="", "", _xlfn.XLOOKUP(B76, T[کالا], T[شماره فاکتور], ""))</f>
        <v>ب 312</v>
      </c>
      <c r="M76" s="152" t="str">
        <f>IF(B76="", "", _xlfn.XLOOKUP(Summary[[#This Row],[فاکتور]], T[شماره فاکتور], T[فروشنده / مشتری], "نامشخص"))</f>
        <v>بازار</v>
      </c>
      <c r="N76" s="141">
        <f>Summary[[#This Row],[ارزش فروش]] - (Summary[[#This Row],[قیمت تمام شده]]*Summary[[#This Row],[فروش]])</f>
        <v>500000</v>
      </c>
      <c r="O76" s="365">
        <f>IFERROR(Summary[[#This Row],[سود]]/Summary[[#This Row],[ارزش کالای فروخته شده]], "")</f>
        <v>2.5</v>
      </c>
    </row>
    <row r="77" spans="2:15" x14ac:dyDescent="0.8">
      <c r="B77" s="191" t="str">
        <v>کت کراپ</v>
      </c>
      <c r="C77" s="141">
        <f>SUMIFS(T[تعداد], T[کالا], B77, T[نوع عملیات], "خرید")</f>
        <v>1</v>
      </c>
      <c r="D77" s="141">
        <f t="shared" si="2"/>
        <v>0</v>
      </c>
      <c r="E77" s="141">
        <f>SUMIFS(T[قیمت کل], T[کالا], B77, T[نوع عملیات], "خرید")</f>
        <v>0</v>
      </c>
      <c r="F77" s="141">
        <f>SUMIFS(T[تعداد], T[کالا], B77, T[نوع عملیات], "فروش") + SUMIFS(T[تعداد], T[کالا], B77, T[نوع عملیات], "استفاده خودم")</f>
        <v>1</v>
      </c>
      <c r="G77" s="141">
        <f>SUMIFS(T[قیمت کل], T[کالا], B77, T[نوع عملیات], "فروش")</f>
        <v>800000</v>
      </c>
      <c r="H77" s="141">
        <f>Summary[[#This Row],[فروش]]*Summary[[#This Row],[قیمت تمام شده]]</f>
        <v>0</v>
      </c>
      <c r="I77" s="141">
        <f>Summary[[#This Row],[خرید]]-Summary[[#This Row],[فروش]]</f>
        <v>0</v>
      </c>
      <c r="J77" s="141">
        <f>Summary[[#This Row],[موجودی]]*Summary[[#This Row],[قیمت تمام شده]]</f>
        <v>0</v>
      </c>
      <c r="K77" s="152" t="str">
        <f>IF(B77="", "", _xlfn.XLOOKUP(B77, T[کالا], T[نحوه تسویه], ""))</f>
        <v>حساب 5802</v>
      </c>
      <c r="L77" s="152" t="str">
        <f>IF(B77="", "", _xlfn.XLOOKUP(B77, T[کالا], T[شماره فاکتور], ""))</f>
        <v>ب 312</v>
      </c>
      <c r="M77" s="152" t="str">
        <f>IF(B77="", "", _xlfn.XLOOKUP(Summary[[#This Row],[فاکتور]], T[شماره فاکتور], T[فروشنده / مشتری], "نامشخص"))</f>
        <v>بازار</v>
      </c>
      <c r="N77" s="141">
        <f>Summary[[#This Row],[ارزش فروش]] - (Summary[[#This Row],[قیمت تمام شده]]*Summary[[#This Row],[فروش]])</f>
        <v>800000</v>
      </c>
      <c r="O77" s="365" t="str">
        <f>IFERROR(Summary[[#This Row],[سود]]/Summary[[#This Row],[ارزش کالای فروخته شده]], "")</f>
        <v/>
      </c>
    </row>
    <row r="78" spans="2:15" x14ac:dyDescent="0.8">
      <c r="B78" s="152" t="str">
        <v>بادی سفید خودم</v>
      </c>
      <c r="C78" s="141">
        <f>SUMIFS(T[تعداد], T[کالا], B78, T[نوع عملیات], "خرید")</f>
        <v>1</v>
      </c>
      <c r="D78" s="141">
        <f t="shared" si="2"/>
        <v>0</v>
      </c>
      <c r="E78" s="141">
        <f>SUMIFS(T[قیمت کل], T[کالا], B78, T[نوع عملیات], "خرید")</f>
        <v>0</v>
      </c>
      <c r="F78" s="141">
        <f>SUMIFS(T[تعداد], T[کالا], B78, T[نوع عملیات], "فروش") + SUMIFS(T[تعداد], T[کالا], B78, T[نوع عملیات], "استفاده خودم")</f>
        <v>1</v>
      </c>
      <c r="G78" s="141">
        <f>SUMIFS(T[قیمت کل], T[کالا], B78, T[نوع عملیات], "فروش")</f>
        <v>300000</v>
      </c>
      <c r="H78" s="141">
        <f>Summary[[#This Row],[فروش]]*Summary[[#This Row],[قیمت تمام شده]]</f>
        <v>0</v>
      </c>
      <c r="I78" s="141">
        <f>Summary[[#This Row],[خرید]]-Summary[[#This Row],[فروش]]</f>
        <v>0</v>
      </c>
      <c r="J78" s="141">
        <f>Summary[[#This Row],[موجودی]]*Summary[[#This Row],[قیمت تمام شده]]</f>
        <v>0</v>
      </c>
      <c r="K78" s="152">
        <f>IF(B78="", "", _xlfn.XLOOKUP(B78, T[کالا], T[نحوه تسویه], ""))</f>
        <v>0</v>
      </c>
      <c r="L78" s="152" t="str">
        <f>IF(B78="", "", _xlfn.XLOOKUP(B78, T[کالا], T[شماره فاکتور], ""))</f>
        <v>خودم</v>
      </c>
      <c r="M78" s="152" t="str">
        <f>IF(B78="", "", _xlfn.XLOOKUP(Summary[[#This Row],[فاکتور]], T[شماره فاکتور], T[فروشنده / مشتری], "نامشخص"))</f>
        <v>خودم</v>
      </c>
      <c r="N78" s="141">
        <f>Summary[[#This Row],[ارزش فروش]] - (Summary[[#This Row],[قیمت تمام شده]]*Summary[[#This Row],[فروش]])</f>
        <v>300000</v>
      </c>
      <c r="O78" s="365" t="str">
        <f>IFERROR(Summary[[#This Row],[سود]]/Summary[[#This Row],[ارزش کالای فروخته شده]], "")</f>
        <v/>
      </c>
    </row>
    <row r="79" spans="2:15" x14ac:dyDescent="0.8">
      <c r="B79" s="191" t="str">
        <v>راه راه سفید مشکی خودم</v>
      </c>
      <c r="C79" s="141">
        <f>SUMIFS(T[تعداد], T[کالا], B79, T[نوع عملیات], "خرید")</f>
        <v>2</v>
      </c>
      <c r="D79" s="141">
        <f t="shared" si="2"/>
        <v>0</v>
      </c>
      <c r="E79" s="141">
        <f>SUMIFS(T[قیمت کل], T[کالا], B79, T[نوع عملیات], "خرید")</f>
        <v>0</v>
      </c>
      <c r="F79" s="141">
        <f>SUMIFS(T[تعداد], T[کالا], B79, T[نوع عملیات], "فروش") + SUMIFS(T[تعداد], T[کالا], B79, T[نوع عملیات], "استفاده خودم")</f>
        <v>2</v>
      </c>
      <c r="G79" s="141">
        <f>SUMIFS(T[قیمت کل], T[کالا], B79, T[نوع عملیات], "فروش")</f>
        <v>900000</v>
      </c>
      <c r="H79" s="141">
        <f>Summary[[#This Row],[فروش]]*Summary[[#This Row],[قیمت تمام شده]]</f>
        <v>0</v>
      </c>
      <c r="I79" s="141">
        <f>Summary[[#This Row],[خرید]]-Summary[[#This Row],[فروش]]</f>
        <v>0</v>
      </c>
      <c r="J79" s="141">
        <f>Summary[[#This Row],[موجودی]]*Summary[[#This Row],[قیمت تمام شده]]</f>
        <v>0</v>
      </c>
      <c r="K79" s="152">
        <f>IF(B79="", "", _xlfn.XLOOKUP(B79, T[کالا], T[نحوه تسویه], ""))</f>
        <v>0</v>
      </c>
      <c r="L79" s="152" t="str">
        <f>IF(B79="", "", _xlfn.XLOOKUP(B79, T[کالا], T[شماره فاکتور], ""))</f>
        <v>خودم</v>
      </c>
      <c r="M79" s="152" t="str">
        <f>IF(B79="", "", _xlfn.XLOOKUP(Summary[[#This Row],[فاکتور]], T[شماره فاکتور], T[فروشنده / مشتری], "نامشخص"))</f>
        <v>خودم</v>
      </c>
      <c r="N79" s="141">
        <f>Summary[[#This Row],[ارزش فروش]] - (Summary[[#This Row],[قیمت تمام شده]]*Summary[[#This Row],[فروش]])</f>
        <v>900000</v>
      </c>
      <c r="O79" s="365" t="str">
        <f>IFERROR(Summary[[#This Row],[سود]]/Summary[[#This Row],[ارزش کالای فروخته شده]], "")</f>
        <v/>
      </c>
    </row>
    <row r="80" spans="2:15" x14ac:dyDescent="0.8">
      <c r="B80" s="152" t="str">
        <v>پیراهن ساحلی طوسی</v>
      </c>
      <c r="C80" s="141">
        <f>SUMIFS(T[تعداد], T[کالا], B80, T[نوع عملیات], "خرید")</f>
        <v>1</v>
      </c>
      <c r="D80" s="141">
        <f t="shared" si="2"/>
        <v>0</v>
      </c>
      <c r="E80" s="141">
        <f>SUMIFS(T[قیمت کل], T[کالا], B80, T[نوع عملیات], "خرید")</f>
        <v>0</v>
      </c>
      <c r="F80" s="141">
        <f>SUMIFS(T[تعداد], T[کالا], B80, T[نوع عملیات], "فروش") + SUMIFS(T[تعداد], T[کالا], B80, T[نوع عملیات], "استفاده خودم")</f>
        <v>1</v>
      </c>
      <c r="G80" s="141">
        <f>SUMIFS(T[قیمت کل], T[کالا], B80, T[نوع عملیات], "فروش")</f>
        <v>500000</v>
      </c>
      <c r="H80" s="141">
        <f>Summary[[#This Row],[فروش]]*Summary[[#This Row],[قیمت تمام شده]]</f>
        <v>0</v>
      </c>
      <c r="I80" s="141">
        <f>Summary[[#This Row],[خرید]]-Summary[[#This Row],[فروش]]</f>
        <v>0</v>
      </c>
      <c r="J80" s="141">
        <f>Summary[[#This Row],[موجودی]]*Summary[[#This Row],[قیمت تمام شده]]</f>
        <v>0</v>
      </c>
      <c r="K80" s="152">
        <f>IF(B80="", "", _xlfn.XLOOKUP(B80, T[کالا], T[نحوه تسویه], ""))</f>
        <v>0</v>
      </c>
      <c r="L80" s="152" t="str">
        <f>IF(B80="", "", _xlfn.XLOOKUP(B80, T[کالا], T[شماره فاکتور], ""))</f>
        <v>خودم</v>
      </c>
      <c r="M80" s="152" t="str">
        <f>IF(B80="", "", _xlfn.XLOOKUP(Summary[[#This Row],[فاکتور]], T[شماره فاکتور], T[فروشنده / مشتری], "نامشخص"))</f>
        <v>خودم</v>
      </c>
      <c r="N80" s="141">
        <f>Summary[[#This Row],[ارزش فروش]] - (Summary[[#This Row],[قیمت تمام شده]]*Summary[[#This Row],[فروش]])</f>
        <v>500000</v>
      </c>
      <c r="O80" s="365" t="str">
        <f>IFERROR(Summary[[#This Row],[سود]]/Summary[[#This Row],[ارزش کالای فروخته شده]], "")</f>
        <v/>
      </c>
    </row>
    <row r="81" spans="2:15" x14ac:dyDescent="0.8">
      <c r="B81" s="191" t="str">
        <v>شلوار بوتکات خودم</v>
      </c>
      <c r="C81" s="141">
        <f>SUMIFS(T[تعداد], T[کالا], B81, T[نوع عملیات], "خرید")</f>
        <v>1</v>
      </c>
      <c r="D81" s="141">
        <f t="shared" si="2"/>
        <v>0</v>
      </c>
      <c r="E81" s="141">
        <f>SUMIFS(T[قیمت کل], T[کالا], B81, T[نوع عملیات], "خرید")</f>
        <v>0</v>
      </c>
      <c r="F81" s="141">
        <f>SUMIFS(T[تعداد], T[کالا], B81, T[نوع عملیات], "فروش") + SUMIFS(T[تعداد], T[کالا], B81, T[نوع عملیات], "استفاده خودم")</f>
        <v>1</v>
      </c>
      <c r="G81" s="141">
        <f>SUMIFS(T[قیمت کل], T[کالا], B81, T[نوع عملیات], "فروش")</f>
        <v>900000</v>
      </c>
      <c r="H81" s="141">
        <f>Summary[[#This Row],[فروش]]*Summary[[#This Row],[قیمت تمام شده]]</f>
        <v>0</v>
      </c>
      <c r="I81" s="141">
        <f>Summary[[#This Row],[خرید]]-Summary[[#This Row],[فروش]]</f>
        <v>0</v>
      </c>
      <c r="J81" s="141">
        <f>Summary[[#This Row],[موجودی]]*Summary[[#This Row],[قیمت تمام شده]]</f>
        <v>0</v>
      </c>
      <c r="K81" s="152">
        <f>IF(B81="", "", _xlfn.XLOOKUP(B81, T[کالا], T[نحوه تسویه], ""))</f>
        <v>0</v>
      </c>
      <c r="L81" s="152" t="str">
        <f>IF(B81="", "", _xlfn.XLOOKUP(B81, T[کالا], T[شماره فاکتور], ""))</f>
        <v>خودم</v>
      </c>
      <c r="M81" s="152" t="str">
        <f>IF(B81="", "", _xlfn.XLOOKUP(Summary[[#This Row],[فاکتور]], T[شماره فاکتور], T[فروشنده / مشتری], "نامشخص"))</f>
        <v>خودم</v>
      </c>
      <c r="N81" s="141">
        <f>Summary[[#This Row],[ارزش فروش]] - (Summary[[#This Row],[قیمت تمام شده]]*Summary[[#This Row],[فروش]])</f>
        <v>900000</v>
      </c>
      <c r="O81" s="365" t="str">
        <f>IFERROR(Summary[[#This Row],[سود]]/Summary[[#This Row],[ارزش کالای فروخته شده]], "")</f>
        <v/>
      </c>
    </row>
    <row r="82" spans="2:15" x14ac:dyDescent="0.8">
      <c r="B82" s="152" t="str">
        <v>شلوار جین تک</v>
      </c>
      <c r="C82" s="141">
        <f>SUMIFS(T[تعداد], T[کالا], B82, T[نوع عملیات], "خرید")</f>
        <v>2</v>
      </c>
      <c r="D82" s="141">
        <f t="shared" si="2"/>
        <v>0</v>
      </c>
      <c r="E82" s="141">
        <f>SUMIFS(T[قیمت کل], T[کالا], B82, T[نوع عملیات], "خرید")</f>
        <v>0</v>
      </c>
      <c r="F82" s="141">
        <f>SUMIFS(T[تعداد], T[کالا], B82, T[نوع عملیات], "فروش") + SUMIFS(T[تعداد], T[کالا], B82, T[نوع عملیات], "استفاده خودم")</f>
        <v>2</v>
      </c>
      <c r="G82" s="141">
        <f>SUMIFS(T[قیمت کل], T[کالا], B82, T[نوع عملیات], "فروش")</f>
        <v>2200000</v>
      </c>
      <c r="H82" s="141">
        <f>Summary[[#This Row],[فروش]]*Summary[[#This Row],[قیمت تمام شده]]</f>
        <v>0</v>
      </c>
      <c r="I82" s="141">
        <f>Summary[[#This Row],[خرید]]-Summary[[#This Row],[فروش]]</f>
        <v>0</v>
      </c>
      <c r="J82" s="141">
        <f>Summary[[#This Row],[موجودی]]*Summary[[#This Row],[قیمت تمام شده]]</f>
        <v>0</v>
      </c>
      <c r="K82" s="152">
        <f>IF(B82="", "", _xlfn.XLOOKUP(B82, T[کالا], T[نحوه تسویه], ""))</f>
        <v>0</v>
      </c>
      <c r="L82" s="152" t="str">
        <f>IF(B82="", "", _xlfn.XLOOKUP(B82, T[کالا], T[شماره فاکتور], ""))</f>
        <v>خودم</v>
      </c>
      <c r="M82" s="152" t="str">
        <f>IF(B82="", "", _xlfn.XLOOKUP(Summary[[#This Row],[فاکتور]], T[شماره فاکتور], T[فروشنده / مشتری], "نامشخص"))</f>
        <v>خودم</v>
      </c>
      <c r="N82" s="141">
        <f>Summary[[#This Row],[ارزش فروش]] - (Summary[[#This Row],[قیمت تمام شده]]*Summary[[#This Row],[فروش]])</f>
        <v>2200000</v>
      </c>
      <c r="O82" s="365" t="str">
        <f>IFERROR(Summary[[#This Row],[سود]]/Summary[[#This Row],[ارزش کالای فروخته شده]], "")</f>
        <v/>
      </c>
    </row>
    <row r="83" spans="2:15" x14ac:dyDescent="0.8">
      <c r="B83" s="191" t="str">
        <v>شومیز خودم</v>
      </c>
      <c r="C83" s="141">
        <f>SUMIFS(T[تعداد], T[کالا], B83, T[نوع عملیات], "خرید")</f>
        <v>1</v>
      </c>
      <c r="D83" s="141">
        <f t="shared" si="2"/>
        <v>0</v>
      </c>
      <c r="E83" s="141">
        <f>SUMIFS(T[قیمت کل], T[کالا], B83, T[نوع عملیات], "خرید")</f>
        <v>0</v>
      </c>
      <c r="F83" s="141">
        <f>SUMIFS(T[تعداد], T[کالا], B83, T[نوع عملیات], "فروش") + SUMIFS(T[تعداد], T[کالا], B83, T[نوع عملیات], "استفاده خودم")</f>
        <v>1</v>
      </c>
      <c r="G83" s="141">
        <f>SUMIFS(T[قیمت کل], T[کالا], B83, T[نوع عملیات], "فروش")</f>
        <v>400000</v>
      </c>
      <c r="H83" s="141">
        <f>Summary[[#This Row],[فروش]]*Summary[[#This Row],[قیمت تمام شده]]</f>
        <v>0</v>
      </c>
      <c r="I83" s="141">
        <f>Summary[[#This Row],[خرید]]-Summary[[#This Row],[فروش]]</f>
        <v>0</v>
      </c>
      <c r="J83" s="141">
        <f>Summary[[#This Row],[موجودی]]*Summary[[#This Row],[قیمت تمام شده]]</f>
        <v>0</v>
      </c>
      <c r="K83" s="152">
        <f>IF(B83="", "", _xlfn.XLOOKUP(B83, T[کالا], T[نحوه تسویه], ""))</f>
        <v>0</v>
      </c>
      <c r="L83" s="152" t="str">
        <f>IF(B83="", "", _xlfn.XLOOKUP(B83, T[کالا], T[شماره فاکتور], ""))</f>
        <v>خودم</v>
      </c>
      <c r="M83" s="152" t="str">
        <f>IF(B83="", "", _xlfn.XLOOKUP(Summary[[#This Row],[فاکتور]], T[شماره فاکتور], T[فروشنده / مشتری], "نامشخص"))</f>
        <v>خودم</v>
      </c>
      <c r="N83" s="141">
        <f>Summary[[#This Row],[ارزش فروش]] - (Summary[[#This Row],[قیمت تمام شده]]*Summary[[#This Row],[فروش]])</f>
        <v>400000</v>
      </c>
      <c r="O83" s="365" t="str">
        <f>IFERROR(Summary[[#This Row],[سود]]/Summary[[#This Row],[ارزش کالای فروخته شده]], "")</f>
        <v/>
      </c>
    </row>
    <row r="84" spans="2:15" x14ac:dyDescent="0.8">
      <c r="B84" s="152" t="str">
        <v>پیراهن نقره ای خودم</v>
      </c>
      <c r="C84" s="141">
        <f>SUMIFS(T[تعداد], T[کالا], B84, T[نوع عملیات], "خرید")</f>
        <v>1</v>
      </c>
      <c r="D84" s="141">
        <f t="shared" si="2"/>
        <v>0</v>
      </c>
      <c r="E84" s="141">
        <f>SUMIFS(T[قیمت کل], T[کالا], B84, T[نوع عملیات], "خرید")</f>
        <v>0</v>
      </c>
      <c r="F84" s="141">
        <f>SUMIFS(T[تعداد], T[کالا], B84, T[نوع عملیات], "فروش") + SUMIFS(T[تعداد], T[کالا], B84, T[نوع عملیات], "استفاده خودم")</f>
        <v>1</v>
      </c>
      <c r="G84" s="141">
        <f>SUMIFS(T[قیمت کل], T[کالا], B84, T[نوع عملیات], "فروش")</f>
        <v>1200000</v>
      </c>
      <c r="H84" s="141">
        <f>Summary[[#This Row],[فروش]]*Summary[[#This Row],[قیمت تمام شده]]</f>
        <v>0</v>
      </c>
      <c r="I84" s="141">
        <f>Summary[[#This Row],[خرید]]-Summary[[#This Row],[فروش]]</f>
        <v>0</v>
      </c>
      <c r="J84" s="141">
        <f>Summary[[#This Row],[موجودی]]*Summary[[#This Row],[قیمت تمام شده]]</f>
        <v>0</v>
      </c>
      <c r="K84" s="152">
        <f>IF(B84="", "", _xlfn.XLOOKUP(B84, T[کالا], T[نحوه تسویه], ""))</f>
        <v>0</v>
      </c>
      <c r="L84" s="152" t="str">
        <f>IF(B84="", "", _xlfn.XLOOKUP(B84, T[کالا], T[شماره فاکتور], ""))</f>
        <v>خودم</v>
      </c>
      <c r="M84" s="152" t="str">
        <f>IF(B84="", "", _xlfn.XLOOKUP(Summary[[#This Row],[فاکتور]], T[شماره فاکتور], T[فروشنده / مشتری], "نامشخص"))</f>
        <v>خودم</v>
      </c>
      <c r="N84" s="141">
        <f>Summary[[#This Row],[ارزش فروش]] - (Summary[[#This Row],[قیمت تمام شده]]*Summary[[#This Row],[فروش]])</f>
        <v>1200000</v>
      </c>
      <c r="O84" s="365" t="str">
        <f>IFERROR(Summary[[#This Row],[سود]]/Summary[[#This Row],[ارزش کالای فروخته شده]], "")</f>
        <v/>
      </c>
    </row>
    <row r="85" spans="2:15" x14ac:dyDescent="0.8">
      <c r="B85" s="191" t="str">
        <v>بلوز تک آستین گیپور</v>
      </c>
      <c r="C85" s="141">
        <f>SUMIFS(T[تعداد], T[کالا], B85, T[نوع عملیات], "خرید")</f>
        <v>4</v>
      </c>
      <c r="D85" s="141">
        <f t="shared" si="2"/>
        <v>200000</v>
      </c>
      <c r="E85" s="141">
        <f>SUMIFS(T[قیمت کل], T[کالا], B85, T[نوع عملیات], "خرید")</f>
        <v>800000</v>
      </c>
      <c r="F85" s="141">
        <f>SUMIFS(T[تعداد], T[کالا], B85, T[نوع عملیات], "فروش") + SUMIFS(T[تعداد], T[کالا], B85, T[نوع عملیات], "استفاده خودم")</f>
        <v>3</v>
      </c>
      <c r="G85" s="141">
        <f>SUMIFS(T[قیمت کل], T[کالا], B85, T[نوع عملیات], "فروش")</f>
        <v>1250000</v>
      </c>
      <c r="H85" s="141">
        <f>Summary[[#This Row],[فروش]]*Summary[[#This Row],[قیمت تمام شده]]</f>
        <v>600000</v>
      </c>
      <c r="I85" s="141">
        <f>Summary[[#This Row],[خرید]]-Summary[[#This Row],[فروش]]</f>
        <v>1</v>
      </c>
      <c r="J85" s="141">
        <f>Summary[[#This Row],[موجودی]]*Summary[[#This Row],[قیمت تمام شده]]</f>
        <v>200000</v>
      </c>
      <c r="K85" s="152" t="str">
        <f>IF(B85="", "", _xlfn.XLOOKUP(B85, T[کالا], T[نحوه تسویه], ""))</f>
        <v>حساب 5802</v>
      </c>
      <c r="L85" s="152" t="str">
        <f>IF(B85="", "", _xlfn.XLOOKUP(B85, T[کالا], T[شماره فاکتور], ""))</f>
        <v>ع 312</v>
      </c>
      <c r="M85" s="152" t="str">
        <f>IF(B85="", "", _xlfn.XLOOKUP(Summary[[#This Row],[فاکتور]], T[شماره فاکتور], T[فروشنده / مشتری], "نامشخص"))</f>
        <v>عبدل آباد</v>
      </c>
      <c r="N85" s="141">
        <f>Summary[[#This Row],[ارزش فروش]] - (Summary[[#This Row],[قیمت تمام شده]]*Summary[[#This Row],[فروش]])</f>
        <v>650000</v>
      </c>
      <c r="O85" s="365">
        <f>IFERROR(Summary[[#This Row],[سود]]/Summary[[#This Row],[ارزش کالای فروخته شده]], "")</f>
        <v>1.0833333333333333</v>
      </c>
    </row>
    <row r="86" spans="2:15" x14ac:dyDescent="0.8">
      <c r="B86" s="152" t="str">
        <v>کت پارچه شنل</v>
      </c>
      <c r="C86" s="141">
        <f>SUMIFS(T[تعداد], T[کالا], B86, T[نوع عملیات], "خرید")</f>
        <v>3</v>
      </c>
      <c r="D86" s="141">
        <f t="shared" si="2"/>
        <v>280000</v>
      </c>
      <c r="E86" s="141">
        <f>SUMIFS(T[قیمت کل], T[کالا], B86, T[نوع عملیات], "خرید")</f>
        <v>840000</v>
      </c>
      <c r="F86" s="141">
        <f>SUMIFS(T[تعداد], T[کالا], B86, T[نوع عملیات], "فروش") + SUMIFS(T[تعداد], T[کالا], B86, T[نوع عملیات], "استفاده خودم")</f>
        <v>1</v>
      </c>
      <c r="G86" s="141">
        <f>SUMIFS(T[قیمت کل], T[کالا], B86, T[نوع عملیات], "فروش")</f>
        <v>450000</v>
      </c>
      <c r="H86" s="141">
        <f>Summary[[#This Row],[فروش]]*Summary[[#This Row],[قیمت تمام شده]]</f>
        <v>280000</v>
      </c>
      <c r="I86" s="141">
        <f>Summary[[#This Row],[خرید]]-Summary[[#This Row],[فروش]]</f>
        <v>2</v>
      </c>
      <c r="J86" s="141">
        <f>Summary[[#This Row],[موجودی]]*Summary[[#This Row],[قیمت تمام شده]]</f>
        <v>560000</v>
      </c>
      <c r="K86" s="152" t="str">
        <f>IF(B86="", "", _xlfn.XLOOKUP(B86, T[کالا], T[نحوه تسویه], ""))</f>
        <v>حساب 5802</v>
      </c>
      <c r="L86" s="152" t="str">
        <f>IF(B86="", "", _xlfn.XLOOKUP(B86, T[کالا], T[شماره فاکتور], ""))</f>
        <v>ب 312</v>
      </c>
      <c r="M86" s="152" t="str">
        <f>IF(B86="", "", _xlfn.XLOOKUP(Summary[[#This Row],[فاکتور]], T[شماره فاکتور], T[فروشنده / مشتری], "نامشخص"))</f>
        <v>بازار</v>
      </c>
      <c r="N86" s="141">
        <f>Summary[[#This Row],[ارزش فروش]] - (Summary[[#This Row],[قیمت تمام شده]]*Summary[[#This Row],[فروش]])</f>
        <v>170000</v>
      </c>
      <c r="O86" s="365">
        <f>IFERROR(Summary[[#This Row],[سود]]/Summary[[#This Row],[ارزش کالای فروخته شده]], "")</f>
        <v>0.6071428571428571</v>
      </c>
    </row>
    <row r="87" spans="2:15" x14ac:dyDescent="0.8">
      <c r="B87" s="191" t="str">
        <v>شلوار گرمکن</v>
      </c>
      <c r="C87" s="141">
        <f>SUMIFS(T[تعداد], T[کالا], B87, T[نوع عملیات], "خرید")</f>
        <v>2</v>
      </c>
      <c r="D87" s="141">
        <f t="shared" si="2"/>
        <v>250000</v>
      </c>
      <c r="E87" s="141">
        <f>SUMIFS(T[قیمت کل], T[کالا], B87, T[نوع عملیات], "خرید")</f>
        <v>500000</v>
      </c>
      <c r="F87" s="141">
        <f>SUMIFS(T[تعداد], T[کالا], B87, T[نوع عملیات], "فروش") + SUMIFS(T[تعداد], T[کالا], B87, T[نوع عملیات], "استفاده خودم")</f>
        <v>2</v>
      </c>
      <c r="G87" s="141">
        <f>SUMIFS(T[قیمت کل], T[کالا], B87, T[نوع عملیات], "فروش")</f>
        <v>950000</v>
      </c>
      <c r="H87" s="141">
        <f>Summary[[#This Row],[فروش]]*Summary[[#This Row],[قیمت تمام شده]]</f>
        <v>500000</v>
      </c>
      <c r="I87" s="141">
        <f>Summary[[#This Row],[خرید]]-Summary[[#This Row],[فروش]]</f>
        <v>0</v>
      </c>
      <c r="J87" s="141">
        <f>Summary[[#This Row],[موجودی]]*Summary[[#This Row],[قیمت تمام شده]]</f>
        <v>0</v>
      </c>
      <c r="K87" s="152" t="str">
        <f>IF(B87="", "", _xlfn.XLOOKUP(B87, T[کالا], T[نحوه تسویه], ""))</f>
        <v>حساب 5802</v>
      </c>
      <c r="L87" s="152" t="str">
        <f>IF(B87="", "", _xlfn.XLOOKUP(B87, T[کالا], T[شماره فاکتور], ""))</f>
        <v>ب 312</v>
      </c>
      <c r="M87" s="152" t="str">
        <f>IF(B87="", "", _xlfn.XLOOKUP(Summary[[#This Row],[فاکتور]], T[شماره فاکتور], T[فروشنده / مشتری], "نامشخص"))</f>
        <v>بازار</v>
      </c>
      <c r="N87" s="141">
        <f>Summary[[#This Row],[ارزش فروش]] - (Summary[[#This Row],[قیمت تمام شده]]*Summary[[#This Row],[فروش]])</f>
        <v>450000</v>
      </c>
      <c r="O87" s="365">
        <f>IFERROR(Summary[[#This Row],[سود]]/Summary[[#This Row],[ارزش کالای فروخته شده]], "")</f>
        <v>0.9</v>
      </c>
    </row>
    <row r="88" spans="2:15" x14ac:dyDescent="0.8">
      <c r="B88" s="152" t="str">
        <v>دامن سفید ریش ریش</v>
      </c>
      <c r="C88" s="141">
        <f>SUMIFS(T[تعداد], T[کالا], B88, T[نوع عملیات], "خرید")</f>
        <v>1</v>
      </c>
      <c r="D88" s="141">
        <f t="shared" si="2"/>
        <v>500000</v>
      </c>
      <c r="E88" s="141">
        <f>SUMIFS(T[قیمت کل], T[کالا], B88, T[نوع عملیات], "خرید")</f>
        <v>500000</v>
      </c>
      <c r="F88" s="141">
        <f>SUMIFS(T[تعداد], T[کالا], B88, T[نوع عملیات], "فروش") + SUMIFS(T[تعداد], T[کالا], B88, T[نوع عملیات], "استفاده خودم")</f>
        <v>1</v>
      </c>
      <c r="G88" s="141">
        <f>SUMIFS(T[قیمت کل], T[کالا], B88, T[نوع عملیات], "فروش")</f>
        <v>850000</v>
      </c>
      <c r="H88" s="141">
        <f>Summary[[#This Row],[فروش]]*Summary[[#This Row],[قیمت تمام شده]]</f>
        <v>500000</v>
      </c>
      <c r="I88" s="141">
        <f>Summary[[#This Row],[خرید]]-Summary[[#This Row],[فروش]]</f>
        <v>0</v>
      </c>
      <c r="J88" s="141">
        <f>Summary[[#This Row],[موجودی]]*Summary[[#This Row],[قیمت تمام شده]]</f>
        <v>0</v>
      </c>
      <c r="K88" s="152" t="str">
        <f>IF(B88="", "", _xlfn.XLOOKUP(B88, T[کالا], T[نحوه تسویه], ""))</f>
        <v>حساب 5802</v>
      </c>
      <c r="L88" s="152" t="str">
        <f>IF(B88="", "", _xlfn.XLOOKUP(B88, T[کالا], T[شماره فاکتور], ""))</f>
        <v>ب 312</v>
      </c>
      <c r="M88" s="152" t="str">
        <f>IF(B88="", "", _xlfn.XLOOKUP(Summary[[#This Row],[فاکتور]], T[شماره فاکتور], T[فروشنده / مشتری], "نامشخص"))</f>
        <v>بازار</v>
      </c>
      <c r="N88" s="141">
        <f>Summary[[#This Row],[ارزش فروش]] - (Summary[[#This Row],[قیمت تمام شده]]*Summary[[#This Row],[فروش]])</f>
        <v>350000</v>
      </c>
      <c r="O88" s="365">
        <f>IFERROR(Summary[[#This Row],[سود]]/Summary[[#This Row],[ارزش کالای فروخته شده]], "")</f>
        <v>0.7</v>
      </c>
    </row>
    <row r="89" spans="2:15" x14ac:dyDescent="0.8">
      <c r="B89" s="191" t="str">
        <v>دامن بلند تور مشکی</v>
      </c>
      <c r="C89" s="141">
        <f>SUMIFS(T[تعداد], T[کالا], B89, T[نوع عملیات], "خرید")</f>
        <v>1</v>
      </c>
      <c r="D89" s="141">
        <f t="shared" si="2"/>
        <v>570000</v>
      </c>
      <c r="E89" s="141">
        <f>SUMIFS(T[قیمت کل], T[کالا], B89, T[نوع عملیات], "خرید")</f>
        <v>570000</v>
      </c>
      <c r="F89" s="141">
        <f>SUMIFS(T[تعداد], T[کالا], B89, T[نوع عملیات], "فروش") + SUMIFS(T[تعداد], T[کالا], B89, T[نوع عملیات], "استفاده خودم")</f>
        <v>1</v>
      </c>
      <c r="G89" s="141">
        <f>SUMIFS(T[قیمت کل], T[کالا], B89, T[نوع عملیات], "فروش")</f>
        <v>1000000</v>
      </c>
      <c r="H89" s="141">
        <f>Summary[[#This Row],[فروش]]*Summary[[#This Row],[قیمت تمام شده]]</f>
        <v>570000</v>
      </c>
      <c r="I89" s="141">
        <f>Summary[[#This Row],[خرید]]-Summary[[#This Row],[فروش]]</f>
        <v>0</v>
      </c>
      <c r="J89" s="141">
        <f>Summary[[#This Row],[موجودی]]*Summary[[#This Row],[قیمت تمام شده]]</f>
        <v>0</v>
      </c>
      <c r="K89" s="152" t="str">
        <f>IF(B89="", "", _xlfn.XLOOKUP(B89, T[کالا], T[نحوه تسویه], ""))</f>
        <v>حساب 5802</v>
      </c>
      <c r="L89" s="152" t="str">
        <f>IF(B89="", "", _xlfn.XLOOKUP(B89, T[کالا], T[شماره فاکتور], ""))</f>
        <v>ب 312</v>
      </c>
      <c r="M89" s="152" t="str">
        <f>IF(B89="", "", _xlfn.XLOOKUP(Summary[[#This Row],[فاکتور]], T[شماره فاکتور], T[فروشنده / مشتری], "نامشخص"))</f>
        <v>بازار</v>
      </c>
      <c r="N89" s="141">
        <f>Summary[[#This Row],[ارزش فروش]] - (Summary[[#This Row],[قیمت تمام شده]]*Summary[[#This Row],[فروش]])</f>
        <v>430000</v>
      </c>
      <c r="O89" s="365">
        <f>IFERROR(Summary[[#This Row],[سود]]/Summary[[#This Row],[ارزش کالای فروخته شده]], "")</f>
        <v>0.75438596491228072</v>
      </c>
    </row>
    <row r="90" spans="2:15" x14ac:dyDescent="0.8">
      <c r="B90" s="152" t="str">
        <v>تاپ و شلوار دیسکو</v>
      </c>
      <c r="C90" s="141">
        <f>SUMIFS(T[تعداد], T[کالا], B90, T[نوع عملیات], "خرید")</f>
        <v>6</v>
      </c>
      <c r="D90" s="141">
        <f t="shared" si="2"/>
        <v>320000</v>
      </c>
      <c r="E90" s="141">
        <f>SUMIFS(T[قیمت کل], T[کالا], B90, T[نوع عملیات], "خرید")</f>
        <v>1920000</v>
      </c>
      <c r="F90" s="141">
        <f>SUMIFS(T[تعداد], T[کالا], B90, T[نوع عملیات], "فروش") + SUMIFS(T[تعداد], T[کالا], B90, T[نوع عملیات], "استفاده خودم")</f>
        <v>1</v>
      </c>
      <c r="G90" s="141">
        <f>SUMIFS(T[قیمت کل], T[کالا], B90, T[نوع عملیات], "فروش")</f>
        <v>750000</v>
      </c>
      <c r="H90" s="141">
        <f>Summary[[#This Row],[فروش]]*Summary[[#This Row],[قیمت تمام شده]]</f>
        <v>320000</v>
      </c>
      <c r="I90" s="141">
        <f>Summary[[#This Row],[خرید]]-Summary[[#This Row],[فروش]]</f>
        <v>5</v>
      </c>
      <c r="J90" s="141">
        <f>Summary[[#This Row],[موجودی]]*Summary[[#This Row],[قیمت تمام شده]]</f>
        <v>1600000</v>
      </c>
      <c r="K90" s="152" t="str">
        <f>IF(B90="", "", _xlfn.XLOOKUP(B90, T[کالا], T[نحوه تسویه], ""))</f>
        <v>حساب 5802</v>
      </c>
      <c r="L90" s="152" t="str">
        <f>IF(B90="", "", _xlfn.XLOOKUP(B90, T[کالا], T[شماره فاکتور], ""))</f>
        <v>ب 312</v>
      </c>
      <c r="M90" s="152" t="str">
        <f>IF(B90="", "", _xlfn.XLOOKUP(Summary[[#This Row],[فاکتور]], T[شماره فاکتور], T[فروشنده / مشتری], "نامشخص"))</f>
        <v>بازار</v>
      </c>
      <c r="N90" s="141">
        <f>Summary[[#This Row],[ارزش فروش]] - (Summary[[#This Row],[قیمت تمام شده]]*Summary[[#This Row],[فروش]])</f>
        <v>430000</v>
      </c>
      <c r="O90" s="365">
        <f>IFERROR(Summary[[#This Row],[سود]]/Summary[[#This Row],[ارزش کالای فروخته شده]], "")</f>
        <v>1.34375</v>
      </c>
    </row>
    <row r="91" spans="2:15" x14ac:dyDescent="0.8">
      <c r="B91" s="191" t="str">
        <v>تیشرت alo</v>
      </c>
      <c r="C91" s="141">
        <f>SUMIFS(T[تعداد], T[کالا], B91, T[نوع عملیات], "خرید")</f>
        <v>6</v>
      </c>
      <c r="D91" s="141">
        <f t="shared" si="2"/>
        <v>198000</v>
      </c>
      <c r="E91" s="141">
        <f>SUMIFS(T[قیمت کل], T[کالا], B91, T[نوع عملیات], "خرید")</f>
        <v>1188000</v>
      </c>
      <c r="F91" s="141">
        <f>SUMIFS(T[تعداد], T[کالا], B91, T[نوع عملیات], "فروش") + SUMIFS(T[تعداد], T[کالا], B91, T[نوع عملیات], "استفاده خودم")</f>
        <v>4</v>
      </c>
      <c r="G91" s="141">
        <f>SUMIFS(T[قیمت کل], T[کالا], B91, T[نوع عملیات], "فروش")</f>
        <v>1700000</v>
      </c>
      <c r="H91" s="141">
        <f>Summary[[#This Row],[فروش]]*Summary[[#This Row],[قیمت تمام شده]]</f>
        <v>792000</v>
      </c>
      <c r="I91" s="141">
        <f>Summary[[#This Row],[خرید]]-Summary[[#This Row],[فروش]]</f>
        <v>2</v>
      </c>
      <c r="J91" s="141">
        <f>Summary[[#This Row],[موجودی]]*Summary[[#This Row],[قیمت تمام شده]]</f>
        <v>396000</v>
      </c>
      <c r="K91" s="152" t="str">
        <f>IF(B91="", "", _xlfn.XLOOKUP(B91, T[کالا], T[نحوه تسویه], ""))</f>
        <v>حساب 5802</v>
      </c>
      <c r="L91" s="152" t="str">
        <f>IF(B91="", "", _xlfn.XLOOKUP(B91, T[کالا], T[شماره فاکتور], ""))</f>
        <v>تین 312</v>
      </c>
      <c r="M91" s="152" t="str">
        <f>IF(B91="", "", _xlfn.XLOOKUP(Summary[[#This Row],[فاکتور]], T[شماره فاکتور], T[فروشنده / مشتری], "نامشخص"))</f>
        <v>تولیدی پوشاک تین استایل</v>
      </c>
      <c r="N91" s="141">
        <f>Summary[[#This Row],[ارزش فروش]] - (Summary[[#This Row],[قیمت تمام شده]]*Summary[[#This Row],[فروش]])</f>
        <v>908000</v>
      </c>
      <c r="O91" s="365">
        <f>IFERROR(Summary[[#This Row],[سود]]/Summary[[#This Row],[ارزش کالای فروخته شده]], "")</f>
        <v>1.1464646464646464</v>
      </c>
    </row>
    <row r="92" spans="2:15" x14ac:dyDescent="0.8">
      <c r="B92" s="152" t="str">
        <v>ست خانگی پشت باز</v>
      </c>
      <c r="C92" s="141">
        <f>SUMIFS(T[تعداد], T[کالا], B92, T[نوع عملیات], "خرید")</f>
        <v>1</v>
      </c>
      <c r="D92" s="141">
        <f t="shared" si="2"/>
        <v>200000</v>
      </c>
      <c r="E92" s="141">
        <f>SUMIFS(T[قیمت کل], T[کالا], B92, T[نوع عملیات], "خرید")</f>
        <v>200000</v>
      </c>
      <c r="F92" s="141">
        <f>SUMIFS(T[تعداد], T[کالا], B92, T[نوع عملیات], "فروش") + SUMIFS(T[تعداد], T[کالا], B92, T[نوع عملیات], "استفاده خودم")</f>
        <v>1</v>
      </c>
      <c r="G92" s="141">
        <f>SUMIFS(T[قیمت کل], T[کالا], B92, T[نوع عملیات], "فروش")</f>
        <v>450000</v>
      </c>
      <c r="H92" s="141">
        <f>Summary[[#This Row],[فروش]]*Summary[[#This Row],[قیمت تمام شده]]</f>
        <v>200000</v>
      </c>
      <c r="I92" s="141">
        <f>Summary[[#This Row],[خرید]]-Summary[[#This Row],[فروش]]</f>
        <v>0</v>
      </c>
      <c r="J92" s="141">
        <f>Summary[[#This Row],[موجودی]]*Summary[[#This Row],[قیمت تمام شده]]</f>
        <v>0</v>
      </c>
      <c r="K92" s="152" t="str">
        <f>IF(B92="", "", _xlfn.XLOOKUP(B92, T[کالا], T[نحوه تسویه], ""))</f>
        <v>حساب 5802</v>
      </c>
      <c r="L92" s="152" t="str">
        <f>IF(B92="", "", _xlfn.XLOOKUP(B92, T[کالا], T[شماره فاکتور], ""))</f>
        <v>ب 312</v>
      </c>
      <c r="M92" s="152" t="str">
        <f>IF(B92="", "", _xlfn.XLOOKUP(Summary[[#This Row],[فاکتور]], T[شماره فاکتور], T[فروشنده / مشتری], "نامشخص"))</f>
        <v>بازار</v>
      </c>
      <c r="N92" s="141">
        <f>Summary[[#This Row],[ارزش فروش]] - (Summary[[#This Row],[قیمت تمام شده]]*Summary[[#This Row],[فروش]])</f>
        <v>250000</v>
      </c>
      <c r="O92" s="365">
        <f>IFERROR(Summary[[#This Row],[سود]]/Summary[[#This Row],[ارزش کالای فروخته شده]], "")</f>
        <v>1.25</v>
      </c>
    </row>
    <row r="93" spans="2:15" x14ac:dyDescent="0.8">
      <c r="B93" s="191" t="str">
        <v>تیشرت تک زنجیر</v>
      </c>
      <c r="C93" s="141">
        <f>SUMIFS(T[تعداد], T[کالا], B93, T[نوع عملیات], "خرید")</f>
        <v>5</v>
      </c>
      <c r="D93" s="141">
        <f t="shared" si="2"/>
        <v>166000</v>
      </c>
      <c r="E93" s="141">
        <f>SUMIFS(T[قیمت کل], T[کالا], B93, T[نوع عملیات], "خرید")</f>
        <v>830000</v>
      </c>
      <c r="F93" s="141">
        <f>SUMIFS(T[تعداد], T[کالا], B93, T[نوع عملیات], "فروش") + SUMIFS(T[تعداد], T[کالا], B93, T[نوع عملیات], "استفاده خودم")</f>
        <v>3</v>
      </c>
      <c r="G93" s="141">
        <f>SUMIFS(T[قیمت کل], T[کالا], B93, T[نوع عملیات], "فروش")</f>
        <v>1300000</v>
      </c>
      <c r="H93" s="141">
        <f>Summary[[#This Row],[فروش]]*Summary[[#This Row],[قیمت تمام شده]]</f>
        <v>498000</v>
      </c>
      <c r="I93" s="141">
        <f>Summary[[#This Row],[خرید]]-Summary[[#This Row],[فروش]]</f>
        <v>2</v>
      </c>
      <c r="J93" s="141">
        <f>Summary[[#This Row],[موجودی]]*Summary[[#This Row],[قیمت تمام شده]]</f>
        <v>332000</v>
      </c>
      <c r="K93" s="152" t="str">
        <f>IF(B93="", "", _xlfn.XLOOKUP(B93, T[کالا], T[نحوه تسویه], ""))</f>
        <v>حساب 5802</v>
      </c>
      <c r="L93" s="152" t="str">
        <f>IF(B93="", "", _xlfn.XLOOKUP(B93, T[کالا], T[شماره فاکتور], ""))</f>
        <v>ب 312</v>
      </c>
      <c r="M93" s="152" t="str">
        <f>IF(B93="", "", _xlfn.XLOOKUP(Summary[[#This Row],[فاکتور]], T[شماره فاکتور], T[فروشنده / مشتری], "نامشخص"))</f>
        <v>بازار</v>
      </c>
      <c r="N93" s="141">
        <f>Summary[[#This Row],[ارزش فروش]] - (Summary[[#This Row],[قیمت تمام شده]]*Summary[[#This Row],[فروش]])</f>
        <v>802000</v>
      </c>
      <c r="O93" s="365">
        <f>IFERROR(Summary[[#This Row],[سود]]/Summary[[#This Row],[ارزش کالای فروخته شده]], "")</f>
        <v>1.6104417670682731</v>
      </c>
    </row>
    <row r="94" spans="2:15" x14ac:dyDescent="0.8">
      <c r="B94" s="152" t="str">
        <v>تاپ پولکی مشکی</v>
      </c>
      <c r="C94" s="141">
        <f>SUMIFS(T[تعداد], T[کالا], B94, T[نوع عملیات], "خرید")</f>
        <v>1</v>
      </c>
      <c r="D94" s="141">
        <f t="shared" si="2"/>
        <v>300000</v>
      </c>
      <c r="E94" s="141">
        <f>SUMIFS(T[قیمت کل], T[کالا], B94, T[نوع عملیات], "خرید")</f>
        <v>300000</v>
      </c>
      <c r="F94" s="141">
        <f>SUMIFS(T[تعداد], T[کالا], B94, T[نوع عملیات], "فروش") + SUMIFS(T[تعداد], T[کالا], B94, T[نوع عملیات], "استفاده خودم")</f>
        <v>0</v>
      </c>
      <c r="G94" s="141">
        <f>SUMIFS(T[قیمت کل], T[کالا], B94, T[نوع عملیات], "فروش")</f>
        <v>0</v>
      </c>
      <c r="H94" s="141">
        <f>Summary[[#This Row],[فروش]]*Summary[[#This Row],[قیمت تمام شده]]</f>
        <v>0</v>
      </c>
      <c r="I94" s="141">
        <f>Summary[[#This Row],[خرید]]-Summary[[#This Row],[فروش]]</f>
        <v>1</v>
      </c>
      <c r="J94" s="141">
        <f>Summary[[#This Row],[موجودی]]*Summary[[#This Row],[قیمت تمام شده]]</f>
        <v>300000</v>
      </c>
      <c r="K94" s="152" t="str">
        <f>IF(B94="", "", _xlfn.XLOOKUP(B94, T[کالا], T[نحوه تسویه], ""))</f>
        <v>حساب 5802</v>
      </c>
      <c r="L94" s="152" t="str">
        <f>IF(B94="", "", _xlfn.XLOOKUP(B94, T[کالا], T[شماره فاکتور], ""))</f>
        <v>ب 312</v>
      </c>
      <c r="M94" s="152" t="str">
        <f>IF(B94="", "", _xlfn.XLOOKUP(Summary[[#This Row],[فاکتور]], T[شماره فاکتور], T[فروشنده / مشتری], "نامشخص"))</f>
        <v>بازار</v>
      </c>
      <c r="N94" s="141">
        <f>Summary[[#This Row],[ارزش فروش]] - (Summary[[#This Row],[قیمت تمام شده]]*Summary[[#This Row],[فروش]])</f>
        <v>0</v>
      </c>
      <c r="O94" s="365" t="str">
        <f>IFERROR(Summary[[#This Row],[سود]]/Summary[[#This Row],[ارزش کالای فروخته شده]], "")</f>
        <v/>
      </c>
    </row>
    <row r="95" spans="2:15" x14ac:dyDescent="0.8">
      <c r="B95" s="191" t="str">
        <v>بلوز نخی سنتی بازار</v>
      </c>
      <c r="C95" s="141">
        <f>SUMIFS(T[تعداد], T[کالا], B95, T[نوع عملیات], "خرید")</f>
        <v>2</v>
      </c>
      <c r="D95" s="141">
        <f t="shared" si="2"/>
        <v>199000</v>
      </c>
      <c r="E95" s="141">
        <f>SUMIFS(T[قیمت کل], T[کالا], B95, T[نوع عملیات], "خرید")</f>
        <v>398000</v>
      </c>
      <c r="F95" s="141">
        <f>SUMIFS(T[تعداد], T[کالا], B95, T[نوع عملیات], "فروش") + SUMIFS(T[تعداد], T[کالا], B95, T[نوع عملیات], "استفاده خودم")</f>
        <v>2</v>
      </c>
      <c r="G95" s="141">
        <f>SUMIFS(T[قیمت کل], T[کالا], B95, T[نوع عملیات], "فروش")</f>
        <v>400000</v>
      </c>
      <c r="H95" s="141">
        <f>Summary[[#This Row],[فروش]]*Summary[[#This Row],[قیمت تمام شده]]</f>
        <v>398000</v>
      </c>
      <c r="I95" s="141">
        <f>Summary[[#This Row],[خرید]]-Summary[[#This Row],[فروش]]</f>
        <v>0</v>
      </c>
      <c r="J95" s="141">
        <f>Summary[[#This Row],[موجودی]]*Summary[[#This Row],[قیمت تمام شده]]</f>
        <v>0</v>
      </c>
      <c r="K95" s="152" t="str">
        <f>IF(B95="", "", _xlfn.XLOOKUP(B95, T[کالا], T[نحوه تسویه], ""))</f>
        <v>حساب 5802</v>
      </c>
      <c r="L95" s="152" t="str">
        <f>IF(B95="", "", _xlfn.XLOOKUP(B95, T[کالا], T[شماره فاکتور], ""))</f>
        <v>ب 312</v>
      </c>
      <c r="M95" s="152" t="str">
        <f>IF(B95="", "", _xlfn.XLOOKUP(Summary[[#This Row],[فاکتور]], T[شماره فاکتور], T[فروشنده / مشتری], "نامشخص"))</f>
        <v>بازار</v>
      </c>
      <c r="N95" s="141">
        <f>Summary[[#This Row],[ارزش فروش]] - (Summary[[#This Row],[قیمت تمام شده]]*Summary[[#This Row],[فروش]])</f>
        <v>2000</v>
      </c>
      <c r="O95" s="365">
        <f>IFERROR(Summary[[#This Row],[سود]]/Summary[[#This Row],[ارزش کالای فروخته شده]], "")</f>
        <v>5.0251256281407036E-3</v>
      </c>
    </row>
    <row r="96" spans="2:15" x14ac:dyDescent="0.8">
      <c r="B96" s="152" t="str">
        <v>دامن کرم کمردار</v>
      </c>
      <c r="C96" s="141">
        <f>SUMIFS(T[تعداد], T[کالا], B96, T[نوع عملیات], "خرید")</f>
        <v>1</v>
      </c>
      <c r="D96" s="141">
        <f t="shared" si="2"/>
        <v>0</v>
      </c>
      <c r="E96" s="141">
        <f>SUMIFS(T[قیمت کل], T[کالا], B96, T[نوع عملیات], "خرید")</f>
        <v>0</v>
      </c>
      <c r="F96" s="141">
        <f>SUMIFS(T[تعداد], T[کالا], B96, T[نوع عملیات], "فروش") + SUMIFS(T[تعداد], T[کالا], B96, T[نوع عملیات], "استفاده خودم")</f>
        <v>0</v>
      </c>
      <c r="G96" s="141">
        <f>SUMIFS(T[قیمت کل], T[کالا], B96, T[نوع عملیات], "فروش")</f>
        <v>0</v>
      </c>
      <c r="H96" s="141">
        <f>Summary[[#This Row],[فروش]]*Summary[[#This Row],[قیمت تمام شده]]</f>
        <v>0</v>
      </c>
      <c r="I96" s="141">
        <f>Summary[[#This Row],[خرید]]-Summary[[#This Row],[فروش]]</f>
        <v>1</v>
      </c>
      <c r="J96" s="141">
        <f>Summary[[#This Row],[موجودی]]*Summary[[#This Row],[قیمت تمام شده]]</f>
        <v>0</v>
      </c>
      <c r="K96" s="152">
        <f>IF(B96="", "", _xlfn.XLOOKUP(B96, T[کالا], T[نحوه تسویه], ""))</f>
        <v>0</v>
      </c>
      <c r="L96" s="152" t="str">
        <f>IF(B96="", "", _xlfn.XLOOKUP(B96, T[کالا], T[شماره فاکتور], ""))</f>
        <v>خودم</v>
      </c>
      <c r="M96" s="152" t="str">
        <f>IF(B96="", "", _xlfn.XLOOKUP(Summary[[#This Row],[فاکتور]], T[شماره فاکتور], T[فروشنده / مشتری], "نامشخص"))</f>
        <v>خودم</v>
      </c>
      <c r="N96" s="141">
        <f>Summary[[#This Row],[ارزش فروش]] - (Summary[[#This Row],[قیمت تمام شده]]*Summary[[#This Row],[فروش]])</f>
        <v>0</v>
      </c>
      <c r="O96" s="365" t="str">
        <f>IFERROR(Summary[[#This Row],[سود]]/Summary[[#This Row],[ارزش کالای فروخته شده]], "")</f>
        <v/>
      </c>
    </row>
    <row r="97" spans="2:15" x14ac:dyDescent="0.8">
      <c r="B97" s="191" t="str">
        <v>کت نقره ای زارا</v>
      </c>
      <c r="C97" s="141">
        <f>SUMIFS(T[تعداد], T[کالا], B97, T[نوع عملیات], "خرید")</f>
        <v>1</v>
      </c>
      <c r="D97" s="141">
        <f t="shared" si="2"/>
        <v>0</v>
      </c>
      <c r="E97" s="141">
        <f>SUMIFS(T[قیمت کل], T[کالا], B97, T[نوع عملیات], "خرید")</f>
        <v>0</v>
      </c>
      <c r="F97" s="141">
        <f>SUMIFS(T[تعداد], T[کالا], B97, T[نوع عملیات], "فروش") + SUMIFS(T[تعداد], T[کالا], B97, T[نوع عملیات], "استفاده خودم")</f>
        <v>0</v>
      </c>
      <c r="G97" s="141">
        <f>SUMIFS(T[قیمت کل], T[کالا], B97, T[نوع عملیات], "فروش")</f>
        <v>0</v>
      </c>
      <c r="H97" s="141">
        <f>Summary[[#This Row],[فروش]]*Summary[[#This Row],[قیمت تمام شده]]</f>
        <v>0</v>
      </c>
      <c r="I97" s="141">
        <f>Summary[[#This Row],[خرید]]-Summary[[#This Row],[فروش]]</f>
        <v>1</v>
      </c>
      <c r="J97" s="141">
        <f>Summary[[#This Row],[موجودی]]*Summary[[#This Row],[قیمت تمام شده]]</f>
        <v>0</v>
      </c>
      <c r="K97" s="152">
        <f>IF(B97="", "", _xlfn.XLOOKUP(B97, T[کالا], T[نحوه تسویه], ""))</f>
        <v>0</v>
      </c>
      <c r="L97" s="152" t="str">
        <f>IF(B97="", "", _xlfn.XLOOKUP(B97, T[کالا], T[شماره فاکتور], ""))</f>
        <v>خودم</v>
      </c>
      <c r="M97" s="152" t="str">
        <f>IF(B97="", "", _xlfn.XLOOKUP(Summary[[#This Row],[فاکتور]], T[شماره فاکتور], T[فروشنده / مشتری], "نامشخص"))</f>
        <v>خودم</v>
      </c>
      <c r="N97" s="141">
        <f>Summary[[#This Row],[ارزش فروش]] - (Summary[[#This Row],[قیمت تمام شده]]*Summary[[#This Row],[فروش]])</f>
        <v>0</v>
      </c>
      <c r="O97" s="365" t="str">
        <f>IFERROR(Summary[[#This Row],[سود]]/Summary[[#This Row],[ارزش کالای فروخته شده]], "")</f>
        <v/>
      </c>
    </row>
    <row r="98" spans="2:15" x14ac:dyDescent="0.8">
      <c r="B98" s="152" t="str">
        <v>رویه مشکی طلائی</v>
      </c>
      <c r="C98" s="141">
        <f>SUMIFS(T[تعداد], T[کالا], B98, T[نوع عملیات], "خرید")</f>
        <v>1</v>
      </c>
      <c r="D98" s="141">
        <f t="shared" si="2"/>
        <v>0</v>
      </c>
      <c r="E98" s="141">
        <f>SUMIFS(T[قیمت کل], T[کالا], B98, T[نوع عملیات], "خرید")</f>
        <v>0</v>
      </c>
      <c r="F98" s="141">
        <f>SUMIFS(T[تعداد], T[کالا], B98, T[نوع عملیات], "فروش") + SUMIFS(T[تعداد], T[کالا], B98, T[نوع عملیات], "استفاده خودم")</f>
        <v>1</v>
      </c>
      <c r="G98" s="141">
        <f>SUMIFS(T[قیمت کل], T[کالا], B98, T[نوع عملیات], "فروش")</f>
        <v>500000</v>
      </c>
      <c r="H98" s="141">
        <f>Summary[[#This Row],[فروش]]*Summary[[#This Row],[قیمت تمام شده]]</f>
        <v>0</v>
      </c>
      <c r="I98" s="141">
        <f>Summary[[#This Row],[خرید]]-Summary[[#This Row],[فروش]]</f>
        <v>0</v>
      </c>
      <c r="J98" s="141">
        <f>Summary[[#This Row],[موجودی]]*Summary[[#This Row],[قیمت تمام شده]]</f>
        <v>0</v>
      </c>
      <c r="K98" s="152">
        <f>IF(B98="", "", _xlfn.XLOOKUP(B98, T[کالا], T[نحوه تسویه], ""))</f>
        <v>0</v>
      </c>
      <c r="L98" s="152" t="str">
        <f>IF(B98="", "", _xlfn.XLOOKUP(B98, T[کالا], T[شماره فاکتور], ""))</f>
        <v>خودم</v>
      </c>
      <c r="M98" s="152" t="str">
        <f>IF(B98="", "", _xlfn.XLOOKUP(Summary[[#This Row],[فاکتور]], T[شماره فاکتور], T[فروشنده / مشتری], "نامشخص"))</f>
        <v>خودم</v>
      </c>
      <c r="N98" s="141">
        <f>Summary[[#This Row],[ارزش فروش]] - (Summary[[#This Row],[قیمت تمام شده]]*Summary[[#This Row],[فروش]])</f>
        <v>500000</v>
      </c>
      <c r="O98" s="365" t="str">
        <f>IFERROR(Summary[[#This Row],[سود]]/Summary[[#This Row],[ارزش کالای فروخته شده]], "")</f>
        <v/>
      </c>
    </row>
    <row r="99" spans="2:15" x14ac:dyDescent="0.8">
      <c r="B99" s="191" t="str">
        <v>دامن پلنگی کوتاه</v>
      </c>
      <c r="C99" s="141">
        <f>SUMIFS(T[تعداد], T[کالا], B99, T[نوع عملیات], "خرید")</f>
        <v>1</v>
      </c>
      <c r="D99" s="141">
        <f t="shared" ref="D99:D130" si="3">IFERROR(E99/C99, 0)</f>
        <v>0</v>
      </c>
      <c r="E99" s="141">
        <f>SUMIFS(T[قیمت کل], T[کالا], B99, T[نوع عملیات], "خرید")</f>
        <v>0</v>
      </c>
      <c r="F99" s="141">
        <f>SUMIFS(T[تعداد], T[کالا], B99, T[نوع عملیات], "فروش") + SUMIFS(T[تعداد], T[کالا], B99, T[نوع عملیات], "استفاده خودم")</f>
        <v>1</v>
      </c>
      <c r="G99" s="141">
        <f>SUMIFS(T[قیمت کل], T[کالا], B99, T[نوع عملیات], "فروش")</f>
        <v>1300000</v>
      </c>
      <c r="H99" s="141">
        <f>Summary[[#This Row],[فروش]]*Summary[[#This Row],[قیمت تمام شده]]</f>
        <v>0</v>
      </c>
      <c r="I99" s="141">
        <f>Summary[[#This Row],[خرید]]-Summary[[#This Row],[فروش]]</f>
        <v>0</v>
      </c>
      <c r="J99" s="141">
        <f>Summary[[#This Row],[موجودی]]*Summary[[#This Row],[قیمت تمام شده]]</f>
        <v>0</v>
      </c>
      <c r="K99" s="152">
        <f>IF(B99="", "", _xlfn.XLOOKUP(B99, T[کالا], T[نحوه تسویه], ""))</f>
        <v>0</v>
      </c>
      <c r="L99" s="152" t="str">
        <f>IF(B99="", "", _xlfn.XLOOKUP(B99, T[کالا], T[شماره فاکتور], ""))</f>
        <v>خودم</v>
      </c>
      <c r="M99" s="152" t="str">
        <f>IF(B99="", "", _xlfn.XLOOKUP(Summary[[#This Row],[فاکتور]], T[شماره فاکتور], T[فروشنده / مشتری], "نامشخص"))</f>
        <v>خودم</v>
      </c>
      <c r="N99" s="141">
        <f>Summary[[#This Row],[ارزش فروش]] - (Summary[[#This Row],[قیمت تمام شده]]*Summary[[#This Row],[فروش]])</f>
        <v>1300000</v>
      </c>
      <c r="O99" s="365" t="str">
        <f>IFERROR(Summary[[#This Row],[سود]]/Summary[[#This Row],[ارزش کالای فروخته شده]], "")</f>
        <v/>
      </c>
    </row>
    <row r="100" spans="2:15" x14ac:dyDescent="0.8">
      <c r="B100" s="152" t="str">
        <v>دامن شلوار مشکی کوتاه</v>
      </c>
      <c r="C100" s="141">
        <f>SUMIFS(T[تعداد], T[کالا], B100, T[نوع عملیات], "خرید")</f>
        <v>1</v>
      </c>
      <c r="D100" s="141">
        <f t="shared" si="3"/>
        <v>0</v>
      </c>
      <c r="E100" s="141">
        <f>SUMIFS(T[قیمت کل], T[کالا], B100, T[نوع عملیات], "خرید")</f>
        <v>0</v>
      </c>
      <c r="F100" s="141">
        <f>SUMIFS(T[تعداد], T[کالا], B100, T[نوع عملیات], "فروش") + SUMIFS(T[تعداد], T[کالا], B100, T[نوع عملیات], "استفاده خودم")</f>
        <v>0</v>
      </c>
      <c r="G100" s="141">
        <f>SUMIFS(T[قیمت کل], T[کالا], B100, T[نوع عملیات], "فروش")</f>
        <v>0</v>
      </c>
      <c r="H100" s="141">
        <f>Summary[[#This Row],[فروش]]*Summary[[#This Row],[قیمت تمام شده]]</f>
        <v>0</v>
      </c>
      <c r="I100" s="141">
        <f>Summary[[#This Row],[خرید]]-Summary[[#This Row],[فروش]]</f>
        <v>1</v>
      </c>
      <c r="J100" s="141">
        <f>Summary[[#This Row],[موجودی]]*Summary[[#This Row],[قیمت تمام شده]]</f>
        <v>0</v>
      </c>
      <c r="K100" s="152">
        <f>IF(B100="", "", _xlfn.XLOOKUP(B100, T[کالا], T[نحوه تسویه], ""))</f>
        <v>0</v>
      </c>
      <c r="L100" s="152" t="str">
        <f>IF(B100="", "", _xlfn.XLOOKUP(B100, T[کالا], T[شماره فاکتور], ""))</f>
        <v>خودم</v>
      </c>
      <c r="M100" s="152" t="str">
        <f>IF(B100="", "", _xlfn.XLOOKUP(Summary[[#This Row],[فاکتور]], T[شماره فاکتور], T[فروشنده / مشتری], "نامشخص"))</f>
        <v>خودم</v>
      </c>
      <c r="N100" s="141">
        <f>Summary[[#This Row],[ارزش فروش]] - (Summary[[#This Row],[قیمت تمام شده]]*Summary[[#This Row],[فروش]])</f>
        <v>0</v>
      </c>
      <c r="O100" s="365" t="str">
        <f>IFERROR(Summary[[#This Row],[سود]]/Summary[[#This Row],[ارزش کالای فروخته شده]], "")</f>
        <v/>
      </c>
    </row>
    <row r="101" spans="2:15" x14ac:dyDescent="0.8">
      <c r="B101" s="191" t="str">
        <v>شلوارک ترک پارچه ای</v>
      </c>
      <c r="C101" s="141">
        <f>SUMIFS(T[تعداد], T[کالا], B101, T[نوع عملیات], "خرید")</f>
        <v>1</v>
      </c>
      <c r="D101" s="141">
        <f t="shared" si="3"/>
        <v>0</v>
      </c>
      <c r="E101" s="141">
        <f>SUMIFS(T[قیمت کل], T[کالا], B101, T[نوع عملیات], "خرید")</f>
        <v>0</v>
      </c>
      <c r="F101" s="141">
        <f>SUMIFS(T[تعداد], T[کالا], B101, T[نوع عملیات], "فروش") + SUMIFS(T[تعداد], T[کالا], B101, T[نوع عملیات], "استفاده خودم")</f>
        <v>0</v>
      </c>
      <c r="G101" s="141">
        <f>SUMIFS(T[قیمت کل], T[کالا], B101, T[نوع عملیات], "فروش")</f>
        <v>0</v>
      </c>
      <c r="H101" s="141">
        <f>Summary[[#This Row],[فروش]]*Summary[[#This Row],[قیمت تمام شده]]</f>
        <v>0</v>
      </c>
      <c r="I101" s="141">
        <f>Summary[[#This Row],[خرید]]-Summary[[#This Row],[فروش]]</f>
        <v>1</v>
      </c>
      <c r="J101" s="141">
        <f>Summary[[#This Row],[موجودی]]*Summary[[#This Row],[قیمت تمام شده]]</f>
        <v>0</v>
      </c>
      <c r="K101" s="152">
        <f>IF(B101="", "", _xlfn.XLOOKUP(B101, T[کالا], T[نحوه تسویه], ""))</f>
        <v>0</v>
      </c>
      <c r="L101" s="152" t="str">
        <f>IF(B101="", "", _xlfn.XLOOKUP(B101, T[کالا], T[شماره فاکتور], ""))</f>
        <v>خودم</v>
      </c>
      <c r="M101" s="152" t="str">
        <f>IF(B101="", "", _xlfn.XLOOKUP(Summary[[#This Row],[فاکتور]], T[شماره فاکتور], T[فروشنده / مشتری], "نامشخص"))</f>
        <v>خودم</v>
      </c>
      <c r="N101" s="141">
        <f>Summary[[#This Row],[ارزش فروش]] - (Summary[[#This Row],[قیمت تمام شده]]*Summary[[#This Row],[فروش]])</f>
        <v>0</v>
      </c>
      <c r="O101" s="365" t="str">
        <f>IFERROR(Summary[[#This Row],[سود]]/Summary[[#This Row],[ارزش کالای فروخته شده]], "")</f>
        <v/>
      </c>
    </row>
    <row r="102" spans="2:15" x14ac:dyDescent="0.8">
      <c r="B102" s="152" t="str">
        <v>شلوار جین طوسی زاب دار</v>
      </c>
      <c r="C102" s="141">
        <f>SUMIFS(T[تعداد], T[کالا], B102, T[نوع عملیات], "خرید")</f>
        <v>1</v>
      </c>
      <c r="D102" s="141">
        <f t="shared" si="3"/>
        <v>0</v>
      </c>
      <c r="E102" s="141">
        <f>SUMIFS(T[قیمت کل], T[کالا], B102, T[نوع عملیات], "خرید")</f>
        <v>0</v>
      </c>
      <c r="F102" s="141">
        <f>SUMIFS(T[تعداد], T[کالا], B102, T[نوع عملیات], "فروش") + SUMIFS(T[تعداد], T[کالا], B102, T[نوع عملیات], "استفاده خودم")</f>
        <v>0</v>
      </c>
      <c r="G102" s="141">
        <f>SUMIFS(T[قیمت کل], T[کالا], B102, T[نوع عملیات], "فروش")</f>
        <v>0</v>
      </c>
      <c r="H102" s="141">
        <f>Summary[[#This Row],[فروش]]*Summary[[#This Row],[قیمت تمام شده]]</f>
        <v>0</v>
      </c>
      <c r="I102" s="141">
        <f>Summary[[#This Row],[خرید]]-Summary[[#This Row],[فروش]]</f>
        <v>1</v>
      </c>
      <c r="J102" s="141">
        <f>Summary[[#This Row],[موجودی]]*Summary[[#This Row],[قیمت تمام شده]]</f>
        <v>0</v>
      </c>
      <c r="K102" s="152">
        <f>IF(B102="", "", _xlfn.XLOOKUP(B102, T[کالا], T[نحوه تسویه], ""))</f>
        <v>0</v>
      </c>
      <c r="L102" s="152" t="str">
        <f>IF(B102="", "", _xlfn.XLOOKUP(B102, T[کالا], T[شماره فاکتور], ""))</f>
        <v>خودم</v>
      </c>
      <c r="M102" s="152" t="str">
        <f>IF(B102="", "", _xlfn.XLOOKUP(Summary[[#This Row],[فاکتور]], T[شماره فاکتور], T[فروشنده / مشتری], "نامشخص"))</f>
        <v>خودم</v>
      </c>
      <c r="N102" s="141">
        <f>Summary[[#This Row],[ارزش فروش]] - (Summary[[#This Row],[قیمت تمام شده]]*Summary[[#This Row],[فروش]])</f>
        <v>0</v>
      </c>
      <c r="O102" s="365" t="str">
        <f>IFERROR(Summary[[#This Row],[سود]]/Summary[[#This Row],[ارزش کالای فروخته شده]], "")</f>
        <v/>
      </c>
    </row>
    <row r="103" spans="2:15" x14ac:dyDescent="0.8">
      <c r="B103" s="191" t="str">
        <v>کفش اسپرت مشکی</v>
      </c>
      <c r="C103" s="141">
        <f>SUMIFS(T[تعداد], T[کالا], B103, T[نوع عملیات], "خرید")</f>
        <v>1</v>
      </c>
      <c r="D103" s="141">
        <f t="shared" si="3"/>
        <v>0</v>
      </c>
      <c r="E103" s="141">
        <f>SUMIFS(T[قیمت کل], T[کالا], B103, T[نوع عملیات], "خرید")</f>
        <v>0</v>
      </c>
      <c r="F103" s="141">
        <f>SUMIFS(T[تعداد], T[کالا], B103, T[نوع عملیات], "فروش") + SUMIFS(T[تعداد], T[کالا], B103, T[نوع عملیات], "استفاده خودم")</f>
        <v>0</v>
      </c>
      <c r="G103" s="141">
        <f>SUMIFS(T[قیمت کل], T[کالا], B103, T[نوع عملیات], "فروش")</f>
        <v>0</v>
      </c>
      <c r="H103" s="141">
        <f>Summary[[#This Row],[فروش]]*Summary[[#This Row],[قیمت تمام شده]]</f>
        <v>0</v>
      </c>
      <c r="I103" s="141">
        <f>Summary[[#This Row],[خرید]]-Summary[[#This Row],[فروش]]</f>
        <v>1</v>
      </c>
      <c r="J103" s="141">
        <f>Summary[[#This Row],[موجودی]]*Summary[[#This Row],[قیمت تمام شده]]</f>
        <v>0</v>
      </c>
      <c r="K103" s="152">
        <f>IF(B103="", "", _xlfn.XLOOKUP(B103, T[کالا], T[نحوه تسویه], ""))</f>
        <v>0</v>
      </c>
      <c r="L103" s="152" t="str">
        <f>IF(B103="", "", _xlfn.XLOOKUP(B103, T[کالا], T[شماره فاکتور], ""))</f>
        <v>خودم</v>
      </c>
      <c r="M103" s="152" t="str">
        <f>IF(B103="", "", _xlfn.XLOOKUP(Summary[[#This Row],[فاکتور]], T[شماره فاکتور], T[فروشنده / مشتری], "نامشخص"))</f>
        <v>خودم</v>
      </c>
      <c r="N103" s="141">
        <f>Summary[[#This Row],[ارزش فروش]] - (Summary[[#This Row],[قیمت تمام شده]]*Summary[[#This Row],[فروش]])</f>
        <v>0</v>
      </c>
      <c r="O103" s="365" t="str">
        <f>IFERROR(Summary[[#This Row],[سود]]/Summary[[#This Row],[ارزش کالای فروخته شده]], "")</f>
        <v/>
      </c>
    </row>
    <row r="104" spans="2:15" x14ac:dyDescent="0.8">
      <c r="B104" s="152" t="str">
        <v>بادی آستین کوتاه خط سفید</v>
      </c>
      <c r="C104" s="141">
        <f>SUMIFS(T[تعداد], T[کالا], B104, T[نوع عملیات], "خرید")</f>
        <v>1</v>
      </c>
      <c r="D104" s="141">
        <f t="shared" si="3"/>
        <v>0</v>
      </c>
      <c r="E104" s="141">
        <f>SUMIFS(T[قیمت کل], T[کالا], B104, T[نوع عملیات], "خرید")</f>
        <v>0</v>
      </c>
      <c r="F104" s="141">
        <f>SUMIFS(T[تعداد], T[کالا], B104, T[نوع عملیات], "فروش") + SUMIFS(T[تعداد], T[کالا], B104, T[نوع عملیات], "استفاده خودم")</f>
        <v>1</v>
      </c>
      <c r="G104" s="141">
        <f>SUMIFS(T[قیمت کل], T[کالا], B104, T[نوع عملیات], "فروش")</f>
        <v>350000</v>
      </c>
      <c r="H104" s="141">
        <f>Summary[[#This Row],[فروش]]*Summary[[#This Row],[قیمت تمام شده]]</f>
        <v>0</v>
      </c>
      <c r="I104" s="141">
        <f>Summary[[#This Row],[خرید]]-Summary[[#This Row],[فروش]]</f>
        <v>0</v>
      </c>
      <c r="J104" s="141">
        <f>Summary[[#This Row],[موجودی]]*Summary[[#This Row],[قیمت تمام شده]]</f>
        <v>0</v>
      </c>
      <c r="K104" s="152">
        <f>IF(B104="", "", _xlfn.XLOOKUP(B104, T[کالا], T[نحوه تسویه], ""))</f>
        <v>0</v>
      </c>
      <c r="L104" s="152" t="str">
        <f>IF(B104="", "", _xlfn.XLOOKUP(B104, T[کالا], T[شماره فاکتور], ""))</f>
        <v>خودم</v>
      </c>
      <c r="M104" s="152" t="str">
        <f>IF(B104="", "", _xlfn.XLOOKUP(Summary[[#This Row],[فاکتور]], T[شماره فاکتور], T[فروشنده / مشتری], "نامشخص"))</f>
        <v>خودم</v>
      </c>
      <c r="N104" s="141">
        <f>Summary[[#This Row],[ارزش فروش]] - (Summary[[#This Row],[قیمت تمام شده]]*Summary[[#This Row],[فروش]])</f>
        <v>350000</v>
      </c>
      <c r="O104" s="365" t="str">
        <f>IFERROR(Summary[[#This Row],[سود]]/Summary[[#This Row],[ارزش کالای فروخته شده]], "")</f>
        <v/>
      </c>
    </row>
    <row r="105" spans="2:15" x14ac:dyDescent="0.8">
      <c r="B105" s="191" t="str">
        <v>دامن کوتاه مشکی خودم</v>
      </c>
      <c r="C105" s="141">
        <f>SUMIFS(T[تعداد], T[کالا], B105, T[نوع عملیات], "خرید")</f>
        <v>1</v>
      </c>
      <c r="D105" s="141">
        <f t="shared" si="3"/>
        <v>0</v>
      </c>
      <c r="E105" s="141">
        <f>SUMIFS(T[قیمت کل], T[کالا], B105, T[نوع عملیات], "خرید")</f>
        <v>0</v>
      </c>
      <c r="F105" s="141">
        <f>SUMIFS(T[تعداد], T[کالا], B105, T[نوع عملیات], "فروش") + SUMIFS(T[تعداد], T[کالا], B105, T[نوع عملیات], "استفاده خودم")</f>
        <v>1</v>
      </c>
      <c r="G105" s="141">
        <f>SUMIFS(T[قیمت کل], T[کالا], B105, T[نوع عملیات], "فروش")</f>
        <v>1100000</v>
      </c>
      <c r="H105" s="141">
        <f>Summary[[#This Row],[فروش]]*Summary[[#This Row],[قیمت تمام شده]]</f>
        <v>0</v>
      </c>
      <c r="I105" s="141">
        <f>Summary[[#This Row],[خرید]]-Summary[[#This Row],[فروش]]</f>
        <v>0</v>
      </c>
      <c r="J105" s="141">
        <f>Summary[[#This Row],[موجودی]]*Summary[[#This Row],[قیمت تمام شده]]</f>
        <v>0</v>
      </c>
      <c r="K105" s="152">
        <f>IF(B105="", "", _xlfn.XLOOKUP(B105, T[کالا], T[نحوه تسویه], ""))</f>
        <v>0</v>
      </c>
      <c r="L105" s="152" t="str">
        <f>IF(B105="", "", _xlfn.XLOOKUP(B105, T[کالا], T[شماره فاکتور], ""))</f>
        <v>خودم</v>
      </c>
      <c r="M105" s="152" t="str">
        <f>IF(B105="", "", _xlfn.XLOOKUP(Summary[[#This Row],[فاکتور]], T[شماره فاکتور], T[فروشنده / مشتری], "نامشخص"))</f>
        <v>خودم</v>
      </c>
      <c r="N105" s="141">
        <f>Summary[[#This Row],[ارزش فروش]] - (Summary[[#This Row],[قیمت تمام شده]]*Summary[[#This Row],[فروش]])</f>
        <v>1100000</v>
      </c>
      <c r="O105" s="365" t="str">
        <f>IFERROR(Summary[[#This Row],[سود]]/Summary[[#This Row],[ارزش کالای فروخته شده]], "")</f>
        <v/>
      </c>
    </row>
    <row r="106" spans="2:15" x14ac:dyDescent="0.8">
      <c r="B106" s="152" t="str">
        <v>دامن کرم ترک خودم</v>
      </c>
      <c r="C106" s="141">
        <f>SUMIFS(T[تعداد], T[کالا], B106, T[نوع عملیات], "خرید")</f>
        <v>1</v>
      </c>
      <c r="D106" s="141">
        <f t="shared" si="3"/>
        <v>0</v>
      </c>
      <c r="E106" s="141">
        <f>SUMIFS(T[قیمت کل], T[کالا], B106, T[نوع عملیات], "خرید")</f>
        <v>0</v>
      </c>
      <c r="F106" s="141">
        <f>SUMIFS(T[تعداد], T[کالا], B106, T[نوع عملیات], "فروش") + SUMIFS(T[تعداد], T[کالا], B106, T[نوع عملیات], "استفاده خودم")</f>
        <v>1</v>
      </c>
      <c r="G106" s="141">
        <f>SUMIFS(T[قیمت کل], T[کالا], B106, T[نوع عملیات], "فروش")</f>
        <v>800000</v>
      </c>
      <c r="H106" s="141">
        <f>Summary[[#This Row],[فروش]]*Summary[[#This Row],[قیمت تمام شده]]</f>
        <v>0</v>
      </c>
      <c r="I106" s="141">
        <f>Summary[[#This Row],[خرید]]-Summary[[#This Row],[فروش]]</f>
        <v>0</v>
      </c>
      <c r="J106" s="141">
        <f>Summary[[#This Row],[موجودی]]*Summary[[#This Row],[قیمت تمام شده]]</f>
        <v>0</v>
      </c>
      <c r="K106" s="152">
        <f>IF(B106="", "", _xlfn.XLOOKUP(B106, T[کالا], T[نحوه تسویه], ""))</f>
        <v>0</v>
      </c>
      <c r="L106" s="152" t="str">
        <f>IF(B106="", "", _xlfn.XLOOKUP(B106, T[کالا], T[شماره فاکتور], ""))</f>
        <v>خودم</v>
      </c>
      <c r="M106" s="152" t="str">
        <f>IF(B106="", "", _xlfn.XLOOKUP(Summary[[#This Row],[فاکتور]], T[شماره فاکتور], T[فروشنده / مشتری], "نامشخص"))</f>
        <v>خودم</v>
      </c>
      <c r="N106" s="141">
        <f>Summary[[#This Row],[ارزش فروش]] - (Summary[[#This Row],[قیمت تمام شده]]*Summary[[#This Row],[فروش]])</f>
        <v>800000</v>
      </c>
      <c r="O106" s="365" t="str">
        <f>IFERROR(Summary[[#This Row],[سود]]/Summary[[#This Row],[ارزش کالای فروخته شده]], "")</f>
        <v/>
      </c>
    </row>
    <row r="107" spans="2:15" x14ac:dyDescent="0.8">
      <c r="B107" s="191" t="str">
        <v>کت مانتو دیپلمات کرم سرمه ای طلایی</v>
      </c>
      <c r="C107" s="141">
        <f>SUMIFS(T[تعداد], T[کالا], B107, T[نوع عملیات], "خرید")</f>
        <v>2</v>
      </c>
      <c r="D107" s="141">
        <f t="shared" si="3"/>
        <v>350000</v>
      </c>
      <c r="E107" s="141">
        <f>SUMIFS(T[قیمت کل], T[کالا], B107, T[نوع عملیات], "خرید")</f>
        <v>700000</v>
      </c>
      <c r="F107" s="141">
        <f>SUMIFS(T[تعداد], T[کالا], B107, T[نوع عملیات], "فروش") + SUMIFS(T[تعداد], T[کالا], B107, T[نوع عملیات], "استفاده خودم")</f>
        <v>0</v>
      </c>
      <c r="G107" s="141">
        <f>SUMIFS(T[قیمت کل], T[کالا], B107, T[نوع عملیات], "فروش")</f>
        <v>0</v>
      </c>
      <c r="H107" s="141">
        <f>Summary[[#This Row],[فروش]]*Summary[[#This Row],[قیمت تمام شده]]</f>
        <v>0</v>
      </c>
      <c r="I107" s="141">
        <f>Summary[[#This Row],[خرید]]-Summary[[#This Row],[فروش]]</f>
        <v>2</v>
      </c>
      <c r="J107" s="141">
        <f>Summary[[#This Row],[موجودی]]*Summary[[#This Row],[قیمت تمام شده]]</f>
        <v>700000</v>
      </c>
      <c r="K107" s="152" t="str">
        <f>IF(B107="", "", _xlfn.XLOOKUP(B107, T[کالا], T[نحوه تسویه], ""))</f>
        <v>حساب 5802</v>
      </c>
      <c r="L107" s="152" t="str">
        <f>IF(B107="", "", _xlfn.XLOOKUP(B107, T[کالا], T[شماره فاکتور], ""))</f>
        <v>ب 312</v>
      </c>
      <c r="M107" s="152" t="str">
        <f>IF(B107="", "", _xlfn.XLOOKUP(Summary[[#This Row],[فاکتور]], T[شماره فاکتور], T[فروشنده / مشتری], "نامشخص"))</f>
        <v>بازار</v>
      </c>
      <c r="N107" s="141">
        <f>Summary[[#This Row],[ارزش فروش]] - (Summary[[#This Row],[قیمت تمام شده]]*Summary[[#This Row],[فروش]])</f>
        <v>0</v>
      </c>
      <c r="O107" s="365" t="str">
        <f>IFERROR(Summary[[#This Row],[سود]]/Summary[[#This Row],[ارزش کالای فروخته شده]], "")</f>
        <v/>
      </c>
    </row>
    <row r="108" spans="2:15" x14ac:dyDescent="0.8">
      <c r="B108" s="152" t="str">
        <v>مانتو تدی</v>
      </c>
      <c r="C108" s="141">
        <f>SUMIFS(T[تعداد], T[کالا], B108, T[نوع عملیات], "خرید")</f>
        <v>5</v>
      </c>
      <c r="D108" s="141">
        <f t="shared" si="3"/>
        <v>450000</v>
      </c>
      <c r="E108" s="141">
        <f>SUMIFS(T[قیمت کل], T[کالا], B108, T[نوع عملیات], "خرید")</f>
        <v>2250000</v>
      </c>
      <c r="F108" s="141">
        <f>SUMIFS(T[تعداد], T[کالا], B108, T[نوع عملیات], "فروش") + SUMIFS(T[تعداد], T[کالا], B108, T[نوع عملیات], "استفاده خودم")</f>
        <v>0</v>
      </c>
      <c r="G108" s="141">
        <f>SUMIFS(T[قیمت کل], T[کالا], B108, T[نوع عملیات], "فروش")</f>
        <v>0</v>
      </c>
      <c r="H108" s="141">
        <f>Summary[[#This Row],[فروش]]*Summary[[#This Row],[قیمت تمام شده]]</f>
        <v>0</v>
      </c>
      <c r="I108" s="141">
        <f>Summary[[#This Row],[خرید]]-Summary[[#This Row],[فروش]]</f>
        <v>5</v>
      </c>
      <c r="J108" s="141">
        <f>Summary[[#This Row],[موجودی]]*Summary[[#This Row],[قیمت تمام شده]]</f>
        <v>2250000</v>
      </c>
      <c r="K108" s="152" t="str">
        <f>IF(B108="", "", _xlfn.XLOOKUP(B108, T[کالا], T[نحوه تسویه], ""))</f>
        <v>حساب 5802</v>
      </c>
      <c r="L108" s="152" t="str">
        <f>IF(B108="", "", _xlfn.XLOOKUP(B108, T[کالا], T[شماره فاکتور], ""))</f>
        <v>ب 312</v>
      </c>
      <c r="M108" s="152" t="str">
        <f>IF(B108="", "", _xlfn.XLOOKUP(Summary[[#This Row],[فاکتور]], T[شماره فاکتور], T[فروشنده / مشتری], "نامشخص"))</f>
        <v>بازار</v>
      </c>
      <c r="N108" s="141">
        <f>Summary[[#This Row],[ارزش فروش]] - (Summary[[#This Row],[قیمت تمام شده]]*Summary[[#This Row],[فروش]])</f>
        <v>0</v>
      </c>
      <c r="O108" s="365" t="str">
        <f>IFERROR(Summary[[#This Row],[سود]]/Summary[[#This Row],[ارزش کالای فروخته شده]], "")</f>
        <v/>
      </c>
    </row>
    <row r="109" spans="2:15" x14ac:dyDescent="0.8">
      <c r="B109" s="191" t="str">
        <v>بادی های بازار</v>
      </c>
      <c r="C109" s="141">
        <f>SUMIFS(T[تعداد], T[کالا], B109, T[نوع عملیات], "خرید")</f>
        <v>8</v>
      </c>
      <c r="D109" s="141">
        <f t="shared" si="3"/>
        <v>147000</v>
      </c>
      <c r="E109" s="141">
        <f>SUMIFS(T[قیمت کل], T[کالا], B109, T[نوع عملیات], "خرید")</f>
        <v>1176000</v>
      </c>
      <c r="F109" s="141">
        <f>SUMIFS(T[تعداد], T[کالا], B109, T[نوع عملیات], "فروش") + SUMIFS(T[تعداد], T[کالا], B109, T[نوع عملیات], "استفاده خودم")</f>
        <v>1</v>
      </c>
      <c r="G109" s="141">
        <f>SUMIFS(T[قیمت کل], T[کالا], B109, T[نوع عملیات], "فروش")</f>
        <v>300000</v>
      </c>
      <c r="H109" s="141">
        <f>Summary[[#This Row],[فروش]]*Summary[[#This Row],[قیمت تمام شده]]</f>
        <v>147000</v>
      </c>
      <c r="I109" s="141">
        <f>Summary[[#This Row],[خرید]]-Summary[[#This Row],[فروش]]</f>
        <v>7</v>
      </c>
      <c r="J109" s="141">
        <f>Summary[[#This Row],[موجودی]]*Summary[[#This Row],[قیمت تمام شده]]</f>
        <v>1029000</v>
      </c>
      <c r="K109" s="152" t="str">
        <f>IF(B109="", "", _xlfn.XLOOKUP(B109, T[کالا], T[نحوه تسویه], ""))</f>
        <v>حساب 5802</v>
      </c>
      <c r="L109" s="152" t="str">
        <f>IF(B109="", "", _xlfn.XLOOKUP(B109, T[کالا], T[شماره فاکتور], ""))</f>
        <v>ب 312</v>
      </c>
      <c r="M109" s="152" t="str">
        <f>IF(B109="", "", _xlfn.XLOOKUP(Summary[[#This Row],[فاکتور]], T[شماره فاکتور], T[فروشنده / مشتری], "نامشخص"))</f>
        <v>بازار</v>
      </c>
      <c r="N109" s="141">
        <f>Summary[[#This Row],[ارزش فروش]] - (Summary[[#This Row],[قیمت تمام شده]]*Summary[[#This Row],[فروش]])</f>
        <v>153000</v>
      </c>
      <c r="O109" s="365">
        <f>IFERROR(Summary[[#This Row],[سود]]/Summary[[#This Row],[ارزش کالای فروخته شده]], "")</f>
        <v>1.0408163265306123</v>
      </c>
    </row>
    <row r="110" spans="2:15" x14ac:dyDescent="0.8">
      <c r="B110" s="152" t="str">
        <v>دامن ترک سرمه ای</v>
      </c>
      <c r="C110" s="141">
        <f>SUMIFS(T[تعداد], T[کالا], B110, T[نوع عملیات], "خرید")</f>
        <v>1</v>
      </c>
      <c r="D110" s="141">
        <f t="shared" si="3"/>
        <v>0</v>
      </c>
      <c r="E110" s="141">
        <f>SUMIFS(T[قیمت کل], T[کالا], B110, T[نوع عملیات], "خرید")</f>
        <v>0</v>
      </c>
      <c r="F110" s="141">
        <f>SUMIFS(T[تعداد], T[کالا], B110, T[نوع عملیات], "فروش") + SUMIFS(T[تعداد], T[کالا], B110, T[نوع عملیات], "استفاده خودم")</f>
        <v>0</v>
      </c>
      <c r="G110" s="141">
        <f>SUMIFS(T[قیمت کل], T[کالا], B110, T[نوع عملیات], "فروش")</f>
        <v>0</v>
      </c>
      <c r="H110" s="141">
        <f>Summary[[#This Row],[فروش]]*Summary[[#This Row],[قیمت تمام شده]]</f>
        <v>0</v>
      </c>
      <c r="I110" s="141">
        <f>Summary[[#This Row],[خرید]]-Summary[[#This Row],[فروش]]</f>
        <v>1</v>
      </c>
      <c r="J110" s="141">
        <f>Summary[[#This Row],[موجودی]]*Summary[[#This Row],[قیمت تمام شده]]</f>
        <v>0</v>
      </c>
      <c r="K110" s="152">
        <f>IF(B110="", "", _xlfn.XLOOKUP(B110, T[کالا], T[نحوه تسویه], ""))</f>
        <v>0</v>
      </c>
      <c r="L110" s="152" t="str">
        <f>IF(B110="", "", _xlfn.XLOOKUP(B110, T[کالا], T[شماره فاکتور], ""))</f>
        <v>اس 311</v>
      </c>
      <c r="M110" s="152" t="str">
        <f>IF(B110="", "", _xlfn.XLOOKUP(Summary[[#This Row],[فاکتور]], T[شماره فاکتور], T[فروشنده / مشتری], "نامشخص"))</f>
        <v>استانبول</v>
      </c>
      <c r="N110" s="141">
        <f>Summary[[#This Row],[ارزش فروش]] - (Summary[[#This Row],[قیمت تمام شده]]*Summary[[#This Row],[فروش]])</f>
        <v>0</v>
      </c>
      <c r="O110" s="365" t="str">
        <f>IFERROR(Summary[[#This Row],[سود]]/Summary[[#This Row],[ارزش کالای فروخته شده]], "")</f>
        <v/>
      </c>
    </row>
    <row r="111" spans="2:15" x14ac:dyDescent="0.8">
      <c r="B111" s="191" t="str">
        <v>دامن شلوار دیپلمات کمردار</v>
      </c>
      <c r="C111" s="141">
        <f>SUMIFS(T[تعداد], T[کالا], B111, T[نوع عملیات], "خرید")</f>
        <v>2</v>
      </c>
      <c r="D111" s="141">
        <f t="shared" si="3"/>
        <v>390000</v>
      </c>
      <c r="E111" s="141">
        <f>SUMIFS(T[قیمت کل], T[کالا], B111, T[نوع عملیات], "خرید")</f>
        <v>780000</v>
      </c>
      <c r="F111" s="141">
        <f>SUMIFS(T[تعداد], T[کالا], B111, T[نوع عملیات], "فروش") + SUMIFS(T[تعداد], T[کالا], B111, T[نوع عملیات], "استفاده خودم")</f>
        <v>0</v>
      </c>
      <c r="G111" s="141">
        <f>SUMIFS(T[قیمت کل], T[کالا], B111, T[نوع عملیات], "فروش")</f>
        <v>0</v>
      </c>
      <c r="H111" s="141">
        <f>Summary[[#This Row],[فروش]]*Summary[[#This Row],[قیمت تمام شده]]</f>
        <v>0</v>
      </c>
      <c r="I111" s="141">
        <f>Summary[[#This Row],[خرید]]-Summary[[#This Row],[فروش]]</f>
        <v>2</v>
      </c>
      <c r="J111" s="141">
        <f>Summary[[#This Row],[موجودی]]*Summary[[#This Row],[قیمت تمام شده]]</f>
        <v>780000</v>
      </c>
      <c r="K111" s="152" t="str">
        <f>IF(B111="", "", _xlfn.XLOOKUP(B111, T[کالا], T[نحوه تسویه], ""))</f>
        <v>حساب 5802</v>
      </c>
      <c r="L111" s="152" t="str">
        <f>IF(B111="", "", _xlfn.XLOOKUP(B111, T[کالا], T[شماره فاکتور], ""))</f>
        <v>ب 312</v>
      </c>
      <c r="M111" s="152" t="str">
        <f>IF(B111="", "", _xlfn.XLOOKUP(Summary[[#This Row],[فاکتور]], T[شماره فاکتور], T[فروشنده / مشتری], "نامشخص"))</f>
        <v>بازار</v>
      </c>
      <c r="N111" s="141">
        <f>Summary[[#This Row],[ارزش فروش]] - (Summary[[#This Row],[قیمت تمام شده]]*Summary[[#This Row],[فروش]])</f>
        <v>0</v>
      </c>
      <c r="O111" s="365" t="str">
        <f>IFERROR(Summary[[#This Row],[سود]]/Summary[[#This Row],[ارزش کالای فروخته شده]], "")</f>
        <v/>
      </c>
    </row>
    <row r="112" spans="2:15" x14ac:dyDescent="0.8">
      <c r="B112" s="152" t="str">
        <v>پیراهن ترک آستین پف مشکی</v>
      </c>
      <c r="C112" s="141">
        <f>SUMIFS(T[تعداد], T[کالا], B112, T[نوع عملیات], "خرید")</f>
        <v>1</v>
      </c>
      <c r="D112" s="141">
        <f t="shared" si="3"/>
        <v>400000</v>
      </c>
      <c r="E112" s="141">
        <f>SUMIFS(T[قیمت کل], T[کالا], B112, T[نوع عملیات], "خرید")</f>
        <v>400000</v>
      </c>
      <c r="F112" s="141">
        <f>SUMIFS(T[تعداد], T[کالا], B112, T[نوع عملیات], "فروش") + SUMIFS(T[تعداد], T[کالا], B112, T[نوع عملیات], "استفاده خودم")</f>
        <v>0</v>
      </c>
      <c r="G112" s="141">
        <f>SUMIFS(T[قیمت کل], T[کالا], B112, T[نوع عملیات], "فروش")</f>
        <v>0</v>
      </c>
      <c r="H112" s="141">
        <f>Summary[[#This Row],[فروش]]*Summary[[#This Row],[قیمت تمام شده]]</f>
        <v>0</v>
      </c>
      <c r="I112" s="141">
        <f>Summary[[#This Row],[خرید]]-Summary[[#This Row],[فروش]]</f>
        <v>1</v>
      </c>
      <c r="J112" s="141">
        <f>Summary[[#This Row],[موجودی]]*Summary[[#This Row],[قیمت تمام شده]]</f>
        <v>400000</v>
      </c>
      <c r="K112" s="152" t="str">
        <f>IF(B112="", "", _xlfn.XLOOKUP(B112, T[کالا], T[نحوه تسویه], ""))</f>
        <v>نقدی</v>
      </c>
      <c r="L112" s="152" t="str">
        <f>IF(B112="", "", _xlfn.XLOOKUP(B112, T[کالا], T[شماره فاکتور], ""))</f>
        <v>و 309</v>
      </c>
      <c r="M112" s="152" t="str">
        <f>IF(B112="", "", _xlfn.XLOOKUP(Summary[[#This Row],[فاکتور]], T[شماره فاکتور], T[فروشنده / مشتری], "نامشخص"))</f>
        <v>وان ترکیه</v>
      </c>
      <c r="N112" s="141">
        <f>Summary[[#This Row],[ارزش فروش]] - (Summary[[#This Row],[قیمت تمام شده]]*Summary[[#This Row],[فروش]])</f>
        <v>0</v>
      </c>
      <c r="O112" s="365" t="str">
        <f>IFERROR(Summary[[#This Row],[سود]]/Summary[[#This Row],[ارزش کالای فروخته شده]], "")</f>
        <v/>
      </c>
    </row>
    <row r="113" spans="2:15" x14ac:dyDescent="0.8">
      <c r="B113" s="191" t="str">
        <v>نیم تنه دامن آبی ترک</v>
      </c>
      <c r="C113" s="141">
        <f>SUMIFS(T[تعداد], T[کالا], B113, T[نوع عملیات], "خرید")</f>
        <v>1</v>
      </c>
      <c r="D113" s="141">
        <f t="shared" si="3"/>
        <v>320000</v>
      </c>
      <c r="E113" s="141">
        <f>SUMIFS(T[قیمت کل], T[کالا], B113, T[نوع عملیات], "خرید")</f>
        <v>320000</v>
      </c>
      <c r="F113" s="141">
        <f>SUMIFS(T[تعداد], T[کالا], B113, T[نوع عملیات], "فروش") + SUMIFS(T[تعداد], T[کالا], B113, T[نوع عملیات], "استفاده خودم")</f>
        <v>0</v>
      </c>
      <c r="G113" s="141">
        <f>SUMIFS(T[قیمت کل], T[کالا], B113, T[نوع عملیات], "فروش")</f>
        <v>0</v>
      </c>
      <c r="H113" s="141">
        <f>Summary[[#This Row],[فروش]]*Summary[[#This Row],[قیمت تمام شده]]</f>
        <v>0</v>
      </c>
      <c r="I113" s="141">
        <f>Summary[[#This Row],[خرید]]-Summary[[#This Row],[فروش]]</f>
        <v>1</v>
      </c>
      <c r="J113" s="141">
        <f>Summary[[#This Row],[موجودی]]*Summary[[#This Row],[قیمت تمام شده]]</f>
        <v>320000</v>
      </c>
      <c r="K113" s="152" t="str">
        <f>IF(B113="", "", _xlfn.XLOOKUP(B113, T[کالا], T[نحوه تسویه], ""))</f>
        <v>نقدی</v>
      </c>
      <c r="L113" s="152" t="str">
        <f>IF(B113="", "", _xlfn.XLOOKUP(B113, T[کالا], T[شماره فاکتور], ""))</f>
        <v>و 309</v>
      </c>
      <c r="M113" s="152" t="str">
        <f>IF(B113="", "", _xlfn.XLOOKUP(Summary[[#This Row],[فاکتور]], T[شماره فاکتور], T[فروشنده / مشتری], "نامشخص"))</f>
        <v>وان ترکیه</v>
      </c>
      <c r="N113" s="141">
        <f>Summary[[#This Row],[ارزش فروش]] - (Summary[[#This Row],[قیمت تمام شده]]*Summary[[#This Row],[فروش]])</f>
        <v>0</v>
      </c>
      <c r="O113" s="365" t="str">
        <f>IFERROR(Summary[[#This Row],[سود]]/Summary[[#This Row],[ارزش کالای فروخته شده]], "")</f>
        <v/>
      </c>
    </row>
    <row r="114" spans="2:15" x14ac:dyDescent="0.8">
      <c r="B114" s="152" t="str">
        <v>نیم تنه مشکی ترک</v>
      </c>
      <c r="C114" s="141">
        <f>SUMIFS(T[تعداد], T[کالا], B114, T[نوع عملیات], "خرید")</f>
        <v>1</v>
      </c>
      <c r="D114" s="141">
        <f t="shared" si="3"/>
        <v>450000</v>
      </c>
      <c r="E114" s="141">
        <f>SUMIFS(T[قیمت کل], T[کالا], B114, T[نوع عملیات], "خرید")</f>
        <v>450000</v>
      </c>
      <c r="F114" s="141">
        <f>SUMIFS(T[تعداد], T[کالا], B114, T[نوع عملیات], "فروش") + SUMIFS(T[تعداد], T[کالا], B114, T[نوع عملیات], "استفاده خودم")</f>
        <v>0</v>
      </c>
      <c r="G114" s="141">
        <f>SUMIFS(T[قیمت کل], T[کالا], B114, T[نوع عملیات], "فروش")</f>
        <v>0</v>
      </c>
      <c r="H114" s="141">
        <f>Summary[[#This Row],[فروش]]*Summary[[#This Row],[قیمت تمام شده]]</f>
        <v>0</v>
      </c>
      <c r="I114" s="141">
        <f>Summary[[#This Row],[خرید]]-Summary[[#This Row],[فروش]]</f>
        <v>1</v>
      </c>
      <c r="J114" s="141">
        <f>Summary[[#This Row],[موجودی]]*Summary[[#This Row],[قیمت تمام شده]]</f>
        <v>450000</v>
      </c>
      <c r="K114" s="152" t="str">
        <f>IF(B114="", "", _xlfn.XLOOKUP(B114, T[کالا], T[نحوه تسویه], ""))</f>
        <v>نقدی</v>
      </c>
      <c r="L114" s="152" t="str">
        <f>IF(B114="", "", _xlfn.XLOOKUP(B114, T[کالا], T[شماره فاکتور], ""))</f>
        <v>و 309</v>
      </c>
      <c r="M114" s="152" t="str">
        <f>IF(B114="", "", _xlfn.XLOOKUP(Summary[[#This Row],[فاکتور]], T[شماره فاکتور], T[فروشنده / مشتری], "نامشخص"))</f>
        <v>وان ترکیه</v>
      </c>
      <c r="N114" s="141">
        <f>Summary[[#This Row],[ارزش فروش]] - (Summary[[#This Row],[قیمت تمام شده]]*Summary[[#This Row],[فروش]])</f>
        <v>0</v>
      </c>
      <c r="O114" s="365" t="str">
        <f>IFERROR(Summary[[#This Row],[سود]]/Summary[[#This Row],[ارزش کالای فروخته شده]], "")</f>
        <v/>
      </c>
    </row>
    <row r="115" spans="2:15" x14ac:dyDescent="0.8">
      <c r="B115" s="191" t="str">
        <v>بافت ترک کرم زنجیردار</v>
      </c>
      <c r="C115" s="141">
        <f>SUMIFS(T[تعداد], T[کالا], B115, T[نوع عملیات], "خرید")</f>
        <v>1</v>
      </c>
      <c r="D115" s="141">
        <f t="shared" si="3"/>
        <v>400000</v>
      </c>
      <c r="E115" s="141">
        <f>SUMIFS(T[قیمت کل], T[کالا], B115, T[نوع عملیات], "خرید")</f>
        <v>400000</v>
      </c>
      <c r="F115" s="141">
        <f>SUMIFS(T[تعداد], T[کالا], B115, T[نوع عملیات], "فروش") + SUMIFS(T[تعداد], T[کالا], B115, T[نوع عملیات], "استفاده خودم")</f>
        <v>1</v>
      </c>
      <c r="G115" s="141">
        <f>SUMIFS(T[قیمت کل], T[کالا], B115, T[نوع عملیات], "فروش")</f>
        <v>600000</v>
      </c>
      <c r="H115" s="141">
        <f>Summary[[#This Row],[فروش]]*Summary[[#This Row],[قیمت تمام شده]]</f>
        <v>400000</v>
      </c>
      <c r="I115" s="141">
        <f>Summary[[#This Row],[خرید]]-Summary[[#This Row],[فروش]]</f>
        <v>0</v>
      </c>
      <c r="J115" s="141">
        <f>Summary[[#This Row],[موجودی]]*Summary[[#This Row],[قیمت تمام شده]]</f>
        <v>0</v>
      </c>
      <c r="K115" s="152" t="str">
        <f>IF(B115="", "", _xlfn.XLOOKUP(B115, T[کالا], T[نحوه تسویه], ""))</f>
        <v>نقدی</v>
      </c>
      <c r="L115" s="152" t="str">
        <f>IF(B115="", "", _xlfn.XLOOKUP(B115, T[کالا], T[شماره فاکتور], ""))</f>
        <v>و 309</v>
      </c>
      <c r="M115" s="152" t="str">
        <f>IF(B115="", "", _xlfn.XLOOKUP(Summary[[#This Row],[فاکتور]], T[شماره فاکتور], T[فروشنده / مشتری], "نامشخص"))</f>
        <v>وان ترکیه</v>
      </c>
      <c r="N115" s="141">
        <f>Summary[[#This Row],[ارزش فروش]] - (Summary[[#This Row],[قیمت تمام شده]]*Summary[[#This Row],[فروش]])</f>
        <v>200000</v>
      </c>
      <c r="O115" s="365">
        <f>IFERROR(Summary[[#This Row],[سود]]/Summary[[#This Row],[ارزش کالای فروخته شده]], "")</f>
        <v>0.5</v>
      </c>
    </row>
    <row r="116" spans="2:15" x14ac:dyDescent="0.8">
      <c r="B116" s="152" t="str">
        <v>یقه اسکی ویار</v>
      </c>
      <c r="C116" s="141">
        <f>SUMIFS(T[تعداد], T[کالا], B116, T[نوع عملیات], "خرید")</f>
        <v>2</v>
      </c>
      <c r="D116" s="141">
        <f t="shared" si="3"/>
        <v>450000</v>
      </c>
      <c r="E116" s="141">
        <f>SUMIFS(T[قیمت کل], T[کالا], B116, T[نوع عملیات], "خرید")</f>
        <v>900000</v>
      </c>
      <c r="F116" s="141">
        <f>SUMIFS(T[تعداد], T[کالا], B116, T[نوع عملیات], "فروش") + SUMIFS(T[تعداد], T[کالا], B116, T[نوع عملیات], "استفاده خودم")</f>
        <v>0</v>
      </c>
      <c r="G116" s="141">
        <f>SUMIFS(T[قیمت کل], T[کالا], B116, T[نوع عملیات], "فروش")</f>
        <v>0</v>
      </c>
      <c r="H116" s="141">
        <f>Summary[[#This Row],[فروش]]*Summary[[#This Row],[قیمت تمام شده]]</f>
        <v>0</v>
      </c>
      <c r="I116" s="141">
        <f>Summary[[#This Row],[خرید]]-Summary[[#This Row],[فروش]]</f>
        <v>2</v>
      </c>
      <c r="J116" s="141">
        <f>Summary[[#This Row],[موجودی]]*Summary[[#This Row],[قیمت تمام شده]]</f>
        <v>900000</v>
      </c>
      <c r="K116" s="152" t="str">
        <f>IF(B116="", "", _xlfn.XLOOKUP(B116, T[کالا], T[نحوه تسویه], ""))</f>
        <v>نقدی</v>
      </c>
      <c r="L116" s="152" t="str">
        <f>IF(B116="", "", _xlfn.XLOOKUP(B116, T[کالا], T[شماره فاکتور], ""))</f>
        <v>و 309</v>
      </c>
      <c r="M116" s="152" t="str">
        <f>IF(B116="", "", _xlfn.XLOOKUP(Summary[[#This Row],[فاکتور]], T[شماره فاکتور], T[فروشنده / مشتری], "نامشخص"))</f>
        <v>وان ترکیه</v>
      </c>
      <c r="N116" s="141">
        <f>Summary[[#This Row],[ارزش فروش]] - (Summary[[#This Row],[قیمت تمام شده]]*Summary[[#This Row],[فروش]])</f>
        <v>0</v>
      </c>
      <c r="O116" s="365" t="str">
        <f>IFERROR(Summary[[#This Row],[سود]]/Summary[[#This Row],[ارزش کالای فروخته شده]], "")</f>
        <v/>
      </c>
    </row>
    <row r="117" spans="2:15" x14ac:dyDescent="0.8">
      <c r="B117" s="191" t="str">
        <v>گرمکن ترک</v>
      </c>
      <c r="C117" s="141">
        <f>SUMIFS(T[تعداد], T[کالا], B117, T[نوع عملیات], "خرید")</f>
        <v>4</v>
      </c>
      <c r="D117" s="141">
        <f t="shared" si="3"/>
        <v>3300000</v>
      </c>
      <c r="E117" s="141">
        <f>SUMIFS(T[قیمت کل], T[کالا], B117, T[نوع عملیات], "خرید")</f>
        <v>13200000</v>
      </c>
      <c r="F117" s="141">
        <f>SUMIFS(T[تعداد], T[کالا], B117, T[نوع عملیات], "فروش") + SUMIFS(T[تعداد], T[کالا], B117, T[نوع عملیات], "استفاده خودم")</f>
        <v>0</v>
      </c>
      <c r="G117" s="141">
        <f>SUMIFS(T[قیمت کل], T[کالا], B117, T[نوع عملیات], "فروش")</f>
        <v>0</v>
      </c>
      <c r="H117" s="141">
        <f>Summary[[#This Row],[فروش]]*Summary[[#This Row],[قیمت تمام شده]]</f>
        <v>0</v>
      </c>
      <c r="I117" s="141">
        <f>Summary[[#This Row],[خرید]]-Summary[[#This Row],[فروش]]</f>
        <v>4</v>
      </c>
      <c r="J117" s="141">
        <f>Summary[[#This Row],[موجودی]]*Summary[[#This Row],[قیمت تمام شده]]</f>
        <v>13200000</v>
      </c>
      <c r="K117" s="152" t="str">
        <f>IF(B117="", "", _xlfn.XLOOKUP(B117, T[کالا], T[نحوه تسویه], ""))</f>
        <v>نقدی</v>
      </c>
      <c r="L117" s="152" t="str">
        <f>IF(B117="", "", _xlfn.XLOOKUP(B117, T[کالا], T[شماره فاکتور], ""))</f>
        <v>و 309</v>
      </c>
      <c r="M117" s="152" t="str">
        <f>IF(B117="", "", _xlfn.XLOOKUP(Summary[[#This Row],[فاکتور]], T[شماره فاکتور], T[فروشنده / مشتری], "نامشخص"))</f>
        <v>وان ترکیه</v>
      </c>
      <c r="N117" s="141">
        <f>Summary[[#This Row],[ارزش فروش]] - (Summary[[#This Row],[قیمت تمام شده]]*Summary[[#This Row],[فروش]])</f>
        <v>0</v>
      </c>
      <c r="O117" s="365" t="str">
        <f>IFERROR(Summary[[#This Row],[سود]]/Summary[[#This Row],[ارزش کالای فروخته شده]], "")</f>
        <v/>
      </c>
    </row>
    <row r="118" spans="2:15" x14ac:dyDescent="0.8">
      <c r="B118" s="152" t="str">
        <v>یقه اسکی بلند بافت ترک</v>
      </c>
      <c r="C118" s="141">
        <f>SUMIFS(T[تعداد], T[کالا], B118, T[نوع عملیات], "خرید")</f>
        <v>2</v>
      </c>
      <c r="D118" s="141">
        <f t="shared" si="3"/>
        <v>700000</v>
      </c>
      <c r="E118" s="141">
        <f>SUMIFS(T[قیمت کل], T[کالا], B118, T[نوع عملیات], "خرید")</f>
        <v>1400000</v>
      </c>
      <c r="F118" s="141">
        <f>SUMIFS(T[تعداد], T[کالا], B118, T[نوع عملیات], "فروش") + SUMIFS(T[تعداد], T[کالا], B118, T[نوع عملیات], "استفاده خودم")</f>
        <v>0</v>
      </c>
      <c r="G118" s="141">
        <f>SUMIFS(T[قیمت کل], T[کالا], B118, T[نوع عملیات], "فروش")</f>
        <v>0</v>
      </c>
      <c r="H118" s="141">
        <f>Summary[[#This Row],[فروش]]*Summary[[#This Row],[قیمت تمام شده]]</f>
        <v>0</v>
      </c>
      <c r="I118" s="141">
        <f>Summary[[#This Row],[خرید]]-Summary[[#This Row],[فروش]]</f>
        <v>2</v>
      </c>
      <c r="J118" s="141">
        <f>Summary[[#This Row],[موجودی]]*Summary[[#This Row],[قیمت تمام شده]]</f>
        <v>1400000</v>
      </c>
      <c r="K118" s="152" t="str">
        <f>IF(B118="", "", _xlfn.XLOOKUP(B118, T[کالا], T[نحوه تسویه], ""))</f>
        <v>نقدی</v>
      </c>
      <c r="L118" s="152" t="str">
        <f>IF(B118="", "", _xlfn.XLOOKUP(B118, T[کالا], T[شماره فاکتور], ""))</f>
        <v>و 309</v>
      </c>
      <c r="M118" s="152" t="str">
        <f>IF(B118="", "", _xlfn.XLOOKUP(Summary[[#This Row],[فاکتور]], T[شماره فاکتور], T[فروشنده / مشتری], "نامشخص"))</f>
        <v>وان ترکیه</v>
      </c>
      <c r="N118" s="141">
        <f>Summary[[#This Row],[ارزش فروش]] - (Summary[[#This Row],[قیمت تمام شده]]*Summary[[#This Row],[فروش]])</f>
        <v>0</v>
      </c>
      <c r="O118" s="365" t="str">
        <f>IFERROR(Summary[[#This Row],[سود]]/Summary[[#This Row],[ارزش کالای فروخته شده]], "")</f>
        <v/>
      </c>
    </row>
    <row r="119" spans="2:15" x14ac:dyDescent="0.8">
      <c r="B119" s="191" t="str">
        <v>شلوار بافت راه راه</v>
      </c>
      <c r="C119" s="141">
        <f>SUMIFS(T[تعداد], T[کالا], B119, T[نوع عملیات], "خرید")</f>
        <v>3</v>
      </c>
      <c r="D119" s="141">
        <f t="shared" si="3"/>
        <v>200000</v>
      </c>
      <c r="E119" s="141">
        <f>SUMIFS(T[قیمت کل], T[کالا], B119, T[نوع عملیات], "خرید")</f>
        <v>600000</v>
      </c>
      <c r="F119" s="141">
        <f>SUMIFS(T[تعداد], T[کالا], B119, T[نوع عملیات], "فروش") + SUMIFS(T[تعداد], T[کالا], B119, T[نوع عملیات], "استفاده خودم")</f>
        <v>0</v>
      </c>
      <c r="G119" s="141">
        <f>SUMIFS(T[قیمت کل], T[کالا], B119, T[نوع عملیات], "فروش")</f>
        <v>0</v>
      </c>
      <c r="H119" s="141">
        <f>Summary[[#This Row],[فروش]]*Summary[[#This Row],[قیمت تمام شده]]</f>
        <v>0</v>
      </c>
      <c r="I119" s="141">
        <f>Summary[[#This Row],[خرید]]-Summary[[#This Row],[فروش]]</f>
        <v>3</v>
      </c>
      <c r="J119" s="141">
        <f>Summary[[#This Row],[موجودی]]*Summary[[#This Row],[قیمت تمام شده]]</f>
        <v>600000</v>
      </c>
      <c r="K119" s="152" t="str">
        <f>IF(B119="", "", _xlfn.XLOOKUP(B119, T[کالا], T[نحوه تسویه], ""))</f>
        <v>نقدی</v>
      </c>
      <c r="L119" s="152" t="str">
        <f>IF(B119="", "", _xlfn.XLOOKUP(B119, T[کالا], T[شماره فاکتور], ""))</f>
        <v>و 309</v>
      </c>
      <c r="M119" s="152" t="str">
        <f>IF(B119="", "", _xlfn.XLOOKUP(Summary[[#This Row],[فاکتور]], T[شماره فاکتور], T[فروشنده / مشتری], "نامشخص"))</f>
        <v>وان ترکیه</v>
      </c>
      <c r="N119" s="141">
        <f>Summary[[#This Row],[ارزش فروش]] - (Summary[[#This Row],[قیمت تمام شده]]*Summary[[#This Row],[فروش]])</f>
        <v>0</v>
      </c>
      <c r="O119" s="365" t="str">
        <f>IFERROR(Summary[[#This Row],[سود]]/Summary[[#This Row],[ارزش کالای فروخته شده]], "")</f>
        <v/>
      </c>
    </row>
    <row r="120" spans="2:15" x14ac:dyDescent="0.8">
      <c r="B120" s="152" t="str">
        <v>سرهمی مشکی حلقه ای</v>
      </c>
      <c r="C120" s="141">
        <f>SUMIFS(T[تعداد], T[کالا], B120, T[نوع عملیات], "خرید")</f>
        <v>1</v>
      </c>
      <c r="D120" s="141">
        <f t="shared" si="3"/>
        <v>450000</v>
      </c>
      <c r="E120" s="141">
        <f>SUMIFS(T[قیمت کل], T[کالا], B120, T[نوع عملیات], "خرید")</f>
        <v>450000</v>
      </c>
      <c r="F120" s="141">
        <f>SUMIFS(T[تعداد], T[کالا], B120, T[نوع عملیات], "فروش") + SUMIFS(T[تعداد], T[کالا], B120, T[نوع عملیات], "استفاده خودم")</f>
        <v>0</v>
      </c>
      <c r="G120" s="141">
        <f>SUMIFS(T[قیمت کل], T[کالا], B120, T[نوع عملیات], "فروش")</f>
        <v>0</v>
      </c>
      <c r="H120" s="141">
        <f>Summary[[#This Row],[فروش]]*Summary[[#This Row],[قیمت تمام شده]]</f>
        <v>0</v>
      </c>
      <c r="I120" s="141">
        <f>Summary[[#This Row],[خرید]]-Summary[[#This Row],[فروش]]</f>
        <v>1</v>
      </c>
      <c r="J120" s="141">
        <f>Summary[[#This Row],[موجودی]]*Summary[[#This Row],[قیمت تمام شده]]</f>
        <v>450000</v>
      </c>
      <c r="K120" s="152" t="str">
        <f>IF(B120="", "", _xlfn.XLOOKUP(B120, T[کالا], T[نحوه تسویه], ""))</f>
        <v>حساب 5802</v>
      </c>
      <c r="L120" s="152" t="str">
        <f>IF(B120="", "", _xlfn.XLOOKUP(B120, T[کالا], T[شماره فاکتور], ""))</f>
        <v>خانی آباد</v>
      </c>
      <c r="M120" s="152" t="str">
        <f>IF(B120="", "", _xlfn.XLOOKUP(Summary[[#This Row],[فاکتور]], T[شماره فاکتور], T[فروشنده / مشتری], "نامشخص"))</f>
        <v>خانی آباد</v>
      </c>
      <c r="N120" s="141">
        <f>Summary[[#This Row],[ارزش فروش]] - (Summary[[#This Row],[قیمت تمام شده]]*Summary[[#This Row],[فروش]])</f>
        <v>0</v>
      </c>
      <c r="O120" s="365" t="str">
        <f>IFERROR(Summary[[#This Row],[سود]]/Summary[[#This Row],[ارزش کالای فروخته شده]], "")</f>
        <v/>
      </c>
    </row>
    <row r="121" spans="2:15" x14ac:dyDescent="0.8">
      <c r="B121" s="191" t="str">
        <v>شومیز دلگشا</v>
      </c>
      <c r="C121" s="141">
        <f>SUMIFS(T[تعداد], T[کالا], B121, T[نوع عملیات], "خرید")</f>
        <v>8</v>
      </c>
      <c r="D121" s="141">
        <f t="shared" si="3"/>
        <v>850000</v>
      </c>
      <c r="E121" s="141">
        <f>SUMIFS(T[قیمت کل], T[کالا], B121, T[نوع عملیات], "خرید")</f>
        <v>6800000</v>
      </c>
      <c r="F121" s="141">
        <f>SUMIFS(T[تعداد], T[کالا], B121, T[نوع عملیات], "فروش") + SUMIFS(T[تعداد], T[کالا], B121, T[نوع عملیات], "استفاده خودم")</f>
        <v>7</v>
      </c>
      <c r="G121" s="141">
        <f>SUMIFS(T[قیمت کل], T[کالا], B121, T[نوع عملیات], "فروش")</f>
        <v>5780000</v>
      </c>
      <c r="H121" s="141">
        <f>Summary[[#This Row],[فروش]]*Summary[[#This Row],[قیمت تمام شده]]</f>
        <v>5950000</v>
      </c>
      <c r="I121" s="141">
        <f>Summary[[#This Row],[خرید]]-Summary[[#This Row],[فروش]]</f>
        <v>1</v>
      </c>
      <c r="J121" s="141">
        <f>Summary[[#This Row],[موجودی]]*Summary[[#This Row],[قیمت تمام شده]]</f>
        <v>850000</v>
      </c>
      <c r="K121" s="152">
        <f>IF(B121="", "", _xlfn.XLOOKUP(B121, T[کالا], T[نحوه تسویه], ""))</f>
        <v>0</v>
      </c>
      <c r="L121" s="152" t="str">
        <f>IF(B121="", "", _xlfn.XLOOKUP(B121, T[کالا], T[شماره فاکتور], ""))</f>
        <v>د 312</v>
      </c>
      <c r="M121" s="152" t="str">
        <f>IF(B121="", "", _xlfn.XLOOKUP(Summary[[#This Row],[فاکتور]], T[شماره فاکتور], T[فروشنده / مشتری], "نامشخص"))</f>
        <v>دلگشا</v>
      </c>
      <c r="N121" s="141">
        <f>Summary[[#This Row],[ارزش فروش]] - (Summary[[#This Row],[قیمت تمام شده]]*Summary[[#This Row],[فروش]])</f>
        <v>-170000</v>
      </c>
      <c r="O121" s="365">
        <f>IFERROR(Summary[[#This Row],[سود]]/Summary[[#This Row],[ارزش کالای فروخته شده]], "")</f>
        <v>-2.8571428571428571E-2</v>
      </c>
    </row>
    <row r="122" spans="2:15" x14ac:dyDescent="0.8">
      <c r="B122" s="152" t="str">
        <v>کراپ کت سفید و مشکی</v>
      </c>
      <c r="C122" s="141">
        <f>SUMIFS(T[تعداد], T[کالا], B122, T[نوع عملیات], "خرید")</f>
        <v>2</v>
      </c>
      <c r="D122" s="141">
        <f t="shared" si="3"/>
        <v>640000</v>
      </c>
      <c r="E122" s="141">
        <f>SUMIFS(T[قیمت کل], T[کالا], B122, T[نوع عملیات], "خرید")</f>
        <v>1280000</v>
      </c>
      <c r="F122" s="141">
        <f>SUMIFS(T[تعداد], T[کالا], B122, T[نوع عملیات], "فروش") + SUMIFS(T[تعداد], T[کالا], B122, T[نوع عملیات], "استفاده خودم")</f>
        <v>2</v>
      </c>
      <c r="G122" s="141">
        <f>SUMIFS(T[قیمت کل], T[کالا], B122, T[نوع عملیات], "فروش")</f>
        <v>1850000</v>
      </c>
      <c r="H122" s="141">
        <f>Summary[[#This Row],[فروش]]*Summary[[#This Row],[قیمت تمام شده]]</f>
        <v>1280000</v>
      </c>
      <c r="I122" s="141">
        <f>Summary[[#This Row],[خرید]]-Summary[[#This Row],[فروش]]</f>
        <v>0</v>
      </c>
      <c r="J122" s="141">
        <f>Summary[[#This Row],[موجودی]]*Summary[[#This Row],[قیمت تمام شده]]</f>
        <v>0</v>
      </c>
      <c r="K122" s="152">
        <f>IF(B122="", "", _xlfn.XLOOKUP(B122, T[کالا], T[نحوه تسویه], ""))</f>
        <v>0</v>
      </c>
      <c r="L122" s="152" t="str">
        <f>IF(B122="", "", _xlfn.XLOOKUP(B122, T[کالا], T[شماره فاکتور], ""))</f>
        <v>د 312</v>
      </c>
      <c r="M122" s="152" t="str">
        <f>IF(B122="", "", _xlfn.XLOOKUP(Summary[[#This Row],[فاکتور]], T[شماره فاکتور], T[فروشنده / مشتری], "نامشخص"))</f>
        <v>دلگشا</v>
      </c>
      <c r="N122" s="141">
        <f>Summary[[#This Row],[ارزش فروش]] - (Summary[[#This Row],[قیمت تمام شده]]*Summary[[#This Row],[فروش]])</f>
        <v>570000</v>
      </c>
      <c r="O122" s="365">
        <f>IFERROR(Summary[[#This Row],[سود]]/Summary[[#This Row],[ارزش کالای فروخته شده]], "")</f>
        <v>0.4453125</v>
      </c>
    </row>
    <row r="123" spans="2:15" x14ac:dyDescent="0.8">
      <c r="B123" s="191" t="str">
        <v>کراپ پلنگی</v>
      </c>
      <c r="C123" s="141">
        <f>SUMIFS(T[تعداد], T[کالا], B123, T[نوع عملیات], "خرید")</f>
        <v>2</v>
      </c>
      <c r="D123" s="141">
        <f t="shared" si="3"/>
        <v>200000</v>
      </c>
      <c r="E123" s="141">
        <f>SUMIFS(T[قیمت کل], T[کالا], B123, T[نوع عملیات], "خرید")</f>
        <v>400000</v>
      </c>
      <c r="F123" s="141">
        <f>SUMIFS(T[تعداد], T[کالا], B123, T[نوع عملیات], "فروش") + SUMIFS(T[تعداد], T[کالا], B123, T[نوع عملیات], "استفاده خودم")</f>
        <v>2</v>
      </c>
      <c r="G123" s="141">
        <f>SUMIFS(T[قیمت کل], T[کالا], B123, T[نوع عملیات], "فروش")</f>
        <v>400000</v>
      </c>
      <c r="H123" s="141">
        <f>Summary[[#This Row],[فروش]]*Summary[[#This Row],[قیمت تمام شده]]</f>
        <v>400000</v>
      </c>
      <c r="I123" s="141">
        <f>Summary[[#This Row],[خرید]]-Summary[[#This Row],[فروش]]</f>
        <v>0</v>
      </c>
      <c r="J123" s="141">
        <f>Summary[[#This Row],[موجودی]]*Summary[[#This Row],[قیمت تمام شده]]</f>
        <v>0</v>
      </c>
      <c r="K123" s="152">
        <f>IF(B123="", "", _xlfn.XLOOKUP(B123, T[کالا], T[نحوه تسویه], ""))</f>
        <v>0</v>
      </c>
      <c r="L123" s="152" t="str">
        <f>IF(B123="", "", _xlfn.XLOOKUP(B123, T[کالا], T[شماره فاکتور], ""))</f>
        <v>د 312</v>
      </c>
      <c r="M123" s="152" t="str">
        <f>IF(B123="", "", _xlfn.XLOOKUP(Summary[[#This Row],[فاکتور]], T[شماره فاکتور], T[فروشنده / مشتری], "نامشخص"))</f>
        <v>دلگشا</v>
      </c>
      <c r="N123" s="141">
        <f>Summary[[#This Row],[ارزش فروش]] - (Summary[[#This Row],[قیمت تمام شده]]*Summary[[#This Row],[فروش]])</f>
        <v>0</v>
      </c>
      <c r="O123" s="365">
        <f>IFERROR(Summary[[#This Row],[سود]]/Summary[[#This Row],[ارزش کالای فروخته شده]], "")</f>
        <v>0</v>
      </c>
    </row>
    <row r="124" spans="2:15" x14ac:dyDescent="0.8">
      <c r="B124" s="152" t="str">
        <v>کت و شلوار سبز</v>
      </c>
      <c r="C124" s="141">
        <f>SUMIFS(T[تعداد], T[کالا], B124, T[نوع عملیات], "خرید")</f>
        <v>1</v>
      </c>
      <c r="D124" s="141">
        <f t="shared" si="3"/>
        <v>1500000</v>
      </c>
      <c r="E124" s="141">
        <f>SUMIFS(T[قیمت کل], T[کالا], B124, T[نوع عملیات], "خرید")</f>
        <v>1500000</v>
      </c>
      <c r="F124" s="141">
        <f>SUMIFS(T[تعداد], T[کالا], B124, T[نوع عملیات], "فروش") + SUMIFS(T[تعداد], T[کالا], B124, T[نوع عملیات], "استفاده خودم")</f>
        <v>0</v>
      </c>
      <c r="G124" s="141">
        <f>SUMIFS(T[قیمت کل], T[کالا], B124, T[نوع عملیات], "فروش")</f>
        <v>0</v>
      </c>
      <c r="H124" s="141">
        <f>Summary[[#This Row],[فروش]]*Summary[[#This Row],[قیمت تمام شده]]</f>
        <v>0</v>
      </c>
      <c r="I124" s="141">
        <f>Summary[[#This Row],[خرید]]-Summary[[#This Row],[فروش]]</f>
        <v>1</v>
      </c>
      <c r="J124" s="141">
        <f>Summary[[#This Row],[موجودی]]*Summary[[#This Row],[قیمت تمام شده]]</f>
        <v>1500000</v>
      </c>
      <c r="K124" s="152">
        <f>IF(B124="", "", _xlfn.XLOOKUP(B124, T[کالا], T[نحوه تسویه], ""))</f>
        <v>0</v>
      </c>
      <c r="L124" s="152" t="str">
        <f>IF(B124="", "", _xlfn.XLOOKUP(B124, T[کالا], T[شماره فاکتور], ""))</f>
        <v>د 312</v>
      </c>
      <c r="M124" s="152" t="str">
        <f>IF(B124="", "", _xlfn.XLOOKUP(Summary[[#This Row],[فاکتور]], T[شماره فاکتور], T[فروشنده / مشتری], "نامشخص"))</f>
        <v>دلگشا</v>
      </c>
      <c r="N124" s="141">
        <f>Summary[[#This Row],[ارزش فروش]] - (Summary[[#This Row],[قیمت تمام شده]]*Summary[[#This Row],[فروش]])</f>
        <v>0</v>
      </c>
      <c r="O124" s="365" t="str">
        <f>IFERROR(Summary[[#This Row],[سود]]/Summary[[#This Row],[ارزش کالای فروخته شده]], "")</f>
        <v/>
      </c>
    </row>
    <row r="125" spans="2:15" x14ac:dyDescent="0.8">
      <c r="B125" s="191" t="str">
        <v>کت و شلوار دیپلمات سنجاق سینه</v>
      </c>
      <c r="C125" s="141">
        <f>SUMIFS(T[تعداد], T[کالا], B125, T[نوع عملیات], "خرید")</f>
        <v>3</v>
      </c>
      <c r="D125" s="141">
        <f t="shared" si="3"/>
        <v>1700000</v>
      </c>
      <c r="E125" s="141">
        <f>SUMIFS(T[قیمت کل], T[کالا], B125, T[نوع عملیات], "خرید")</f>
        <v>5100000</v>
      </c>
      <c r="F125" s="141">
        <f>SUMIFS(T[تعداد], T[کالا], B125, T[نوع عملیات], "فروش") + SUMIFS(T[تعداد], T[کالا], B125, T[نوع عملیات], "استفاده خودم")</f>
        <v>3</v>
      </c>
      <c r="G125" s="141">
        <f>SUMIFS(T[قیمت کل], T[کالا], B125, T[نوع عملیات], "فروش")</f>
        <v>5000000</v>
      </c>
      <c r="H125" s="141">
        <f>Summary[[#This Row],[فروش]]*Summary[[#This Row],[قیمت تمام شده]]</f>
        <v>5100000</v>
      </c>
      <c r="I125" s="141">
        <f>Summary[[#This Row],[خرید]]-Summary[[#This Row],[فروش]]</f>
        <v>0</v>
      </c>
      <c r="J125" s="141">
        <f>Summary[[#This Row],[موجودی]]*Summary[[#This Row],[قیمت تمام شده]]</f>
        <v>0</v>
      </c>
      <c r="K125" s="152">
        <f>IF(B125="", "", _xlfn.XLOOKUP(B125, T[کالا], T[نحوه تسویه], ""))</f>
        <v>0</v>
      </c>
      <c r="L125" s="152" t="str">
        <f>IF(B125="", "", _xlfn.XLOOKUP(B125, T[کالا], T[شماره فاکتور], ""))</f>
        <v>د 312</v>
      </c>
      <c r="M125" s="152" t="str">
        <f>IF(B125="", "", _xlfn.XLOOKUP(Summary[[#This Row],[فاکتور]], T[شماره فاکتور], T[فروشنده / مشتری], "نامشخص"))</f>
        <v>دلگشا</v>
      </c>
      <c r="N125" s="141">
        <f>Summary[[#This Row],[ارزش فروش]] - (Summary[[#This Row],[قیمت تمام شده]]*Summary[[#This Row],[فروش]])</f>
        <v>-100000</v>
      </c>
      <c r="O125" s="365">
        <f>IFERROR(Summary[[#This Row],[سود]]/Summary[[#This Row],[ارزش کالای فروخته شده]], "")</f>
        <v>-1.9607843137254902E-2</v>
      </c>
    </row>
    <row r="126" spans="2:15" x14ac:dyDescent="0.8">
      <c r="B126" s="152" t="str">
        <v>کت مانتو ژکارد آبی کمرنگ</v>
      </c>
      <c r="C126" s="141">
        <f>SUMIFS(T[تعداد], T[کالا], B126, T[نوع عملیات], "خرید")</f>
        <v>1</v>
      </c>
      <c r="D126" s="141">
        <f t="shared" si="3"/>
        <v>1100000</v>
      </c>
      <c r="E126" s="141">
        <f>SUMIFS(T[قیمت کل], T[کالا], B126, T[نوع عملیات], "خرید")</f>
        <v>1100000</v>
      </c>
      <c r="F126" s="141">
        <f>SUMIFS(T[تعداد], T[کالا], B126, T[نوع عملیات], "فروش") + SUMIFS(T[تعداد], T[کالا], B126, T[نوع عملیات], "استفاده خودم")</f>
        <v>0</v>
      </c>
      <c r="G126" s="141">
        <f>SUMIFS(T[قیمت کل], T[کالا], B126, T[نوع عملیات], "فروش")</f>
        <v>0</v>
      </c>
      <c r="H126" s="141">
        <f>Summary[[#This Row],[فروش]]*Summary[[#This Row],[قیمت تمام شده]]</f>
        <v>0</v>
      </c>
      <c r="I126" s="141">
        <f>Summary[[#This Row],[خرید]]-Summary[[#This Row],[فروش]]</f>
        <v>1</v>
      </c>
      <c r="J126" s="141">
        <f>Summary[[#This Row],[موجودی]]*Summary[[#This Row],[قیمت تمام شده]]</f>
        <v>1100000</v>
      </c>
      <c r="K126" s="152">
        <f>IF(B126="", "", _xlfn.XLOOKUP(B126, T[کالا], T[نحوه تسویه], ""))</f>
        <v>0</v>
      </c>
      <c r="L126" s="152" t="str">
        <f>IF(B126="", "", _xlfn.XLOOKUP(B126, T[کالا], T[شماره فاکتور], ""))</f>
        <v>د 312</v>
      </c>
      <c r="M126" s="152" t="str">
        <f>IF(B126="", "", _xlfn.XLOOKUP(Summary[[#This Row],[فاکتور]], T[شماره فاکتور], T[فروشنده / مشتری], "نامشخص"))</f>
        <v>دلگشا</v>
      </c>
      <c r="N126" s="141">
        <f>Summary[[#This Row],[ارزش فروش]] - (Summary[[#This Row],[قیمت تمام شده]]*Summary[[#This Row],[فروش]])</f>
        <v>0</v>
      </c>
      <c r="O126" s="365" t="str">
        <f>IFERROR(Summary[[#This Row],[سود]]/Summary[[#This Row],[ارزش کالای فروخته شده]], "")</f>
        <v/>
      </c>
    </row>
    <row r="127" spans="2:15" x14ac:dyDescent="0.8">
      <c r="B127" s="191" t="str">
        <v>کراپ آستین حریر گره ای</v>
      </c>
      <c r="C127" s="141">
        <f>SUMIFS(T[تعداد], T[کالا], B127, T[نوع عملیات], "خرید")</f>
        <v>2</v>
      </c>
      <c r="D127" s="141">
        <f t="shared" si="3"/>
        <v>500000</v>
      </c>
      <c r="E127" s="141">
        <f>SUMIFS(T[قیمت کل], T[کالا], B127, T[نوع عملیات], "خرید")</f>
        <v>1000000</v>
      </c>
      <c r="F127" s="141">
        <f>SUMIFS(T[تعداد], T[کالا], B127, T[نوع عملیات], "فروش") + SUMIFS(T[تعداد], T[کالا], B127, T[نوع عملیات], "استفاده خودم")</f>
        <v>0</v>
      </c>
      <c r="G127" s="141">
        <f>SUMIFS(T[قیمت کل], T[کالا], B127, T[نوع عملیات], "فروش")</f>
        <v>0</v>
      </c>
      <c r="H127" s="141">
        <f>Summary[[#This Row],[فروش]]*Summary[[#This Row],[قیمت تمام شده]]</f>
        <v>0</v>
      </c>
      <c r="I127" s="141">
        <f>Summary[[#This Row],[خرید]]-Summary[[#This Row],[فروش]]</f>
        <v>2</v>
      </c>
      <c r="J127" s="141">
        <f>Summary[[#This Row],[موجودی]]*Summary[[#This Row],[قیمت تمام شده]]</f>
        <v>1000000</v>
      </c>
      <c r="K127" s="152">
        <f>IF(B127="", "", _xlfn.XLOOKUP(B127, T[کالا], T[نحوه تسویه], ""))</f>
        <v>0</v>
      </c>
      <c r="L127" s="152" t="str">
        <f>IF(B127="", "", _xlfn.XLOOKUP(B127, T[کالا], T[شماره فاکتور], ""))</f>
        <v>د 312</v>
      </c>
      <c r="M127" s="152" t="str">
        <f>IF(B127="", "", _xlfn.XLOOKUP(Summary[[#This Row],[فاکتور]], T[شماره فاکتور], T[فروشنده / مشتری], "نامشخص"))</f>
        <v>دلگشا</v>
      </c>
      <c r="N127" s="141">
        <f>Summary[[#This Row],[ارزش فروش]] - (Summary[[#This Row],[قیمت تمام شده]]*Summary[[#This Row],[فروش]])</f>
        <v>0</v>
      </c>
      <c r="O127" s="365" t="str">
        <f>IFERROR(Summary[[#This Row],[سود]]/Summary[[#This Row],[ارزش کالای فروخته شده]], "")</f>
        <v/>
      </c>
    </row>
    <row r="128" spans="2:15" x14ac:dyDescent="0.8">
      <c r="B128" s="152" t="str">
        <v>کراپ مجلسی سفید</v>
      </c>
      <c r="C128" s="141">
        <f>SUMIFS(T[تعداد], T[کالا], B128, T[نوع عملیات], "خرید")</f>
        <v>1</v>
      </c>
      <c r="D128" s="141">
        <f t="shared" si="3"/>
        <v>580000</v>
      </c>
      <c r="E128" s="141">
        <f>SUMIFS(T[قیمت کل], T[کالا], B128, T[نوع عملیات], "خرید")</f>
        <v>580000</v>
      </c>
      <c r="F128" s="141">
        <f>SUMIFS(T[تعداد], T[کالا], B128, T[نوع عملیات], "فروش") + SUMIFS(T[تعداد], T[کالا], B128, T[نوع عملیات], "استفاده خودم")</f>
        <v>0</v>
      </c>
      <c r="G128" s="141">
        <f>SUMIFS(T[قیمت کل], T[کالا], B128, T[نوع عملیات], "فروش")</f>
        <v>0</v>
      </c>
      <c r="H128" s="141">
        <f>Summary[[#This Row],[فروش]]*Summary[[#This Row],[قیمت تمام شده]]</f>
        <v>0</v>
      </c>
      <c r="I128" s="141">
        <f>Summary[[#This Row],[خرید]]-Summary[[#This Row],[فروش]]</f>
        <v>1</v>
      </c>
      <c r="J128" s="141">
        <f>Summary[[#This Row],[موجودی]]*Summary[[#This Row],[قیمت تمام شده]]</f>
        <v>580000</v>
      </c>
      <c r="K128" s="152">
        <f>IF(B128="", "", _xlfn.XLOOKUP(B128, T[کالا], T[نحوه تسویه], ""))</f>
        <v>0</v>
      </c>
      <c r="L128" s="152" t="str">
        <f>IF(B128="", "", _xlfn.XLOOKUP(B128, T[کالا], T[شماره فاکتور], ""))</f>
        <v>د 312</v>
      </c>
      <c r="M128" s="152" t="str">
        <f>IF(B128="", "", _xlfn.XLOOKUP(Summary[[#This Row],[فاکتور]], T[شماره فاکتور], T[فروشنده / مشتری], "نامشخص"))</f>
        <v>دلگشا</v>
      </c>
      <c r="N128" s="141">
        <f>Summary[[#This Row],[ارزش فروش]] - (Summary[[#This Row],[قیمت تمام شده]]*Summary[[#This Row],[فروش]])</f>
        <v>0</v>
      </c>
      <c r="O128" s="365" t="str">
        <f>IFERROR(Summary[[#This Row],[سود]]/Summary[[#This Row],[ارزش کالای فروخته شده]], "")</f>
        <v/>
      </c>
    </row>
    <row r="129" spans="2:15" x14ac:dyDescent="0.8">
      <c r="B129" s="191" t="str">
        <v>دامن کلوش زنجیر پائین تور</v>
      </c>
      <c r="C129" s="141">
        <f>SUMIFS(T[تعداد], T[کالا], B129, T[نوع عملیات], "خرید")</f>
        <v>2</v>
      </c>
      <c r="D129" s="141">
        <f t="shared" si="3"/>
        <v>350000</v>
      </c>
      <c r="E129" s="141">
        <f>SUMIFS(T[قیمت کل], T[کالا], B129, T[نوع عملیات], "خرید")</f>
        <v>700000</v>
      </c>
      <c r="F129" s="141">
        <f>SUMIFS(T[تعداد], T[کالا], B129, T[نوع عملیات], "فروش") + SUMIFS(T[تعداد], T[کالا], B129, T[نوع عملیات], "استفاده خودم")</f>
        <v>0</v>
      </c>
      <c r="G129" s="141">
        <f>SUMIFS(T[قیمت کل], T[کالا], B129, T[نوع عملیات], "فروش")</f>
        <v>0</v>
      </c>
      <c r="H129" s="141">
        <f>Summary[[#This Row],[فروش]]*Summary[[#This Row],[قیمت تمام شده]]</f>
        <v>0</v>
      </c>
      <c r="I129" s="141">
        <f>Summary[[#This Row],[خرید]]-Summary[[#This Row],[فروش]]</f>
        <v>2</v>
      </c>
      <c r="J129" s="141">
        <f>Summary[[#This Row],[موجودی]]*Summary[[#This Row],[قیمت تمام شده]]</f>
        <v>700000</v>
      </c>
      <c r="K129" s="152">
        <f>IF(B129="", "", _xlfn.XLOOKUP(B129, T[کالا], T[نحوه تسویه], ""))</f>
        <v>0</v>
      </c>
      <c r="L129" s="152" t="str">
        <f>IF(B129="", "", _xlfn.XLOOKUP(B129, T[کالا], T[شماره فاکتور], ""))</f>
        <v>د 312</v>
      </c>
      <c r="M129" s="152" t="str">
        <f>IF(B129="", "", _xlfn.XLOOKUP(Summary[[#This Row],[فاکتور]], T[شماره فاکتور], T[فروشنده / مشتری], "نامشخص"))</f>
        <v>دلگشا</v>
      </c>
      <c r="N129" s="141">
        <f>Summary[[#This Row],[ارزش فروش]] - (Summary[[#This Row],[قیمت تمام شده]]*Summary[[#This Row],[فروش]])</f>
        <v>0</v>
      </c>
      <c r="O129" s="365" t="str">
        <f>IFERROR(Summary[[#This Row],[سود]]/Summary[[#This Row],[ارزش کالای فروخته شده]], "")</f>
        <v/>
      </c>
    </row>
    <row r="130" spans="2:15" x14ac:dyDescent="0.8">
      <c r="B130" s="152" t="str">
        <v>دامن پلیسه کوتاه</v>
      </c>
      <c r="C130" s="141">
        <f>SUMIFS(T[تعداد], T[کالا], B130, T[نوع عملیات], "خرید")</f>
        <v>2</v>
      </c>
      <c r="D130" s="141">
        <f t="shared" si="3"/>
        <v>450000</v>
      </c>
      <c r="E130" s="141">
        <f>SUMIFS(T[قیمت کل], T[کالا], B130, T[نوع عملیات], "خرید")</f>
        <v>900000</v>
      </c>
      <c r="F130" s="141">
        <f>SUMIFS(T[تعداد], T[کالا], B130, T[نوع عملیات], "فروش") + SUMIFS(T[تعداد], T[کالا], B130, T[نوع عملیات], "استفاده خودم")</f>
        <v>0</v>
      </c>
      <c r="G130" s="141">
        <f>SUMIFS(T[قیمت کل], T[کالا], B130, T[نوع عملیات], "فروش")</f>
        <v>0</v>
      </c>
      <c r="H130" s="141">
        <f>Summary[[#This Row],[فروش]]*Summary[[#This Row],[قیمت تمام شده]]</f>
        <v>0</v>
      </c>
      <c r="I130" s="141">
        <f>Summary[[#This Row],[خرید]]-Summary[[#This Row],[فروش]]</f>
        <v>2</v>
      </c>
      <c r="J130" s="141">
        <f>Summary[[#This Row],[موجودی]]*Summary[[#This Row],[قیمت تمام شده]]</f>
        <v>900000</v>
      </c>
      <c r="K130" s="152">
        <f>IF(B130="", "", _xlfn.XLOOKUP(B130, T[کالا], T[نحوه تسویه], ""))</f>
        <v>0</v>
      </c>
      <c r="L130" s="152" t="str">
        <f>IF(B130="", "", _xlfn.XLOOKUP(B130, T[کالا], T[شماره فاکتور], ""))</f>
        <v>د 312</v>
      </c>
      <c r="M130" s="152" t="str">
        <f>IF(B130="", "", _xlfn.XLOOKUP(Summary[[#This Row],[فاکتور]], T[شماره فاکتور], T[فروشنده / مشتری], "نامشخص"))</f>
        <v>دلگشا</v>
      </c>
      <c r="N130" s="141">
        <f>Summary[[#This Row],[ارزش فروش]] - (Summary[[#This Row],[قیمت تمام شده]]*Summary[[#This Row],[فروش]])</f>
        <v>0</v>
      </c>
      <c r="O130" s="365" t="str">
        <f>IFERROR(Summary[[#This Row],[سود]]/Summary[[#This Row],[ارزش کالای فروخته شده]], "")</f>
        <v/>
      </c>
    </row>
    <row r="131" spans="2:15" x14ac:dyDescent="0.8">
      <c r="B131" s="191" t="str">
        <v>شلوارک جین</v>
      </c>
      <c r="C131" s="141">
        <f>SUMIFS(T[تعداد], T[کالا], B131, T[نوع عملیات], "خرید")</f>
        <v>2</v>
      </c>
      <c r="D131" s="141">
        <f t="shared" ref="D131:D162" si="4">IFERROR(E131/C131, 0)</f>
        <v>350000</v>
      </c>
      <c r="E131" s="141">
        <f>SUMIFS(T[قیمت کل], T[کالا], B131, T[نوع عملیات], "خرید")</f>
        <v>700000</v>
      </c>
      <c r="F131" s="141">
        <f>SUMIFS(T[تعداد], T[کالا], B131, T[نوع عملیات], "فروش") + SUMIFS(T[تعداد], T[کالا], B131, T[نوع عملیات], "استفاده خودم")</f>
        <v>1</v>
      </c>
      <c r="G131" s="141">
        <f>SUMIFS(T[قیمت کل], T[کالا], B131, T[نوع عملیات], "فروش")</f>
        <v>0</v>
      </c>
      <c r="H131" s="141">
        <f>Summary[[#This Row],[فروش]]*Summary[[#This Row],[قیمت تمام شده]]</f>
        <v>350000</v>
      </c>
      <c r="I131" s="141">
        <f>Summary[[#This Row],[خرید]]-Summary[[#This Row],[فروش]]</f>
        <v>1</v>
      </c>
      <c r="J131" s="141">
        <f>Summary[[#This Row],[موجودی]]*Summary[[#This Row],[قیمت تمام شده]]</f>
        <v>350000</v>
      </c>
      <c r="K131" s="152">
        <f>IF(B131="", "", _xlfn.XLOOKUP(B131, T[کالا], T[نحوه تسویه], ""))</f>
        <v>0</v>
      </c>
      <c r="L131" s="152" t="str">
        <f>IF(B131="", "", _xlfn.XLOOKUP(B131, T[کالا], T[شماره فاکتور], ""))</f>
        <v>د 312</v>
      </c>
      <c r="M131" s="152" t="str">
        <f>IF(B131="", "", _xlfn.XLOOKUP(Summary[[#This Row],[فاکتور]], T[شماره فاکتور], T[فروشنده / مشتری], "نامشخص"))</f>
        <v>دلگشا</v>
      </c>
      <c r="N131" s="141">
        <f>Summary[[#This Row],[ارزش فروش]] - (Summary[[#This Row],[قیمت تمام شده]]*Summary[[#This Row],[فروش]])</f>
        <v>-350000</v>
      </c>
      <c r="O131" s="365">
        <f>IFERROR(Summary[[#This Row],[سود]]/Summary[[#This Row],[ارزش کالای فروخته شده]], "")</f>
        <v>-1</v>
      </c>
    </row>
    <row r="132" spans="2:15" x14ac:dyDescent="0.8">
      <c r="B132" s="152" t="str">
        <v>دامن عروسکی تور</v>
      </c>
      <c r="C132" s="141">
        <f>SUMIFS(T[تعداد], T[کالا], B132, T[نوع عملیات], "خرید")</f>
        <v>2</v>
      </c>
      <c r="D132" s="141">
        <f t="shared" si="4"/>
        <v>550000</v>
      </c>
      <c r="E132" s="141">
        <f>SUMIFS(T[قیمت کل], T[کالا], B132, T[نوع عملیات], "خرید")</f>
        <v>1100000</v>
      </c>
      <c r="F132" s="141">
        <f>SUMIFS(T[تعداد], T[کالا], B132, T[نوع عملیات], "فروش") + SUMIFS(T[تعداد], T[کالا], B132, T[نوع عملیات], "استفاده خودم")</f>
        <v>1</v>
      </c>
      <c r="G132" s="141">
        <f>SUMIFS(T[قیمت کل], T[کالا], B132, T[نوع عملیات], "فروش")</f>
        <v>700000</v>
      </c>
      <c r="H132" s="141">
        <f>Summary[[#This Row],[فروش]]*Summary[[#This Row],[قیمت تمام شده]]</f>
        <v>550000</v>
      </c>
      <c r="I132" s="141">
        <f>Summary[[#This Row],[خرید]]-Summary[[#This Row],[فروش]]</f>
        <v>1</v>
      </c>
      <c r="J132" s="141">
        <f>Summary[[#This Row],[موجودی]]*Summary[[#This Row],[قیمت تمام شده]]</f>
        <v>550000</v>
      </c>
      <c r="K132" s="152">
        <f>IF(B132="", "", _xlfn.XLOOKUP(B132, T[کالا], T[نحوه تسویه], ""))</f>
        <v>0</v>
      </c>
      <c r="L132" s="152" t="str">
        <f>IF(B132="", "", _xlfn.XLOOKUP(B132, T[کالا], T[شماره فاکتور], ""))</f>
        <v>د 312</v>
      </c>
      <c r="M132" s="152" t="str">
        <f>IF(B132="", "", _xlfn.XLOOKUP(Summary[[#This Row],[فاکتور]], T[شماره فاکتور], T[فروشنده / مشتری], "نامشخص"))</f>
        <v>دلگشا</v>
      </c>
      <c r="N132" s="141">
        <f>Summary[[#This Row],[ارزش فروش]] - (Summary[[#This Row],[قیمت تمام شده]]*Summary[[#This Row],[فروش]])</f>
        <v>150000</v>
      </c>
      <c r="O132" s="365">
        <f>IFERROR(Summary[[#This Row],[سود]]/Summary[[#This Row],[ارزش کالای فروخته شده]], "")</f>
        <v>0.27272727272727271</v>
      </c>
    </row>
    <row r="133" spans="2:15" x14ac:dyDescent="0.8">
      <c r="B133" s="191" t="str">
        <v>شلوار پارچه ای تک راه 4 دگمه</v>
      </c>
      <c r="C133" s="141">
        <f>SUMIFS(T[تعداد], T[کالا], B133, T[نوع عملیات], "خرید")</f>
        <v>5</v>
      </c>
      <c r="D133" s="141">
        <f t="shared" si="4"/>
        <v>700000</v>
      </c>
      <c r="E133" s="141">
        <f>SUMIFS(T[قیمت کل], T[کالا], B133, T[نوع عملیات], "خرید")</f>
        <v>3500000</v>
      </c>
      <c r="F133" s="141">
        <f>SUMIFS(T[تعداد], T[کالا], B133, T[نوع عملیات], "فروش") + SUMIFS(T[تعداد], T[کالا], B133, T[نوع عملیات], "استفاده خودم")</f>
        <v>0</v>
      </c>
      <c r="G133" s="141">
        <f>SUMIFS(T[قیمت کل], T[کالا], B133, T[نوع عملیات], "فروش")</f>
        <v>0</v>
      </c>
      <c r="H133" s="141">
        <f>Summary[[#This Row],[فروش]]*Summary[[#This Row],[قیمت تمام شده]]</f>
        <v>0</v>
      </c>
      <c r="I133" s="141">
        <f>Summary[[#This Row],[خرید]]-Summary[[#This Row],[فروش]]</f>
        <v>5</v>
      </c>
      <c r="J133" s="141">
        <f>Summary[[#This Row],[موجودی]]*Summary[[#This Row],[قیمت تمام شده]]</f>
        <v>3500000</v>
      </c>
      <c r="K133" s="152" t="str">
        <f>IF(B133="", "", _xlfn.XLOOKUP(B133, T[کالا], T[نحوه تسویه], ""))</f>
        <v>حساب 5802</v>
      </c>
      <c r="L133" s="152" t="str">
        <f>IF(B133="", "", _xlfn.XLOOKUP(B133, T[کالا], T[شماره فاکتور], ""))</f>
        <v>د 312</v>
      </c>
      <c r="M133" s="152" t="str">
        <f>IF(B133="", "", _xlfn.XLOOKUP(Summary[[#This Row],[فاکتور]], T[شماره فاکتور], T[فروشنده / مشتری], "نامشخص"))</f>
        <v>دلگشا</v>
      </c>
      <c r="N133" s="141">
        <f>Summary[[#This Row],[ارزش فروش]] - (Summary[[#This Row],[قیمت تمام شده]]*Summary[[#This Row],[فروش]])</f>
        <v>0</v>
      </c>
      <c r="O133" s="365" t="str">
        <f>IFERROR(Summary[[#This Row],[سود]]/Summary[[#This Row],[ارزش کالای فروخته شده]], "")</f>
        <v/>
      </c>
    </row>
    <row r="134" spans="2:15" x14ac:dyDescent="0.8">
      <c r="B134" s="152" t="str">
        <v>شلوار جین شافل</v>
      </c>
      <c r="C134" s="141">
        <f>SUMIFS(T[تعداد], T[کالا], B134, T[نوع عملیات], "خرید")</f>
        <v>5</v>
      </c>
      <c r="D134" s="141">
        <f t="shared" si="4"/>
        <v>670000</v>
      </c>
      <c r="E134" s="141">
        <f>SUMIFS(T[قیمت کل], T[کالا], B134, T[نوع عملیات], "خرید")</f>
        <v>3350000</v>
      </c>
      <c r="F134" s="141">
        <f>SUMIFS(T[تعداد], T[کالا], B134, T[نوع عملیات], "فروش") + SUMIFS(T[تعداد], T[کالا], B134, T[نوع عملیات], "استفاده خودم")</f>
        <v>1</v>
      </c>
      <c r="G134" s="141">
        <f>SUMIFS(T[قیمت کل], T[کالا], B134, T[نوع عملیات], "فروش")</f>
        <v>1000000</v>
      </c>
      <c r="H134" s="141">
        <f>Summary[[#This Row],[فروش]]*Summary[[#This Row],[قیمت تمام شده]]</f>
        <v>670000</v>
      </c>
      <c r="I134" s="141">
        <f>Summary[[#This Row],[خرید]]-Summary[[#This Row],[فروش]]</f>
        <v>4</v>
      </c>
      <c r="J134" s="141">
        <f>Summary[[#This Row],[موجودی]]*Summary[[#This Row],[قیمت تمام شده]]</f>
        <v>2680000</v>
      </c>
      <c r="K134" s="152" t="str">
        <f>IF(B134="", "", _xlfn.XLOOKUP(B134, T[کالا], T[نحوه تسویه], ""))</f>
        <v>حساب 5802</v>
      </c>
      <c r="L134" s="152" t="str">
        <f>IF(B134="", "", _xlfn.XLOOKUP(B134, T[کالا], T[شماره فاکتور], ""))</f>
        <v>ب 312</v>
      </c>
      <c r="M134" s="152" t="str">
        <f>IF(B134="", "", _xlfn.XLOOKUP(Summary[[#This Row],[فاکتور]], T[شماره فاکتور], T[فروشنده / مشتری], "نامشخص"))</f>
        <v>بازار</v>
      </c>
      <c r="N134" s="141">
        <f>Summary[[#This Row],[ارزش فروش]] - (Summary[[#This Row],[قیمت تمام شده]]*Summary[[#This Row],[فروش]])</f>
        <v>330000</v>
      </c>
      <c r="O134" s="365">
        <f>IFERROR(Summary[[#This Row],[سود]]/Summary[[#This Row],[ارزش کالای فروخته شده]], "")</f>
        <v>0.4925373134328358</v>
      </c>
    </row>
    <row r="135" spans="2:15" x14ac:dyDescent="0.8">
      <c r="B135" s="191" t="str">
        <v>شلوار فول بگ جین</v>
      </c>
      <c r="C135" s="141">
        <f>SUMIFS(T[تعداد], T[کالا], B135, T[نوع عملیات], "خرید")</f>
        <v>4</v>
      </c>
      <c r="D135" s="141">
        <f t="shared" si="4"/>
        <v>580000</v>
      </c>
      <c r="E135" s="141">
        <f>SUMIFS(T[قیمت کل], T[کالا], B135, T[نوع عملیات], "خرید")</f>
        <v>2320000</v>
      </c>
      <c r="F135" s="141">
        <f>SUMIFS(T[تعداد], T[کالا], B135, T[نوع عملیات], "فروش") + SUMIFS(T[تعداد], T[کالا], B135, T[نوع عملیات], "استفاده خودم")</f>
        <v>1</v>
      </c>
      <c r="G135" s="141">
        <f>SUMIFS(T[قیمت کل], T[کالا], B135, T[نوع عملیات], "فروش")</f>
        <v>1500000</v>
      </c>
      <c r="H135" s="141">
        <f>Summary[[#This Row],[فروش]]*Summary[[#This Row],[قیمت تمام شده]]</f>
        <v>580000</v>
      </c>
      <c r="I135" s="141">
        <f>Summary[[#This Row],[خرید]]-Summary[[#This Row],[فروش]]</f>
        <v>3</v>
      </c>
      <c r="J135" s="141">
        <f>Summary[[#This Row],[موجودی]]*Summary[[#This Row],[قیمت تمام شده]]</f>
        <v>1740000</v>
      </c>
      <c r="K135" s="152" t="str">
        <f>IF(B135="", "", _xlfn.XLOOKUP(B135, T[کالا], T[نحوه تسویه], ""))</f>
        <v>حساب 5802</v>
      </c>
      <c r="L135" s="152" t="str">
        <f>IF(B135="", "", _xlfn.XLOOKUP(B135, T[کالا], T[شماره فاکتور], ""))</f>
        <v>ب 312</v>
      </c>
      <c r="M135" s="152" t="str">
        <f>IF(B135="", "", _xlfn.XLOOKUP(Summary[[#This Row],[فاکتور]], T[شماره فاکتور], T[فروشنده / مشتری], "نامشخص"))</f>
        <v>بازار</v>
      </c>
      <c r="N135" s="141">
        <f>Summary[[#This Row],[ارزش فروش]] - (Summary[[#This Row],[قیمت تمام شده]]*Summary[[#This Row],[فروش]])</f>
        <v>920000</v>
      </c>
      <c r="O135" s="365">
        <f>IFERROR(Summary[[#This Row],[سود]]/Summary[[#This Row],[ارزش کالای فروخته شده]], "")</f>
        <v>1.5862068965517242</v>
      </c>
    </row>
    <row r="136" spans="2:15" x14ac:dyDescent="0.8">
      <c r="B136" s="152" t="str">
        <v>شلوار مشکی فیت 2 دگمه</v>
      </c>
      <c r="C136" s="141">
        <f>SUMIFS(T[تعداد], T[کالا], B136, T[نوع عملیات], "خرید")</f>
        <v>4</v>
      </c>
      <c r="D136" s="141">
        <f t="shared" si="4"/>
        <v>400000</v>
      </c>
      <c r="E136" s="141">
        <f>SUMIFS(T[قیمت کل], T[کالا], B136, T[نوع عملیات], "خرید")</f>
        <v>1600000</v>
      </c>
      <c r="F136" s="141">
        <f>SUMIFS(T[تعداد], T[کالا], B136, T[نوع عملیات], "فروش") + SUMIFS(T[تعداد], T[کالا], B136, T[نوع عملیات], "استفاده خودم")</f>
        <v>0</v>
      </c>
      <c r="G136" s="141">
        <f>SUMIFS(T[قیمت کل], T[کالا], B136, T[نوع عملیات], "فروش")</f>
        <v>0</v>
      </c>
      <c r="H136" s="141">
        <f>Summary[[#This Row],[فروش]]*Summary[[#This Row],[قیمت تمام شده]]</f>
        <v>0</v>
      </c>
      <c r="I136" s="141">
        <f>Summary[[#This Row],[خرید]]-Summary[[#This Row],[فروش]]</f>
        <v>4</v>
      </c>
      <c r="J136" s="141">
        <f>Summary[[#This Row],[موجودی]]*Summary[[#This Row],[قیمت تمام شده]]</f>
        <v>1600000</v>
      </c>
      <c r="K136" s="152" t="str">
        <f>IF(B136="", "", _xlfn.XLOOKUP(B136, T[کالا], T[نحوه تسویه], ""))</f>
        <v>حساب 5802</v>
      </c>
      <c r="L136" s="152" t="str">
        <f>IF(B136="", "", _xlfn.XLOOKUP(B136, T[کالا], T[شماره فاکتور], ""))</f>
        <v>ب 312</v>
      </c>
      <c r="M136" s="152" t="str">
        <f>IF(B136="", "", _xlfn.XLOOKUP(Summary[[#This Row],[فاکتور]], T[شماره فاکتور], T[فروشنده / مشتری], "نامشخص"))</f>
        <v>بازار</v>
      </c>
      <c r="N136" s="141">
        <f>Summary[[#This Row],[ارزش فروش]] - (Summary[[#This Row],[قیمت تمام شده]]*Summary[[#This Row],[فروش]])</f>
        <v>0</v>
      </c>
      <c r="O136" s="365" t="str">
        <f>IFERROR(Summary[[#This Row],[سود]]/Summary[[#This Row],[ارزش کالای فروخته شده]], "")</f>
        <v/>
      </c>
    </row>
    <row r="137" spans="2:15" x14ac:dyDescent="0.8">
      <c r="B137" s="191" t="str">
        <v>آزاد نخی دگمه دار فری سایز</v>
      </c>
      <c r="C137" s="141">
        <f>SUMIFS(T[تعداد], T[کالا], B137, T[نوع عملیات], "خرید")</f>
        <v>3</v>
      </c>
      <c r="D137" s="141">
        <f t="shared" si="4"/>
        <v>220000</v>
      </c>
      <c r="E137" s="141">
        <f>SUMIFS(T[قیمت کل], T[کالا], B137, T[نوع عملیات], "خرید")</f>
        <v>660000</v>
      </c>
      <c r="F137" s="141">
        <f>SUMIFS(T[تعداد], T[کالا], B137, T[نوع عملیات], "فروش") + SUMIFS(T[تعداد], T[کالا], B137, T[نوع عملیات], "استفاده خودم")</f>
        <v>3</v>
      </c>
      <c r="G137" s="141">
        <f>SUMIFS(T[قیمت کل], T[کالا], B137, T[نوع عملیات], "فروش")</f>
        <v>1590000</v>
      </c>
      <c r="H137" s="141">
        <f>Summary[[#This Row],[فروش]]*Summary[[#This Row],[قیمت تمام شده]]</f>
        <v>660000</v>
      </c>
      <c r="I137" s="141">
        <f>Summary[[#This Row],[خرید]]-Summary[[#This Row],[فروش]]</f>
        <v>0</v>
      </c>
      <c r="J137" s="141">
        <f>Summary[[#This Row],[موجودی]]*Summary[[#This Row],[قیمت تمام شده]]</f>
        <v>0</v>
      </c>
      <c r="K137" s="152" t="str">
        <f>IF(B137="", "", _xlfn.XLOOKUP(B137, T[کالا], T[نحوه تسویه], ""))</f>
        <v>حساب 5802</v>
      </c>
      <c r="L137" s="152" t="str">
        <f>IF(B137="", "", _xlfn.XLOOKUP(B137, T[کالا], T[شماره فاکتور], ""))</f>
        <v>ب 312</v>
      </c>
      <c r="M137" s="152" t="str">
        <f>IF(B137="", "", _xlfn.XLOOKUP(Summary[[#This Row],[فاکتور]], T[شماره فاکتور], T[فروشنده / مشتری], "نامشخص"))</f>
        <v>بازار</v>
      </c>
      <c r="N137" s="141">
        <f>Summary[[#This Row],[ارزش فروش]] - (Summary[[#This Row],[قیمت تمام شده]]*Summary[[#This Row],[فروش]])</f>
        <v>930000</v>
      </c>
      <c r="O137" s="365">
        <f>IFERROR(Summary[[#This Row],[سود]]/Summary[[#This Row],[ارزش کالای فروخته شده]], "")</f>
        <v>1.4090909090909092</v>
      </c>
    </row>
    <row r="138" spans="2:15" x14ac:dyDescent="0.8">
      <c r="B138" s="152" t="str">
        <v>بوتکات کمردار مشکی</v>
      </c>
      <c r="C138" s="141">
        <f>SUMIFS(T[تعداد], T[کالا], B138, T[نوع عملیات], "خرید")</f>
        <v>4</v>
      </c>
      <c r="D138" s="141">
        <f t="shared" si="4"/>
        <v>578000</v>
      </c>
      <c r="E138" s="141">
        <f>SUMIFS(T[قیمت کل], T[کالا], B138, T[نوع عملیات], "خرید")</f>
        <v>2312000</v>
      </c>
      <c r="F138" s="141">
        <f>SUMIFS(T[تعداد], T[کالا], B138, T[نوع عملیات], "فروش") + SUMIFS(T[تعداد], T[کالا], B138, T[نوع عملیات], "استفاده خودم")</f>
        <v>5</v>
      </c>
      <c r="G138" s="141">
        <f>SUMIFS(T[قیمت کل], T[کالا], B138, T[نوع عملیات], "فروش")</f>
        <v>4400000</v>
      </c>
      <c r="H138" s="141">
        <f>Summary[[#This Row],[فروش]]*Summary[[#This Row],[قیمت تمام شده]]</f>
        <v>2890000</v>
      </c>
      <c r="I138" s="141">
        <f>Summary[[#This Row],[خرید]]-Summary[[#This Row],[فروش]]</f>
        <v>-1</v>
      </c>
      <c r="J138" s="141">
        <f>Summary[[#This Row],[موجودی]]*Summary[[#This Row],[قیمت تمام شده]]</f>
        <v>-578000</v>
      </c>
      <c r="K138" s="152" t="str">
        <f>IF(B138="", "", _xlfn.XLOOKUP(B138, T[کالا], T[نحوه تسویه], ""))</f>
        <v>حساب 5802</v>
      </c>
      <c r="L138" s="152" t="str">
        <f>IF(B138="", "", _xlfn.XLOOKUP(B138, T[کالا], T[شماره فاکتور], ""))</f>
        <v>ب 312</v>
      </c>
      <c r="M138" s="152" t="str">
        <f>IF(B138="", "", _xlfn.XLOOKUP(Summary[[#This Row],[فاکتور]], T[شماره فاکتور], T[فروشنده / مشتری], "نامشخص"))</f>
        <v>بازار</v>
      </c>
      <c r="N138" s="141">
        <f>Summary[[#This Row],[ارزش فروش]] - (Summary[[#This Row],[قیمت تمام شده]]*Summary[[#This Row],[فروش]])</f>
        <v>1510000</v>
      </c>
      <c r="O138" s="365">
        <f>IFERROR(Summary[[#This Row],[سود]]/Summary[[#This Row],[ارزش کالای فروخته شده]], "")</f>
        <v>0.52249134948096887</v>
      </c>
    </row>
    <row r="139" spans="2:15" x14ac:dyDescent="0.8">
      <c r="B139" s="191" t="str">
        <v>دامن جین بلند</v>
      </c>
      <c r="C139" s="141">
        <f>SUMIFS(T[تعداد], T[کالا], B139, T[نوع عملیات], "خرید")</f>
        <v>2</v>
      </c>
      <c r="D139" s="141">
        <f t="shared" si="4"/>
        <v>400000</v>
      </c>
      <c r="E139" s="141">
        <f>SUMIFS(T[قیمت کل], T[کالا], B139, T[نوع عملیات], "خرید")</f>
        <v>800000</v>
      </c>
      <c r="F139" s="141">
        <f>SUMIFS(T[تعداد], T[کالا], B139, T[نوع عملیات], "فروش") + SUMIFS(T[تعداد], T[کالا], B139, T[نوع عملیات], "استفاده خودم")</f>
        <v>0</v>
      </c>
      <c r="G139" s="141">
        <f>SUMIFS(T[قیمت کل], T[کالا], B139, T[نوع عملیات], "فروش")</f>
        <v>0</v>
      </c>
      <c r="H139" s="141">
        <f>Summary[[#This Row],[فروش]]*Summary[[#This Row],[قیمت تمام شده]]</f>
        <v>0</v>
      </c>
      <c r="I139" s="141">
        <f>Summary[[#This Row],[خرید]]-Summary[[#This Row],[فروش]]</f>
        <v>2</v>
      </c>
      <c r="J139" s="141">
        <f>Summary[[#This Row],[موجودی]]*Summary[[#This Row],[قیمت تمام شده]]</f>
        <v>800000</v>
      </c>
      <c r="K139" s="152" t="str">
        <f>IF(B139="", "", _xlfn.XLOOKUP(B139, T[کالا], T[نحوه تسویه], ""))</f>
        <v>نقدی</v>
      </c>
      <c r="L139" s="152" t="str">
        <f>IF(B139="", "", _xlfn.XLOOKUP(B139, T[کالا], T[شماره فاکتور], ""))</f>
        <v>و 309</v>
      </c>
      <c r="M139" s="152" t="str">
        <f>IF(B139="", "", _xlfn.XLOOKUP(Summary[[#This Row],[فاکتور]], T[شماره فاکتور], T[فروشنده / مشتری], "نامشخص"))</f>
        <v>وان ترکیه</v>
      </c>
      <c r="N139" s="141">
        <f>Summary[[#This Row],[ارزش فروش]] - (Summary[[#This Row],[قیمت تمام شده]]*Summary[[#This Row],[فروش]])</f>
        <v>0</v>
      </c>
      <c r="O139" s="365" t="str">
        <f>IFERROR(Summary[[#This Row],[سود]]/Summary[[#This Row],[ارزش کالای فروخته شده]], "")</f>
        <v/>
      </c>
    </row>
    <row r="140" spans="2:15" x14ac:dyDescent="0.8">
      <c r="B140" s="152" t="str">
        <v>کمربند</v>
      </c>
      <c r="C140" s="141">
        <f>SUMIFS(T[تعداد], T[کالا], B140, T[نوع عملیات], "خرید")</f>
        <v>28</v>
      </c>
      <c r="D140" s="141">
        <f t="shared" si="4"/>
        <v>54285.714285714283</v>
      </c>
      <c r="E140" s="141">
        <f>SUMIFS(T[قیمت کل], T[کالا], B140, T[نوع عملیات], "خرید")</f>
        <v>1520000</v>
      </c>
      <c r="F140" s="141">
        <f>SUMIFS(T[تعداد], T[کالا], B140, T[نوع عملیات], "فروش") + SUMIFS(T[تعداد], T[کالا], B140, T[نوع عملیات], "استفاده خودم")</f>
        <v>22</v>
      </c>
      <c r="G140" s="141">
        <f>SUMIFS(T[قیمت کل], T[کالا], B140, T[نوع عملیات], "فروش")</f>
        <v>4250000</v>
      </c>
      <c r="H140" s="141">
        <f>Summary[[#This Row],[فروش]]*Summary[[#This Row],[قیمت تمام شده]]</f>
        <v>1194285.7142857143</v>
      </c>
      <c r="I140" s="141">
        <f>Summary[[#This Row],[خرید]]-Summary[[#This Row],[فروش]]</f>
        <v>6</v>
      </c>
      <c r="J140" s="141">
        <f>Summary[[#This Row],[موجودی]]*Summary[[#This Row],[قیمت تمام شده]]</f>
        <v>325714.28571428568</v>
      </c>
      <c r="K140" s="152" t="str">
        <f>IF(B140="", "", _xlfn.XLOOKUP(B140, T[کالا], T[نحوه تسویه], ""))</f>
        <v>حساب 5802</v>
      </c>
      <c r="L140" s="152" t="str">
        <f>IF(B140="", "", _xlfn.XLOOKUP(B140, T[کالا], T[شماره فاکتور], ""))</f>
        <v>ب 312</v>
      </c>
      <c r="M140" s="152" t="str">
        <f>IF(B140="", "", _xlfn.XLOOKUP(Summary[[#This Row],[فاکتور]], T[شماره فاکتور], T[فروشنده / مشتری], "نامشخص"))</f>
        <v>بازار</v>
      </c>
      <c r="N140" s="141">
        <f>Summary[[#This Row],[ارزش فروش]] - (Summary[[#This Row],[قیمت تمام شده]]*Summary[[#This Row],[فروش]])</f>
        <v>3055714.2857142854</v>
      </c>
      <c r="O140" s="365">
        <f>IFERROR(Summary[[#This Row],[سود]]/Summary[[#This Row],[ارزش کالای فروخته شده]], "")</f>
        <v>2.5586124401913874</v>
      </c>
    </row>
    <row r="141" spans="2:15" x14ac:dyDescent="0.8">
      <c r="B141" s="191" t="str">
        <v>کیف ویکتوریا</v>
      </c>
      <c r="C141" s="141">
        <f>SUMIFS(T[تعداد], T[کالا], B141, T[نوع عملیات], "خرید")</f>
        <v>2</v>
      </c>
      <c r="D141" s="141">
        <f t="shared" si="4"/>
        <v>200000</v>
      </c>
      <c r="E141" s="141">
        <f>SUMIFS(T[قیمت کل], T[کالا], B141, T[نوع عملیات], "خرید")</f>
        <v>400000</v>
      </c>
      <c r="F141" s="141">
        <f>SUMIFS(T[تعداد], T[کالا], B141, T[نوع عملیات], "فروش") + SUMIFS(T[تعداد], T[کالا], B141, T[نوع عملیات], "استفاده خودم")</f>
        <v>2</v>
      </c>
      <c r="G141" s="141">
        <f>SUMIFS(T[قیمت کل], T[کالا], B141, T[نوع عملیات], "فروش")</f>
        <v>1220000</v>
      </c>
      <c r="H141" s="141">
        <f>Summary[[#This Row],[فروش]]*Summary[[#This Row],[قیمت تمام شده]]</f>
        <v>400000</v>
      </c>
      <c r="I141" s="141">
        <f>Summary[[#This Row],[خرید]]-Summary[[#This Row],[فروش]]</f>
        <v>0</v>
      </c>
      <c r="J141" s="141">
        <f>Summary[[#This Row],[موجودی]]*Summary[[#This Row],[قیمت تمام شده]]</f>
        <v>0</v>
      </c>
      <c r="K141" s="152" t="str">
        <f>IF(B141="", "", _xlfn.XLOOKUP(B141, T[کالا], T[نحوه تسویه], ""))</f>
        <v>حساب 5802</v>
      </c>
      <c r="L141" s="152" t="str">
        <f>IF(B141="", "", _xlfn.XLOOKUP(B141, T[کالا], T[شماره فاکتور], ""))</f>
        <v>س 312</v>
      </c>
      <c r="M141" s="152" t="str">
        <f>IF(B141="", "", _xlfn.XLOOKUP(Summary[[#This Row],[فاکتور]], T[شماره فاکتور], T[فروشنده / مشتری], "نامشخص"))</f>
        <v>سیروس</v>
      </c>
      <c r="N141" s="141">
        <f>Summary[[#This Row],[ارزش فروش]] - (Summary[[#This Row],[قیمت تمام شده]]*Summary[[#This Row],[فروش]])</f>
        <v>820000</v>
      </c>
      <c r="O141" s="365">
        <f>IFERROR(Summary[[#This Row],[سود]]/Summary[[#This Row],[ارزش کالای فروخته شده]], "")</f>
        <v>2.0499999999999998</v>
      </c>
    </row>
    <row r="142" spans="2:15" x14ac:dyDescent="0.8">
      <c r="B142" s="152" t="str">
        <v>کیف طوسی</v>
      </c>
      <c r="C142" s="141">
        <f>SUMIFS(T[تعداد], T[کالا], B142, T[نوع عملیات], "خرید")</f>
        <v>1</v>
      </c>
      <c r="D142" s="141">
        <f t="shared" si="4"/>
        <v>200000</v>
      </c>
      <c r="E142" s="141">
        <f>SUMIFS(T[قیمت کل], T[کالا], B142, T[نوع عملیات], "خرید")</f>
        <v>200000</v>
      </c>
      <c r="F142" s="141">
        <f>SUMIFS(T[تعداد], T[کالا], B142, T[نوع عملیات], "فروش") + SUMIFS(T[تعداد], T[کالا], B142, T[نوع عملیات], "استفاده خودم")</f>
        <v>0</v>
      </c>
      <c r="G142" s="141">
        <f>SUMIFS(T[قیمت کل], T[کالا], B142, T[نوع عملیات], "فروش")</f>
        <v>0</v>
      </c>
      <c r="H142" s="141">
        <f>Summary[[#This Row],[فروش]]*Summary[[#This Row],[قیمت تمام شده]]</f>
        <v>0</v>
      </c>
      <c r="I142" s="141">
        <f>Summary[[#This Row],[خرید]]-Summary[[#This Row],[فروش]]</f>
        <v>1</v>
      </c>
      <c r="J142" s="141">
        <f>Summary[[#This Row],[موجودی]]*Summary[[#This Row],[قیمت تمام شده]]</f>
        <v>200000</v>
      </c>
      <c r="K142" s="152" t="str">
        <f>IF(B142="", "", _xlfn.XLOOKUP(B142, T[کالا], T[نحوه تسویه], ""))</f>
        <v>حساب 5802</v>
      </c>
      <c r="L142" s="152" t="str">
        <f>IF(B142="", "", _xlfn.XLOOKUP(B142, T[کالا], T[شماره فاکتور], ""))</f>
        <v>س 312</v>
      </c>
      <c r="M142" s="152" t="str">
        <f>IF(B142="", "", _xlfn.XLOOKUP(Summary[[#This Row],[فاکتور]], T[شماره فاکتور], T[فروشنده / مشتری], "نامشخص"))</f>
        <v>سیروس</v>
      </c>
      <c r="N142" s="141">
        <f>Summary[[#This Row],[ارزش فروش]] - (Summary[[#This Row],[قیمت تمام شده]]*Summary[[#This Row],[فروش]])</f>
        <v>0</v>
      </c>
      <c r="O142" s="365" t="str">
        <f>IFERROR(Summary[[#This Row],[سود]]/Summary[[#This Row],[ارزش کالای فروخته شده]], "")</f>
        <v/>
      </c>
    </row>
    <row r="143" spans="2:15" x14ac:dyDescent="0.8">
      <c r="B143" s="191" t="str">
        <v>کش سر</v>
      </c>
      <c r="C143" s="141">
        <f>SUMIFS(T[تعداد], T[کالا], B143, T[نوع عملیات], "خرید")</f>
        <v>9</v>
      </c>
      <c r="D143" s="141">
        <f t="shared" si="4"/>
        <v>18500</v>
      </c>
      <c r="E143" s="141">
        <f>SUMIFS(T[قیمت کل], T[کالا], B143, T[نوع عملیات], "خرید")</f>
        <v>166500</v>
      </c>
      <c r="F143" s="141">
        <f>SUMIFS(T[تعداد], T[کالا], B143, T[نوع عملیات], "فروش") + SUMIFS(T[تعداد], T[کالا], B143, T[نوع عملیات], "استفاده خودم")</f>
        <v>4</v>
      </c>
      <c r="G143" s="141">
        <f>SUMIFS(T[قیمت کل], T[کالا], B143, T[نوع عملیات], "فروش")</f>
        <v>199000</v>
      </c>
      <c r="H143" s="141">
        <f>Summary[[#This Row],[فروش]]*Summary[[#This Row],[قیمت تمام شده]]</f>
        <v>74000</v>
      </c>
      <c r="I143" s="141">
        <f>Summary[[#This Row],[خرید]]-Summary[[#This Row],[فروش]]</f>
        <v>5</v>
      </c>
      <c r="J143" s="141">
        <f>Summary[[#This Row],[موجودی]]*Summary[[#This Row],[قیمت تمام شده]]</f>
        <v>92500</v>
      </c>
      <c r="K143" s="152" t="str">
        <f>IF(B143="", "", _xlfn.XLOOKUP(B143, T[کالا], T[نحوه تسویه], ""))</f>
        <v>حساب 5802</v>
      </c>
      <c r="L143" s="152" t="str">
        <f>IF(B143="", "", _xlfn.XLOOKUP(B143, T[کالا], T[شماره فاکتور], ""))</f>
        <v>ب 312</v>
      </c>
      <c r="M143" s="152" t="str">
        <f>IF(B143="", "", _xlfn.XLOOKUP(Summary[[#This Row],[فاکتور]], T[شماره فاکتور], T[فروشنده / مشتری], "نامشخص"))</f>
        <v>بازار</v>
      </c>
      <c r="N143" s="141">
        <f>Summary[[#This Row],[ارزش فروش]] - (Summary[[#This Row],[قیمت تمام شده]]*Summary[[#This Row],[فروش]])</f>
        <v>125000</v>
      </c>
      <c r="O143" s="365">
        <f>IFERROR(Summary[[#This Row],[سود]]/Summary[[#This Row],[ارزش کالای فروخته شده]], "")</f>
        <v>1.6891891891891893</v>
      </c>
    </row>
    <row r="144" spans="2:15" x14ac:dyDescent="0.8">
      <c r="B144" s="152" t="str">
        <v>عطر LCW</v>
      </c>
      <c r="C144" s="141">
        <f>SUMIFS(T[تعداد], T[کالا], B144, T[نوع عملیات], "خرید")</f>
        <v>6</v>
      </c>
      <c r="D144" s="141">
        <f t="shared" si="4"/>
        <v>200000</v>
      </c>
      <c r="E144" s="141">
        <f>SUMIFS(T[قیمت کل], T[کالا], B144, T[نوع عملیات], "خرید")</f>
        <v>1200000</v>
      </c>
      <c r="F144" s="141">
        <f>SUMIFS(T[تعداد], T[کالا], B144, T[نوع عملیات], "فروش") + SUMIFS(T[تعداد], T[کالا], B144, T[نوع عملیات], "استفاده خودم")</f>
        <v>1</v>
      </c>
      <c r="G144" s="141">
        <f>SUMIFS(T[قیمت کل], T[کالا], B144, T[نوع عملیات], "فروش")</f>
        <v>850000</v>
      </c>
      <c r="H144" s="141">
        <f>Summary[[#This Row],[فروش]]*Summary[[#This Row],[قیمت تمام شده]]</f>
        <v>200000</v>
      </c>
      <c r="I144" s="141">
        <f>Summary[[#This Row],[خرید]]-Summary[[#This Row],[فروش]]</f>
        <v>5</v>
      </c>
      <c r="J144" s="141">
        <f>Summary[[#This Row],[موجودی]]*Summary[[#This Row],[قیمت تمام شده]]</f>
        <v>1000000</v>
      </c>
      <c r="K144" s="152" t="str">
        <f>IF(B144="", "", _xlfn.XLOOKUP(B144, T[کالا], T[نحوه تسویه], ""))</f>
        <v>نقدی</v>
      </c>
      <c r="L144" s="152" t="str">
        <f>IF(B144="", "", _xlfn.XLOOKUP(B144, T[کالا], T[شماره فاکتور], ""))</f>
        <v>و 309</v>
      </c>
      <c r="M144" s="152" t="str">
        <f>IF(B144="", "", _xlfn.XLOOKUP(Summary[[#This Row],[فاکتور]], T[شماره فاکتور], T[فروشنده / مشتری], "نامشخص"))</f>
        <v>وان ترکیه</v>
      </c>
      <c r="N144" s="141">
        <f>Summary[[#This Row],[ارزش فروش]] - (Summary[[#This Row],[قیمت تمام شده]]*Summary[[#This Row],[فروش]])</f>
        <v>650000</v>
      </c>
      <c r="O144" s="365">
        <f>IFERROR(Summary[[#This Row],[سود]]/Summary[[#This Row],[ارزش کالای فروخته شده]], "")</f>
        <v>3.25</v>
      </c>
    </row>
    <row r="145" spans="2:15" x14ac:dyDescent="0.8">
      <c r="B145" s="191" t="str">
        <v>کلیپس</v>
      </c>
      <c r="C145" s="141">
        <f>SUMIFS(T[تعداد], T[کالا], B145, T[نوع عملیات], "خرید")</f>
        <v>2</v>
      </c>
      <c r="D145" s="141">
        <f t="shared" si="4"/>
        <v>40000</v>
      </c>
      <c r="E145" s="141">
        <f>SUMIFS(T[قیمت کل], T[کالا], B145, T[نوع عملیات], "خرید")</f>
        <v>80000</v>
      </c>
      <c r="F145" s="141">
        <f>SUMIFS(T[تعداد], T[کالا], B145, T[نوع عملیات], "فروش") + SUMIFS(T[تعداد], T[کالا], B145, T[نوع عملیات], "استفاده خودم")</f>
        <v>1</v>
      </c>
      <c r="G145" s="141">
        <f>SUMIFS(T[قیمت کل], T[کالا], B145, T[نوع عملیات], "فروش")</f>
        <v>100000</v>
      </c>
      <c r="H145" s="141">
        <f>Summary[[#This Row],[فروش]]*Summary[[#This Row],[قیمت تمام شده]]</f>
        <v>40000</v>
      </c>
      <c r="I145" s="141">
        <f>Summary[[#This Row],[خرید]]-Summary[[#This Row],[فروش]]</f>
        <v>1</v>
      </c>
      <c r="J145" s="141">
        <f>Summary[[#This Row],[موجودی]]*Summary[[#This Row],[قیمت تمام شده]]</f>
        <v>40000</v>
      </c>
      <c r="K145" s="152" t="str">
        <f>IF(B145="", "", _xlfn.XLOOKUP(B145, T[کالا], T[نحوه تسویه], ""))</f>
        <v>نقدی</v>
      </c>
      <c r="L145" s="152" t="str">
        <f>IF(B145="", "", _xlfn.XLOOKUP(B145, T[کالا], T[شماره فاکتور], ""))</f>
        <v>و 309</v>
      </c>
      <c r="M145" s="152" t="str">
        <f>IF(B145="", "", _xlfn.XLOOKUP(Summary[[#This Row],[فاکتور]], T[شماره فاکتور], T[فروشنده / مشتری], "نامشخص"))</f>
        <v>وان ترکیه</v>
      </c>
      <c r="N145" s="141">
        <f>Summary[[#This Row],[ارزش فروش]] - (Summary[[#This Row],[قیمت تمام شده]]*Summary[[#This Row],[فروش]])</f>
        <v>60000</v>
      </c>
      <c r="O145" s="365">
        <f>IFERROR(Summary[[#This Row],[سود]]/Summary[[#This Row],[ارزش کالای فروخته شده]], "")</f>
        <v>1.5</v>
      </c>
    </row>
    <row r="146" spans="2:15" x14ac:dyDescent="0.8">
      <c r="B146" s="152" t="str">
        <v>تیشرت عکس دار</v>
      </c>
      <c r="C146" s="141">
        <f>SUMIFS(T[تعداد], T[کالا], B146, T[نوع عملیات], "خرید")</f>
        <v>10</v>
      </c>
      <c r="D146" s="141">
        <f t="shared" si="4"/>
        <v>200000</v>
      </c>
      <c r="E146" s="141">
        <f>SUMIFS(T[قیمت کل], T[کالا], B146, T[نوع عملیات], "خرید")</f>
        <v>2000000</v>
      </c>
      <c r="F146" s="141">
        <f>SUMIFS(T[تعداد], T[کالا], B146, T[نوع عملیات], "فروش") + SUMIFS(T[تعداد], T[کالا], B146, T[نوع عملیات], "استفاده خودم")</f>
        <v>5</v>
      </c>
      <c r="G146" s="141">
        <f>SUMIFS(T[قیمت کل], T[کالا], B146, T[نوع عملیات], "فروش")</f>
        <v>1650000</v>
      </c>
      <c r="H146" s="141">
        <f>Summary[[#This Row],[فروش]]*Summary[[#This Row],[قیمت تمام شده]]</f>
        <v>1000000</v>
      </c>
      <c r="I146" s="141">
        <f>Summary[[#This Row],[خرید]]-Summary[[#This Row],[فروش]]</f>
        <v>5</v>
      </c>
      <c r="J146" s="141">
        <f>Summary[[#This Row],[موجودی]]*Summary[[#This Row],[قیمت تمام شده]]</f>
        <v>1000000</v>
      </c>
      <c r="K146" s="152" t="str">
        <f>IF(B146="", "", _xlfn.XLOOKUP(B146, T[کالا], T[نحوه تسویه], ""))</f>
        <v>حساب 5802</v>
      </c>
      <c r="L146" s="152" t="str">
        <f>IF(B146="", "", _xlfn.XLOOKUP(B146, T[کالا], T[شماره فاکتور], ""))</f>
        <v>ب 401</v>
      </c>
      <c r="M146" s="152" t="str">
        <f>IF(B146="", "", _xlfn.XLOOKUP(Summary[[#This Row],[فاکتور]], T[شماره فاکتور], T[فروشنده / مشتری], "نامشخص"))</f>
        <v>بازار</v>
      </c>
      <c r="N146" s="141">
        <f>Summary[[#This Row],[ارزش فروش]] - (Summary[[#This Row],[قیمت تمام شده]]*Summary[[#This Row],[فروش]])</f>
        <v>650000</v>
      </c>
      <c r="O146" s="365">
        <f>IFERROR(Summary[[#This Row],[سود]]/Summary[[#This Row],[ارزش کالای فروخته شده]], "")</f>
        <v>0.65</v>
      </c>
    </row>
    <row r="147" spans="2:15" x14ac:dyDescent="0.8">
      <c r="B147" s="191" t="str">
        <v>کراپ قفل دار</v>
      </c>
      <c r="C147" s="141">
        <f>SUMIFS(T[تعداد], T[کالا], B147, T[نوع عملیات], "خرید")</f>
        <v>10</v>
      </c>
      <c r="D147" s="141">
        <f t="shared" si="4"/>
        <v>111000</v>
      </c>
      <c r="E147" s="141">
        <f>SUMIFS(T[قیمت کل], T[کالا], B147, T[نوع عملیات], "خرید")</f>
        <v>1110000</v>
      </c>
      <c r="F147" s="141">
        <f>SUMIFS(T[تعداد], T[کالا], B147, T[نوع عملیات], "فروش") + SUMIFS(T[تعداد], T[کالا], B147, T[نوع عملیات], "استفاده خودم")</f>
        <v>3</v>
      </c>
      <c r="G147" s="141">
        <f>SUMIFS(T[قیمت کل], T[کالا], B147, T[نوع عملیات], "فروش")</f>
        <v>350000</v>
      </c>
      <c r="H147" s="141">
        <f>Summary[[#This Row],[فروش]]*Summary[[#This Row],[قیمت تمام شده]]</f>
        <v>333000</v>
      </c>
      <c r="I147" s="141">
        <f>Summary[[#This Row],[خرید]]-Summary[[#This Row],[فروش]]</f>
        <v>7</v>
      </c>
      <c r="J147" s="141">
        <f>Summary[[#This Row],[موجودی]]*Summary[[#This Row],[قیمت تمام شده]]</f>
        <v>777000</v>
      </c>
      <c r="K147" s="152" t="str">
        <f>IF(B147="", "", _xlfn.XLOOKUP(B147, T[کالا], T[نحوه تسویه], ""))</f>
        <v>حساب 5802</v>
      </c>
      <c r="L147" s="152" t="str">
        <f>IF(B147="", "", _xlfn.XLOOKUP(B147, T[کالا], T[شماره فاکتور], ""))</f>
        <v>ب 401</v>
      </c>
      <c r="M147" s="152" t="str">
        <f>IF(B147="", "", _xlfn.XLOOKUP(Summary[[#This Row],[فاکتور]], T[شماره فاکتور], T[فروشنده / مشتری], "نامشخص"))</f>
        <v>بازار</v>
      </c>
      <c r="N147" s="141">
        <f>Summary[[#This Row],[ارزش فروش]] - (Summary[[#This Row],[قیمت تمام شده]]*Summary[[#This Row],[فروش]])</f>
        <v>17000</v>
      </c>
      <c r="O147" s="365">
        <f>IFERROR(Summary[[#This Row],[سود]]/Summary[[#This Row],[ارزش کالای فروخته شده]], "")</f>
        <v>5.1051051051051052E-2</v>
      </c>
    </row>
    <row r="148" spans="2:15" x14ac:dyDescent="0.8">
      <c r="B148" s="152" t="str">
        <v>تاپ ووگ</v>
      </c>
      <c r="C148" s="141">
        <f>SUMIFS(T[تعداد], T[کالا], B148, T[نوع عملیات], "خرید")</f>
        <v>10</v>
      </c>
      <c r="D148" s="141">
        <f t="shared" si="4"/>
        <v>174000</v>
      </c>
      <c r="E148" s="141">
        <f>SUMIFS(T[قیمت کل], T[کالا], B148, T[نوع عملیات], "خرید")</f>
        <v>1740000</v>
      </c>
      <c r="F148" s="141">
        <f>SUMIFS(T[تعداد], T[کالا], B148, T[نوع عملیات], "فروش") + SUMIFS(T[تعداد], T[کالا], B148, T[نوع عملیات], "استفاده خودم")</f>
        <v>4</v>
      </c>
      <c r="G148" s="141">
        <f>SUMIFS(T[قیمت کل], T[کالا], B148, T[نوع عملیات], "فروش")</f>
        <v>1400000</v>
      </c>
      <c r="H148" s="141">
        <f>Summary[[#This Row],[فروش]]*Summary[[#This Row],[قیمت تمام شده]]</f>
        <v>696000</v>
      </c>
      <c r="I148" s="141">
        <f>Summary[[#This Row],[خرید]]-Summary[[#This Row],[فروش]]</f>
        <v>6</v>
      </c>
      <c r="J148" s="141">
        <f>Summary[[#This Row],[موجودی]]*Summary[[#This Row],[قیمت تمام شده]]</f>
        <v>1044000</v>
      </c>
      <c r="K148" s="152" t="str">
        <f>IF(B148="", "", _xlfn.XLOOKUP(B148, T[کالا], T[نحوه تسویه], ""))</f>
        <v>حساب 5802</v>
      </c>
      <c r="L148" s="152" t="str">
        <f>IF(B148="", "", _xlfn.XLOOKUP(B148, T[کالا], T[شماره فاکتور], ""))</f>
        <v>ب 401</v>
      </c>
      <c r="M148" s="152" t="str">
        <f>IF(B148="", "", _xlfn.XLOOKUP(Summary[[#This Row],[فاکتور]], T[شماره فاکتور], T[فروشنده / مشتری], "نامشخص"))</f>
        <v>بازار</v>
      </c>
      <c r="N148" s="141">
        <f>Summary[[#This Row],[ارزش فروش]] - (Summary[[#This Row],[قیمت تمام شده]]*Summary[[#This Row],[فروش]])</f>
        <v>704000</v>
      </c>
      <c r="O148" s="365">
        <f>IFERROR(Summary[[#This Row],[سود]]/Summary[[#This Row],[ارزش کالای فروخته شده]], "")</f>
        <v>1.0114942528735633</v>
      </c>
    </row>
    <row r="149" spans="2:15" x14ac:dyDescent="0.8">
      <c r="B149" s="191" t="str">
        <v>دامن تور پلنگی</v>
      </c>
      <c r="C149" s="141">
        <f>SUMIFS(T[تعداد], T[کالا], B149, T[نوع عملیات], "خرید")</f>
        <v>1</v>
      </c>
      <c r="D149" s="141">
        <f t="shared" si="4"/>
        <v>290000</v>
      </c>
      <c r="E149" s="141">
        <f>SUMIFS(T[قیمت کل], T[کالا], B149, T[نوع عملیات], "خرید")</f>
        <v>290000</v>
      </c>
      <c r="F149" s="141">
        <f>SUMIFS(T[تعداد], T[کالا], B149, T[نوع عملیات], "فروش") + SUMIFS(T[تعداد], T[کالا], B149, T[نوع عملیات], "استفاده خودم")</f>
        <v>1</v>
      </c>
      <c r="G149" s="141">
        <f>SUMIFS(T[قیمت کل], T[کالا], B149, T[نوع عملیات], "فروش")</f>
        <v>850000</v>
      </c>
      <c r="H149" s="141">
        <f>Summary[[#This Row],[فروش]]*Summary[[#This Row],[قیمت تمام شده]]</f>
        <v>290000</v>
      </c>
      <c r="I149" s="141">
        <f>Summary[[#This Row],[خرید]]-Summary[[#This Row],[فروش]]</f>
        <v>0</v>
      </c>
      <c r="J149" s="141">
        <f>Summary[[#This Row],[موجودی]]*Summary[[#This Row],[قیمت تمام شده]]</f>
        <v>0</v>
      </c>
      <c r="K149" s="152" t="str">
        <f>IF(B149="", "", _xlfn.XLOOKUP(B149, T[کالا], T[نحوه تسویه], ""))</f>
        <v>حساب 5802</v>
      </c>
      <c r="L149" s="152" t="str">
        <f>IF(B149="", "", _xlfn.XLOOKUP(B149, T[کالا], T[شماره فاکتور], ""))</f>
        <v>ب 401</v>
      </c>
      <c r="M149" s="152" t="str">
        <f>IF(B149="", "", _xlfn.XLOOKUP(Summary[[#This Row],[فاکتور]], T[شماره فاکتور], T[فروشنده / مشتری], "نامشخص"))</f>
        <v>بازار</v>
      </c>
      <c r="N149" s="141">
        <f>Summary[[#This Row],[ارزش فروش]] - (Summary[[#This Row],[قیمت تمام شده]]*Summary[[#This Row],[فروش]])</f>
        <v>560000</v>
      </c>
      <c r="O149" s="365">
        <f>IFERROR(Summary[[#This Row],[سود]]/Summary[[#This Row],[ارزش کالای فروخته شده]], "")</f>
        <v>1.9310344827586208</v>
      </c>
    </row>
    <row r="150" spans="2:15" x14ac:dyDescent="0.8">
      <c r="B150" s="152" t="str">
        <v>دامن تور پلنگی چین دار</v>
      </c>
      <c r="C150" s="141">
        <f>SUMIFS(T[تعداد], T[کالا], B150, T[نوع عملیات], "خرید")</f>
        <v>1</v>
      </c>
      <c r="D150" s="141">
        <f t="shared" si="4"/>
        <v>480000</v>
      </c>
      <c r="E150" s="141">
        <f>SUMIFS(T[قیمت کل], T[کالا], B150, T[نوع عملیات], "خرید")</f>
        <v>480000</v>
      </c>
      <c r="F150" s="141">
        <f>SUMIFS(T[تعداد], T[کالا], B150, T[نوع عملیات], "فروش") + SUMIFS(T[تعداد], T[کالا], B150, T[نوع عملیات], "استفاده خودم")</f>
        <v>0</v>
      </c>
      <c r="G150" s="141">
        <f>SUMIFS(T[قیمت کل], T[کالا], B150, T[نوع عملیات], "فروش")</f>
        <v>0</v>
      </c>
      <c r="H150" s="141">
        <f>Summary[[#This Row],[فروش]]*Summary[[#This Row],[قیمت تمام شده]]</f>
        <v>0</v>
      </c>
      <c r="I150" s="141">
        <f>Summary[[#This Row],[خرید]]-Summary[[#This Row],[فروش]]</f>
        <v>1</v>
      </c>
      <c r="J150" s="141">
        <f>Summary[[#This Row],[موجودی]]*Summary[[#This Row],[قیمت تمام شده]]</f>
        <v>480000</v>
      </c>
      <c r="K150" s="152" t="str">
        <f>IF(B150="", "", _xlfn.XLOOKUP(B150, T[کالا], T[نحوه تسویه], ""))</f>
        <v>حساب 5802</v>
      </c>
      <c r="L150" s="152" t="str">
        <f>IF(B150="", "", _xlfn.XLOOKUP(B150, T[کالا], T[شماره فاکتور], ""))</f>
        <v>ب 401</v>
      </c>
      <c r="M150" s="152" t="str">
        <f>IF(B150="", "", _xlfn.XLOOKUP(Summary[[#This Row],[فاکتور]], T[شماره فاکتور], T[فروشنده / مشتری], "نامشخص"))</f>
        <v>بازار</v>
      </c>
      <c r="N150" s="141">
        <f>Summary[[#This Row],[ارزش فروش]] - (Summary[[#This Row],[قیمت تمام شده]]*Summary[[#This Row],[فروش]])</f>
        <v>0</v>
      </c>
      <c r="O150" s="365" t="str">
        <f>IFERROR(Summary[[#This Row],[سود]]/Summary[[#This Row],[ارزش کالای فروخته شده]], "")</f>
        <v/>
      </c>
    </row>
    <row r="151" spans="2:15" x14ac:dyDescent="0.8">
      <c r="B151" s="191" t="str">
        <v>دامن تور ساده مشکی</v>
      </c>
      <c r="C151" s="141">
        <f>SUMIFS(T[تعداد], T[کالا], B151, T[نوع عملیات], "خرید")</f>
        <v>1</v>
      </c>
      <c r="D151" s="141">
        <f t="shared" si="4"/>
        <v>220000</v>
      </c>
      <c r="E151" s="141">
        <f>SUMIFS(T[قیمت کل], T[کالا], B151, T[نوع عملیات], "خرید")</f>
        <v>220000</v>
      </c>
      <c r="F151" s="141">
        <f>SUMIFS(T[تعداد], T[کالا], B151, T[نوع عملیات], "فروش") + SUMIFS(T[تعداد], T[کالا], B151, T[نوع عملیات], "استفاده خودم")</f>
        <v>1</v>
      </c>
      <c r="G151" s="141">
        <f>SUMIFS(T[قیمت کل], T[کالا], B151, T[نوع عملیات], "فروش")</f>
        <v>850000</v>
      </c>
      <c r="H151" s="141">
        <f>Summary[[#This Row],[فروش]]*Summary[[#This Row],[قیمت تمام شده]]</f>
        <v>220000</v>
      </c>
      <c r="I151" s="141">
        <f>Summary[[#This Row],[خرید]]-Summary[[#This Row],[فروش]]</f>
        <v>0</v>
      </c>
      <c r="J151" s="141">
        <f>Summary[[#This Row],[موجودی]]*Summary[[#This Row],[قیمت تمام شده]]</f>
        <v>0</v>
      </c>
      <c r="K151" s="152" t="str">
        <f>IF(B151="", "", _xlfn.XLOOKUP(B151, T[کالا], T[نحوه تسویه], ""))</f>
        <v>حساب 5802</v>
      </c>
      <c r="L151" s="152" t="str">
        <f>IF(B151="", "", _xlfn.XLOOKUP(B151, T[کالا], T[شماره فاکتور], ""))</f>
        <v>ب 401</v>
      </c>
      <c r="M151" s="152" t="str">
        <f>IF(B151="", "", _xlfn.XLOOKUP(Summary[[#This Row],[فاکتور]], T[شماره فاکتور], T[فروشنده / مشتری], "نامشخص"))</f>
        <v>بازار</v>
      </c>
      <c r="N151" s="141">
        <f>Summary[[#This Row],[ارزش فروش]] - (Summary[[#This Row],[قیمت تمام شده]]*Summary[[#This Row],[فروش]])</f>
        <v>630000</v>
      </c>
      <c r="O151" s="365">
        <f>IFERROR(Summary[[#This Row],[سود]]/Summary[[#This Row],[ارزش کالای فروخته شده]], "")</f>
        <v>2.8636363636363638</v>
      </c>
    </row>
    <row r="152" spans="2:15" x14ac:dyDescent="0.8">
      <c r="B152" s="152" t="str">
        <v>تیشرت سالسا</v>
      </c>
      <c r="C152" s="141">
        <f>SUMIFS(T[تعداد], T[کالا], B152, T[نوع عملیات], "خرید")</f>
        <v>17</v>
      </c>
      <c r="D152" s="141">
        <f t="shared" si="4"/>
        <v>347058.82352941175</v>
      </c>
      <c r="E152" s="141">
        <f>SUMIFS(T[قیمت کل], T[کالا], B152, T[نوع عملیات], "خرید")</f>
        <v>5900000</v>
      </c>
      <c r="F152" s="141">
        <f>SUMIFS(T[تعداد], T[کالا], B152, T[نوع عملیات], "فروش") + SUMIFS(T[تعداد], T[کالا], B152, T[نوع عملیات], "استفاده خودم")</f>
        <v>19</v>
      </c>
      <c r="G152" s="141">
        <f>SUMIFS(T[قیمت کل], T[کالا], B152, T[نوع عملیات], "فروش")</f>
        <v>9200000</v>
      </c>
      <c r="H152" s="141">
        <f>Summary[[#This Row],[فروش]]*Summary[[#This Row],[قیمت تمام شده]]</f>
        <v>6594117.6470588231</v>
      </c>
      <c r="I152" s="141">
        <f>Summary[[#This Row],[خرید]]-Summary[[#This Row],[فروش]]</f>
        <v>-2</v>
      </c>
      <c r="J152" s="141">
        <f>Summary[[#This Row],[موجودی]]*Summary[[#This Row],[قیمت تمام شده]]</f>
        <v>-694117.6470588235</v>
      </c>
      <c r="K152" s="152" t="str">
        <f>IF(B152="", "", _xlfn.XLOOKUP(B152, T[کالا], T[نحوه تسویه], ""))</f>
        <v>حساب 5802</v>
      </c>
      <c r="L152" s="152" t="str">
        <f>IF(B152="", "", _xlfn.XLOOKUP(B152, T[کالا], T[شماره فاکتور], ""))</f>
        <v>ب 401</v>
      </c>
      <c r="M152" s="152" t="str">
        <f>IF(B152="", "", _xlfn.XLOOKUP(Summary[[#This Row],[فاکتور]], T[شماره فاکتور], T[فروشنده / مشتری], "نامشخص"))</f>
        <v>بازار</v>
      </c>
      <c r="N152" s="141">
        <f>Summary[[#This Row],[ارزش فروش]] - (Summary[[#This Row],[قیمت تمام شده]]*Summary[[#This Row],[فروش]])</f>
        <v>2605882.3529411769</v>
      </c>
      <c r="O152" s="365">
        <f>IFERROR(Summary[[#This Row],[سود]]/Summary[[#This Row],[ارزش کالای فروخته شده]], "")</f>
        <v>0.39518287243532568</v>
      </c>
    </row>
    <row r="153" spans="2:15" x14ac:dyDescent="0.8">
      <c r="B153" s="191" t="str">
        <v>ست مکرومه نیم تنه دامن</v>
      </c>
      <c r="C153" s="141">
        <f>SUMIFS(T[تعداد], T[کالا], B153, T[نوع عملیات], "خرید")</f>
        <v>6</v>
      </c>
      <c r="D153" s="141">
        <f t="shared" si="4"/>
        <v>683333.33333333337</v>
      </c>
      <c r="E153" s="141">
        <f>SUMIFS(T[قیمت کل], T[کالا], B153, T[نوع عملیات], "خرید")</f>
        <v>4100000</v>
      </c>
      <c r="F153" s="141">
        <f>SUMIFS(T[تعداد], T[کالا], B153, T[نوع عملیات], "فروش") + SUMIFS(T[تعداد], T[کالا], B153, T[نوع عملیات], "استفاده خودم")</f>
        <v>2</v>
      </c>
      <c r="G153" s="141">
        <f>SUMIFS(T[قیمت کل], T[کالا], B153, T[نوع عملیات], "فروش")</f>
        <v>1600000</v>
      </c>
      <c r="H153" s="141">
        <f>Summary[[#This Row],[فروش]]*Summary[[#This Row],[قیمت تمام شده]]</f>
        <v>1366666.6666666667</v>
      </c>
      <c r="I153" s="141">
        <f>Summary[[#This Row],[خرید]]-Summary[[#This Row],[فروش]]</f>
        <v>4</v>
      </c>
      <c r="J153" s="141">
        <f>Summary[[#This Row],[موجودی]]*Summary[[#This Row],[قیمت تمام شده]]</f>
        <v>2733333.3333333335</v>
      </c>
      <c r="K153" s="152" t="str">
        <f>IF(B153="", "", _xlfn.XLOOKUP(B153, T[کالا], T[نحوه تسویه], ""))</f>
        <v>حساب 1090</v>
      </c>
      <c r="L153" s="152" t="str">
        <f>IF(B153="", "", _xlfn.XLOOKUP(B153, T[کالا], T[شماره فاکتور], ""))</f>
        <v>ب 401</v>
      </c>
      <c r="M153" s="152" t="str">
        <f>IF(B153="", "", _xlfn.XLOOKUP(Summary[[#This Row],[فاکتور]], T[شماره فاکتور], T[فروشنده / مشتری], "نامشخص"))</f>
        <v>بازار</v>
      </c>
      <c r="N153" s="141">
        <f>Summary[[#This Row],[ارزش فروش]] - (Summary[[#This Row],[قیمت تمام شده]]*Summary[[#This Row],[فروش]])</f>
        <v>233333.33333333326</v>
      </c>
      <c r="O153" s="365">
        <f>IFERROR(Summary[[#This Row],[سود]]/Summary[[#This Row],[ارزش کالای فروخته شده]], "")</f>
        <v>0.1707317073170731</v>
      </c>
    </row>
    <row r="154" spans="2:15" x14ac:dyDescent="0.8">
      <c r="B154" s="152" t="str">
        <v>تاپ چشم نظر</v>
      </c>
      <c r="C154" s="141">
        <f>SUMIFS(T[تعداد], T[کالا], B154, T[نوع عملیات], "خرید")</f>
        <v>8</v>
      </c>
      <c r="D154" s="141">
        <f t="shared" si="4"/>
        <v>97500</v>
      </c>
      <c r="E154" s="141">
        <f>SUMIFS(T[قیمت کل], T[کالا], B154, T[نوع عملیات], "خرید")</f>
        <v>780000</v>
      </c>
      <c r="F154" s="141">
        <f>SUMIFS(T[تعداد], T[کالا], B154, T[نوع عملیات], "فروش") + SUMIFS(T[تعداد], T[کالا], B154, T[نوع عملیات], "استفاده خودم")</f>
        <v>5</v>
      </c>
      <c r="G154" s="141">
        <f>SUMIFS(T[قیمت کل], T[کالا], B154, T[نوع عملیات], "فروش")</f>
        <v>1650000</v>
      </c>
      <c r="H154" s="141">
        <f>Summary[[#This Row],[فروش]]*Summary[[#This Row],[قیمت تمام شده]]</f>
        <v>487500</v>
      </c>
      <c r="I154" s="141">
        <f>Summary[[#This Row],[خرید]]-Summary[[#This Row],[فروش]]</f>
        <v>3</v>
      </c>
      <c r="J154" s="141">
        <f>Summary[[#This Row],[موجودی]]*Summary[[#This Row],[قیمت تمام شده]]</f>
        <v>292500</v>
      </c>
      <c r="K154" s="152" t="str">
        <f>IF(B154="", "", _xlfn.XLOOKUP(B154, T[کالا], T[نحوه تسویه], ""))</f>
        <v>حساب 1090</v>
      </c>
      <c r="L154" s="152" t="str">
        <f>IF(B154="", "", _xlfn.XLOOKUP(B154, T[کالا], T[شماره فاکتور], ""))</f>
        <v>ب 401</v>
      </c>
      <c r="M154" s="152" t="str">
        <f>IF(B154="", "", _xlfn.XLOOKUP(Summary[[#This Row],[فاکتور]], T[شماره فاکتور], T[فروشنده / مشتری], "نامشخص"))</f>
        <v>بازار</v>
      </c>
      <c r="N154" s="141">
        <f>Summary[[#This Row],[ارزش فروش]] - (Summary[[#This Row],[قیمت تمام شده]]*Summary[[#This Row],[فروش]])</f>
        <v>1162500</v>
      </c>
      <c r="O154" s="365">
        <f>IFERROR(Summary[[#This Row],[سود]]/Summary[[#This Row],[ارزش کالای فروخته شده]], "")</f>
        <v>2.3846153846153846</v>
      </c>
    </row>
    <row r="155" spans="2:15" x14ac:dyDescent="0.8">
      <c r="B155" s="191" t="str">
        <v>شومیز سفید 1018</v>
      </c>
      <c r="C155" s="141">
        <f>SUMIFS(T[تعداد], T[کالا], B155, T[نوع عملیات], "خرید")</f>
        <v>3</v>
      </c>
      <c r="D155" s="141">
        <f t="shared" si="4"/>
        <v>380000</v>
      </c>
      <c r="E155" s="141">
        <f>SUMIFS(T[قیمت کل], T[کالا], B155, T[نوع عملیات], "خرید")</f>
        <v>1140000</v>
      </c>
      <c r="F155" s="141">
        <f>SUMIFS(T[تعداد], T[کالا], B155, T[نوع عملیات], "فروش") + SUMIFS(T[تعداد], T[کالا], B155, T[نوع عملیات], "استفاده خودم")</f>
        <v>1</v>
      </c>
      <c r="G155" s="141">
        <f>SUMIFS(T[قیمت کل], T[کالا], B155, T[نوع عملیات], "فروش")</f>
        <v>1200000</v>
      </c>
      <c r="H155" s="141">
        <f>Summary[[#This Row],[فروش]]*Summary[[#This Row],[قیمت تمام شده]]</f>
        <v>380000</v>
      </c>
      <c r="I155" s="141">
        <f>Summary[[#This Row],[خرید]]-Summary[[#This Row],[فروش]]</f>
        <v>2</v>
      </c>
      <c r="J155" s="141">
        <f>Summary[[#This Row],[موجودی]]*Summary[[#This Row],[قیمت تمام شده]]</f>
        <v>760000</v>
      </c>
      <c r="K155" s="152" t="str">
        <f>IF(B155="", "", _xlfn.XLOOKUP(B155, T[کالا], T[نحوه تسویه], ""))</f>
        <v>حساب 1090</v>
      </c>
      <c r="L155" s="152" t="str">
        <f>IF(B155="", "", _xlfn.XLOOKUP(B155, T[کالا], T[شماره فاکتور], ""))</f>
        <v>ب 401</v>
      </c>
      <c r="M155" s="152" t="str">
        <f>IF(B155="", "", _xlfn.XLOOKUP(Summary[[#This Row],[فاکتور]], T[شماره فاکتور], T[فروشنده / مشتری], "نامشخص"))</f>
        <v>بازار</v>
      </c>
      <c r="N155" s="141">
        <f>Summary[[#This Row],[ارزش فروش]] - (Summary[[#This Row],[قیمت تمام شده]]*Summary[[#This Row],[فروش]])</f>
        <v>820000</v>
      </c>
      <c r="O155" s="365">
        <f>IFERROR(Summary[[#This Row],[سود]]/Summary[[#This Row],[ارزش کالای فروخته شده]], "")</f>
        <v>2.1578947368421053</v>
      </c>
    </row>
    <row r="156" spans="2:15" x14ac:dyDescent="0.8">
      <c r="B156" s="152" t="str">
        <v>ست نیم تنه دامن ساتن 1006</v>
      </c>
      <c r="C156" s="141">
        <f>SUMIFS(T[تعداد], T[کالا], B156, T[نوع عملیات], "خرید")</f>
        <v>3</v>
      </c>
      <c r="D156" s="141">
        <f t="shared" si="4"/>
        <v>530000</v>
      </c>
      <c r="E156" s="141">
        <f>SUMIFS(T[قیمت کل], T[کالا], B156, T[نوع عملیات], "خرید")</f>
        <v>1590000</v>
      </c>
      <c r="F156" s="141">
        <f>SUMIFS(T[تعداد], T[کالا], B156, T[نوع عملیات], "فروش") + SUMIFS(T[تعداد], T[کالا], B156, T[نوع عملیات], "استفاده خودم")</f>
        <v>1</v>
      </c>
      <c r="G156" s="141">
        <f>SUMIFS(T[قیمت کل], T[کالا], B156, T[نوع عملیات], "فروش")</f>
        <v>1250000</v>
      </c>
      <c r="H156" s="141">
        <f>Summary[[#This Row],[فروش]]*Summary[[#This Row],[قیمت تمام شده]]</f>
        <v>530000</v>
      </c>
      <c r="I156" s="141">
        <f>Summary[[#This Row],[خرید]]-Summary[[#This Row],[فروش]]</f>
        <v>2</v>
      </c>
      <c r="J156" s="141">
        <f>Summary[[#This Row],[موجودی]]*Summary[[#This Row],[قیمت تمام شده]]</f>
        <v>1060000</v>
      </c>
      <c r="K156" s="152" t="str">
        <f>IF(B156="", "", _xlfn.XLOOKUP(B156, T[کالا], T[نحوه تسویه], ""))</f>
        <v>حساب 1090</v>
      </c>
      <c r="L156" s="152" t="str">
        <f>IF(B156="", "", _xlfn.XLOOKUP(B156, T[کالا], T[شماره فاکتور], ""))</f>
        <v>ب 401</v>
      </c>
      <c r="M156" s="152" t="str">
        <f>IF(B156="", "", _xlfn.XLOOKUP(Summary[[#This Row],[فاکتور]], T[شماره فاکتور], T[فروشنده / مشتری], "نامشخص"))</f>
        <v>بازار</v>
      </c>
      <c r="N156" s="141">
        <f>Summary[[#This Row],[ارزش فروش]] - (Summary[[#This Row],[قیمت تمام شده]]*Summary[[#This Row],[فروش]])</f>
        <v>720000</v>
      </c>
      <c r="O156" s="365">
        <f>IFERROR(Summary[[#This Row],[سود]]/Summary[[#This Row],[ارزش کالای فروخته شده]], "")</f>
        <v>1.3584905660377358</v>
      </c>
    </row>
    <row r="157" spans="2:15" x14ac:dyDescent="0.8">
      <c r="B157" s="191" t="str">
        <v>ست نیم تنه دامن گل بزرگ 1245</v>
      </c>
      <c r="C157" s="141">
        <f>SUMIFS(T[تعداد], T[کالا], B157, T[نوع عملیات], "خرید")</f>
        <v>3</v>
      </c>
      <c r="D157" s="141">
        <f t="shared" si="4"/>
        <v>700000</v>
      </c>
      <c r="E157" s="141">
        <f>SUMIFS(T[قیمت کل], T[کالا], B157, T[نوع عملیات], "خرید")</f>
        <v>2100000</v>
      </c>
      <c r="F157" s="141">
        <f>SUMIFS(T[تعداد], T[کالا], B157, T[نوع عملیات], "فروش") + SUMIFS(T[تعداد], T[کالا], B157, T[نوع عملیات], "استفاده خودم")</f>
        <v>1</v>
      </c>
      <c r="G157" s="141">
        <f>SUMIFS(T[قیمت کل], T[کالا], B157, T[نوع عملیات], "فروش")</f>
        <v>2480000</v>
      </c>
      <c r="H157" s="141">
        <f>Summary[[#This Row],[فروش]]*Summary[[#This Row],[قیمت تمام شده]]</f>
        <v>700000</v>
      </c>
      <c r="I157" s="141">
        <f>Summary[[#This Row],[خرید]]-Summary[[#This Row],[فروش]]</f>
        <v>2</v>
      </c>
      <c r="J157" s="141">
        <f>Summary[[#This Row],[موجودی]]*Summary[[#This Row],[قیمت تمام شده]]</f>
        <v>1400000</v>
      </c>
      <c r="K157" s="152" t="str">
        <f>IF(B157="", "", _xlfn.XLOOKUP(B157, T[کالا], T[نحوه تسویه], ""))</f>
        <v>حساب 1090</v>
      </c>
      <c r="L157" s="152" t="str">
        <f>IF(B157="", "", _xlfn.XLOOKUP(B157, T[کالا], T[شماره فاکتور], ""))</f>
        <v>ب 401</v>
      </c>
      <c r="M157" s="152" t="str">
        <f>IF(B157="", "", _xlfn.XLOOKUP(Summary[[#This Row],[فاکتور]], T[شماره فاکتور], T[فروشنده / مشتری], "نامشخص"))</f>
        <v>بازار</v>
      </c>
      <c r="N157" s="141">
        <f>Summary[[#This Row],[ارزش فروش]] - (Summary[[#This Row],[قیمت تمام شده]]*Summary[[#This Row],[فروش]])</f>
        <v>1780000</v>
      </c>
      <c r="O157" s="365">
        <f>IFERROR(Summary[[#This Row],[سود]]/Summary[[#This Row],[ارزش کالای فروخته شده]], "")</f>
        <v>2.5428571428571427</v>
      </c>
    </row>
    <row r="158" spans="2:15" x14ac:dyDescent="0.8">
      <c r="B158" s="152" t="str">
        <v>کت کوتاه و دامن 1115</v>
      </c>
      <c r="C158" s="141">
        <f>SUMIFS(T[تعداد], T[کالا], B158, T[نوع عملیات], "خرید")</f>
        <v>3</v>
      </c>
      <c r="D158" s="141">
        <f t="shared" si="4"/>
        <v>556666.66666666663</v>
      </c>
      <c r="E158" s="141">
        <f>SUMIFS(T[قیمت کل], T[کالا], B158, T[نوع عملیات], "خرید")</f>
        <v>1670000</v>
      </c>
      <c r="F158" s="141">
        <f>SUMIFS(T[تعداد], T[کالا], B158, T[نوع عملیات], "فروش") + SUMIFS(T[تعداد], T[کالا], B158, T[نوع عملیات], "استفاده خودم")</f>
        <v>2</v>
      </c>
      <c r="G158" s="141">
        <f>SUMIFS(T[قیمت کل], T[کالا], B158, T[نوع عملیات], "فروش")</f>
        <v>3700000</v>
      </c>
      <c r="H158" s="141">
        <f>Summary[[#This Row],[فروش]]*Summary[[#This Row],[قیمت تمام شده]]</f>
        <v>1113333.3333333333</v>
      </c>
      <c r="I158" s="141">
        <f>Summary[[#This Row],[خرید]]-Summary[[#This Row],[فروش]]</f>
        <v>1</v>
      </c>
      <c r="J158" s="141">
        <f>Summary[[#This Row],[موجودی]]*Summary[[#This Row],[قیمت تمام شده]]</f>
        <v>556666.66666666663</v>
      </c>
      <c r="K158" s="152" t="str">
        <f>IF(B158="", "", _xlfn.XLOOKUP(B158, T[کالا], T[نحوه تسویه], ""))</f>
        <v>حساب 1090</v>
      </c>
      <c r="L158" s="152" t="str">
        <f>IF(B158="", "", _xlfn.XLOOKUP(B158, T[کالا], T[شماره فاکتور], ""))</f>
        <v>ب 401</v>
      </c>
      <c r="M158" s="152" t="str">
        <f>IF(B158="", "", _xlfn.XLOOKUP(Summary[[#This Row],[فاکتور]], T[شماره فاکتور], T[فروشنده / مشتری], "نامشخص"))</f>
        <v>بازار</v>
      </c>
      <c r="N158" s="141">
        <f>Summary[[#This Row],[ارزش فروش]] - (Summary[[#This Row],[قیمت تمام شده]]*Summary[[#This Row],[فروش]])</f>
        <v>2586666.666666667</v>
      </c>
      <c r="O158" s="365">
        <f>IFERROR(Summary[[#This Row],[سود]]/Summary[[#This Row],[ارزش کالای فروخته شده]], "")</f>
        <v>2.3233532934131742</v>
      </c>
    </row>
    <row r="159" spans="2:15" x14ac:dyDescent="0.8">
      <c r="B159" s="191" t="str">
        <v>نیم تنه کار شده سنتی 808</v>
      </c>
      <c r="C159" s="141">
        <f>SUMIFS(T[تعداد], T[کالا], B159, T[نوع عملیات], "خرید")</f>
        <v>4</v>
      </c>
      <c r="D159" s="141">
        <f t="shared" si="4"/>
        <v>330000</v>
      </c>
      <c r="E159" s="141">
        <f>SUMIFS(T[قیمت کل], T[کالا], B159, T[نوع عملیات], "خرید")</f>
        <v>1320000</v>
      </c>
      <c r="F159" s="141">
        <f>SUMIFS(T[تعداد], T[کالا], B159, T[نوع عملیات], "فروش") + SUMIFS(T[تعداد], T[کالا], B159, T[نوع عملیات], "استفاده خودم")</f>
        <v>1</v>
      </c>
      <c r="G159" s="141">
        <f>SUMIFS(T[قیمت کل], T[کالا], B159, T[نوع عملیات], "فروش")</f>
        <v>500000</v>
      </c>
      <c r="H159" s="141">
        <f>Summary[[#This Row],[فروش]]*Summary[[#This Row],[قیمت تمام شده]]</f>
        <v>330000</v>
      </c>
      <c r="I159" s="141">
        <f>Summary[[#This Row],[خرید]]-Summary[[#This Row],[فروش]]</f>
        <v>3</v>
      </c>
      <c r="J159" s="141">
        <f>Summary[[#This Row],[موجودی]]*Summary[[#This Row],[قیمت تمام شده]]</f>
        <v>990000</v>
      </c>
      <c r="K159" s="152" t="str">
        <f>IF(B159="", "", _xlfn.XLOOKUP(B159, T[کالا], T[نحوه تسویه], ""))</f>
        <v>حساب 1090</v>
      </c>
      <c r="L159" s="152" t="str">
        <f>IF(B159="", "", _xlfn.XLOOKUP(B159, T[کالا], T[شماره فاکتور], ""))</f>
        <v>ب 401</v>
      </c>
      <c r="M159" s="152" t="str">
        <f>IF(B159="", "", _xlfn.XLOOKUP(Summary[[#This Row],[فاکتور]], T[شماره فاکتور], T[فروشنده / مشتری], "نامشخص"))</f>
        <v>بازار</v>
      </c>
      <c r="N159" s="141">
        <f>Summary[[#This Row],[ارزش فروش]] - (Summary[[#This Row],[قیمت تمام شده]]*Summary[[#This Row],[فروش]])</f>
        <v>170000</v>
      </c>
      <c r="O159" s="365">
        <f>IFERROR(Summary[[#This Row],[سود]]/Summary[[#This Row],[ارزش کالای فروخته شده]], "")</f>
        <v>0.51515151515151514</v>
      </c>
    </row>
    <row r="160" spans="2:15" x14ac:dyDescent="0.8">
      <c r="B160" s="152" t="str">
        <v>مانتو پولکی</v>
      </c>
      <c r="C160" s="141">
        <f>SUMIFS(T[تعداد], T[کالا], B160, T[نوع عملیات], "خرید")</f>
        <v>2</v>
      </c>
      <c r="D160" s="141">
        <f t="shared" si="4"/>
        <v>1250000</v>
      </c>
      <c r="E160" s="141">
        <f>SUMIFS(T[قیمت کل], T[کالا], B160, T[نوع عملیات], "خرید")</f>
        <v>2500000</v>
      </c>
      <c r="F160" s="141">
        <f>SUMIFS(T[تعداد], T[کالا], B160, T[نوع عملیات], "فروش") + SUMIFS(T[تعداد], T[کالا], B160, T[نوع عملیات], "استفاده خودم")</f>
        <v>2</v>
      </c>
      <c r="G160" s="141">
        <f>SUMIFS(T[قیمت کل], T[کالا], B160, T[نوع عملیات], "فروش")</f>
        <v>4100000</v>
      </c>
      <c r="H160" s="141">
        <f>Summary[[#This Row],[فروش]]*Summary[[#This Row],[قیمت تمام شده]]</f>
        <v>2500000</v>
      </c>
      <c r="I160" s="141">
        <f>Summary[[#This Row],[خرید]]-Summary[[#This Row],[فروش]]</f>
        <v>0</v>
      </c>
      <c r="J160" s="141">
        <f>Summary[[#This Row],[موجودی]]*Summary[[#This Row],[قیمت تمام شده]]</f>
        <v>0</v>
      </c>
      <c r="K160" s="152" t="str">
        <f>IF(B160="", "", _xlfn.XLOOKUP(B160, T[کالا], T[نحوه تسویه], ""))</f>
        <v>حساب 1090</v>
      </c>
      <c r="L160" s="152" t="str">
        <f>IF(B160="", "", _xlfn.XLOOKUP(B160, T[کالا], T[شماره فاکتور], ""))</f>
        <v>ب 401</v>
      </c>
      <c r="M160" s="152" t="str">
        <f>IF(B160="", "", _xlfn.XLOOKUP(Summary[[#This Row],[فاکتور]], T[شماره فاکتور], T[فروشنده / مشتری], "نامشخص"))</f>
        <v>بازار</v>
      </c>
      <c r="N160" s="141">
        <f>Summary[[#This Row],[ارزش فروش]] - (Summary[[#This Row],[قیمت تمام شده]]*Summary[[#This Row],[فروش]])</f>
        <v>1600000</v>
      </c>
      <c r="O160" s="365">
        <f>IFERROR(Summary[[#This Row],[سود]]/Summary[[#This Row],[ارزش کالای فروخته شده]], "")</f>
        <v>0.64</v>
      </c>
    </row>
    <row r="161" spans="2:15" x14ac:dyDescent="0.8">
      <c r="B161" s="191" t="str">
        <v>تاپ پرادا</v>
      </c>
      <c r="C161" s="141">
        <f>SUMIFS(T[تعداد], T[کالا], B161, T[نوع عملیات], "خرید")</f>
        <v>6</v>
      </c>
      <c r="D161" s="141">
        <f t="shared" si="4"/>
        <v>218000</v>
      </c>
      <c r="E161" s="141">
        <f>SUMIFS(T[قیمت کل], T[کالا], B161, T[نوع عملیات], "خرید")</f>
        <v>1308000</v>
      </c>
      <c r="F161" s="141">
        <f>SUMIFS(T[تعداد], T[کالا], B161, T[نوع عملیات], "فروش") + SUMIFS(T[تعداد], T[کالا], B161, T[نوع عملیات], "استفاده خودم")</f>
        <v>2</v>
      </c>
      <c r="G161" s="141">
        <f>SUMIFS(T[قیمت کل], T[کالا], B161, T[نوع عملیات], "فروش")</f>
        <v>950000</v>
      </c>
      <c r="H161" s="141">
        <f>Summary[[#This Row],[فروش]]*Summary[[#This Row],[قیمت تمام شده]]</f>
        <v>436000</v>
      </c>
      <c r="I161" s="141">
        <f>Summary[[#This Row],[خرید]]-Summary[[#This Row],[فروش]]</f>
        <v>4</v>
      </c>
      <c r="J161" s="141">
        <f>Summary[[#This Row],[موجودی]]*Summary[[#This Row],[قیمت تمام شده]]</f>
        <v>872000</v>
      </c>
      <c r="K161" s="152" t="str">
        <f>IF(B161="", "", _xlfn.XLOOKUP(B161, T[کالا], T[نحوه تسویه], ""))</f>
        <v>حساب 1090</v>
      </c>
      <c r="L161" s="152" t="str">
        <f>IF(B161="", "", _xlfn.XLOOKUP(B161, T[کالا], T[شماره فاکتور], ""))</f>
        <v>ب 401</v>
      </c>
      <c r="M161" s="152" t="str">
        <f>IF(B161="", "", _xlfn.XLOOKUP(Summary[[#This Row],[فاکتور]], T[شماره فاکتور], T[فروشنده / مشتری], "نامشخص"))</f>
        <v>بازار</v>
      </c>
      <c r="N161" s="141">
        <f>Summary[[#This Row],[ارزش فروش]] - (Summary[[#This Row],[قیمت تمام شده]]*Summary[[#This Row],[فروش]])</f>
        <v>514000</v>
      </c>
      <c r="O161" s="365">
        <f>IFERROR(Summary[[#This Row],[سود]]/Summary[[#This Row],[ارزش کالای فروخته شده]], "")</f>
        <v>1.1788990825688073</v>
      </c>
    </row>
    <row r="162" spans="2:15" x14ac:dyDescent="0.8">
      <c r="B162" s="152" t="str">
        <v>تاپ گل تک</v>
      </c>
      <c r="C162" s="141">
        <f>SUMIFS(T[تعداد], T[کالا], B162, T[نوع عملیات], "خرید")</f>
        <v>6</v>
      </c>
      <c r="D162" s="141">
        <f t="shared" si="4"/>
        <v>298000</v>
      </c>
      <c r="E162" s="141">
        <f>SUMIFS(T[قیمت کل], T[کالا], B162, T[نوع عملیات], "خرید")</f>
        <v>1788000</v>
      </c>
      <c r="F162" s="141">
        <f>SUMIFS(T[تعداد], T[کالا], B162, T[نوع عملیات], "فروش") + SUMIFS(T[تعداد], T[کالا], B162, T[نوع عملیات], "استفاده خودم")</f>
        <v>6</v>
      </c>
      <c r="G162" s="141">
        <f>SUMIFS(T[قیمت کل], T[کالا], B162, T[نوع عملیات], "فروش")</f>
        <v>3900000</v>
      </c>
      <c r="H162" s="141">
        <f>Summary[[#This Row],[فروش]]*Summary[[#This Row],[قیمت تمام شده]]</f>
        <v>1788000</v>
      </c>
      <c r="I162" s="141">
        <f>Summary[[#This Row],[خرید]]-Summary[[#This Row],[فروش]]</f>
        <v>0</v>
      </c>
      <c r="J162" s="141">
        <f>Summary[[#This Row],[موجودی]]*Summary[[#This Row],[قیمت تمام شده]]</f>
        <v>0</v>
      </c>
      <c r="K162" s="152" t="str">
        <f>IF(B162="", "", _xlfn.XLOOKUP(B162, T[کالا], T[نحوه تسویه], ""))</f>
        <v>حساب 1090</v>
      </c>
      <c r="L162" s="152" t="str">
        <f>IF(B162="", "", _xlfn.XLOOKUP(B162, T[کالا], T[شماره فاکتور], ""))</f>
        <v>ب 401</v>
      </c>
      <c r="M162" s="152" t="str">
        <f>IF(B162="", "", _xlfn.XLOOKUP(Summary[[#This Row],[فاکتور]], T[شماره فاکتور], T[فروشنده / مشتری], "نامشخص"))</f>
        <v>بازار</v>
      </c>
      <c r="N162" s="141">
        <f>Summary[[#This Row],[ارزش فروش]] - (Summary[[#This Row],[قیمت تمام شده]]*Summary[[#This Row],[فروش]])</f>
        <v>2112000</v>
      </c>
      <c r="O162" s="365">
        <f>IFERROR(Summary[[#This Row],[سود]]/Summary[[#This Row],[ارزش کالای فروخته شده]], "")</f>
        <v>1.1812080536912752</v>
      </c>
    </row>
    <row r="163" spans="2:15" x14ac:dyDescent="0.8">
      <c r="B163" s="191" t="str">
        <v>تاپ والنسی</v>
      </c>
      <c r="C163" s="141">
        <f>SUMIFS(T[تعداد], T[کالا], B163, T[نوع عملیات], "خرید")</f>
        <v>6</v>
      </c>
      <c r="D163" s="141">
        <f t="shared" ref="D163:D178" si="5">IFERROR(E163/C163, 0)</f>
        <v>218000</v>
      </c>
      <c r="E163" s="141">
        <f>SUMIFS(T[قیمت کل], T[کالا], B163, T[نوع عملیات], "خرید")</f>
        <v>1308000</v>
      </c>
      <c r="F163" s="141">
        <f>SUMIFS(T[تعداد], T[کالا], B163, T[نوع عملیات], "فروش") + SUMIFS(T[تعداد], T[کالا], B163, T[نوع عملیات], "استفاده خودم")</f>
        <v>4</v>
      </c>
      <c r="G163" s="141">
        <f>SUMIFS(T[قیمت کل], T[کالا], B163, T[نوع عملیات], "فروش")</f>
        <v>1950000</v>
      </c>
      <c r="H163" s="141">
        <f>Summary[[#This Row],[فروش]]*Summary[[#This Row],[قیمت تمام شده]]</f>
        <v>872000</v>
      </c>
      <c r="I163" s="141">
        <f>Summary[[#This Row],[خرید]]-Summary[[#This Row],[فروش]]</f>
        <v>2</v>
      </c>
      <c r="J163" s="141">
        <f>Summary[[#This Row],[موجودی]]*Summary[[#This Row],[قیمت تمام شده]]</f>
        <v>436000</v>
      </c>
      <c r="K163" s="152" t="str">
        <f>IF(B163="", "", _xlfn.XLOOKUP(B163, T[کالا], T[نحوه تسویه], ""))</f>
        <v>حساب 1090</v>
      </c>
      <c r="L163" s="152" t="str">
        <f>IF(B163="", "", _xlfn.XLOOKUP(B163, T[کالا], T[شماره فاکتور], ""))</f>
        <v>ب 401</v>
      </c>
      <c r="M163" s="152" t="str">
        <f>IF(B163="", "", _xlfn.XLOOKUP(Summary[[#This Row],[فاکتور]], T[شماره فاکتور], T[فروشنده / مشتری], "نامشخص"))</f>
        <v>بازار</v>
      </c>
      <c r="N163" s="141">
        <f>Summary[[#This Row],[ارزش فروش]] - (Summary[[#This Row],[قیمت تمام شده]]*Summary[[#This Row],[فروش]])</f>
        <v>1078000</v>
      </c>
      <c r="O163" s="365">
        <f>IFERROR(Summary[[#This Row],[سود]]/Summary[[#This Row],[ارزش کالای فروخته شده]], "")</f>
        <v>1.2362385321100917</v>
      </c>
    </row>
    <row r="164" spans="2:15" x14ac:dyDescent="0.8">
      <c r="B164" s="152" t="str">
        <v>شومیز بافت کوتاه</v>
      </c>
      <c r="C164" s="141">
        <f>SUMIFS(T[تعداد], T[کالا], B164, T[نوع عملیات], "خرید")</f>
        <v>1</v>
      </c>
      <c r="D164" s="141">
        <f t="shared" si="5"/>
        <v>350000</v>
      </c>
      <c r="E164" s="141">
        <f>SUMIFS(T[قیمت کل], T[کالا], B164, T[نوع عملیات], "خرید")</f>
        <v>350000</v>
      </c>
      <c r="F164" s="141">
        <f>SUMIFS(T[تعداد], T[کالا], B164, T[نوع عملیات], "فروش") + SUMIFS(T[تعداد], T[کالا], B164, T[نوع عملیات], "استفاده خودم")</f>
        <v>1</v>
      </c>
      <c r="G164" s="141">
        <f>SUMIFS(T[قیمت کل], T[کالا], B164, T[نوع عملیات], "فروش")</f>
        <v>600000</v>
      </c>
      <c r="H164" s="141">
        <f>Summary[[#This Row],[فروش]]*Summary[[#This Row],[قیمت تمام شده]]</f>
        <v>350000</v>
      </c>
      <c r="I164" s="141">
        <f>Summary[[#This Row],[خرید]]-Summary[[#This Row],[فروش]]</f>
        <v>0</v>
      </c>
      <c r="J164" s="141">
        <f>Summary[[#This Row],[موجودی]]*Summary[[#This Row],[قیمت تمام شده]]</f>
        <v>0</v>
      </c>
      <c r="K164" s="152" t="str">
        <f>IF(B164="", "", _xlfn.XLOOKUP(B164, T[کالا], T[نحوه تسویه], ""))</f>
        <v>حساب 1090</v>
      </c>
      <c r="L164" s="152" t="str">
        <f>IF(B164="", "", _xlfn.XLOOKUP(B164, T[کالا], T[شماره فاکتور], ""))</f>
        <v>ب 401</v>
      </c>
      <c r="M164" s="152" t="str">
        <f>IF(B164="", "", _xlfn.XLOOKUP(Summary[[#This Row],[فاکتور]], T[شماره فاکتور], T[فروشنده / مشتری], "نامشخص"))</f>
        <v>بازار</v>
      </c>
      <c r="N164" s="141">
        <f>Summary[[#This Row],[ارزش فروش]] - (Summary[[#This Row],[قیمت تمام شده]]*Summary[[#This Row],[فروش]])</f>
        <v>250000</v>
      </c>
      <c r="O164" s="365">
        <f>IFERROR(Summary[[#This Row],[سود]]/Summary[[#This Row],[ارزش کالای فروخته شده]], "")</f>
        <v>0.7142857142857143</v>
      </c>
    </row>
    <row r="165" spans="2:15" x14ac:dyDescent="0.8">
      <c r="B165" s="191" t="str">
        <v>ست نیم تنه دامن ایتالیایی</v>
      </c>
      <c r="C165" s="141">
        <f>SUMIFS(T[تعداد], T[کالا], B165, T[نوع عملیات], "خرید")</f>
        <v>9</v>
      </c>
      <c r="D165" s="141">
        <f t="shared" si="5"/>
        <v>880000</v>
      </c>
      <c r="E165" s="141">
        <f>SUMIFS(T[قیمت کل], T[کالا], B165, T[نوع عملیات], "خرید")</f>
        <v>7920000</v>
      </c>
      <c r="F165" s="141">
        <f>SUMIFS(T[تعداد], T[کالا], B165, T[نوع عملیات], "فروش") + SUMIFS(T[تعداد], T[کالا], B165, T[نوع عملیات], "استفاده خودم")</f>
        <v>3</v>
      </c>
      <c r="G165" s="141">
        <f>SUMIFS(T[قیمت کل], T[کالا], B165, T[نوع عملیات], "فروش")</f>
        <v>3500000</v>
      </c>
      <c r="H165" s="141">
        <f>Summary[[#This Row],[فروش]]*Summary[[#This Row],[قیمت تمام شده]]</f>
        <v>2640000</v>
      </c>
      <c r="I165" s="141">
        <f>Summary[[#This Row],[خرید]]-Summary[[#This Row],[فروش]]</f>
        <v>6</v>
      </c>
      <c r="J165" s="141">
        <f>Summary[[#This Row],[موجودی]]*Summary[[#This Row],[قیمت تمام شده]]</f>
        <v>5280000</v>
      </c>
      <c r="K165" s="152" t="str">
        <f>IF(B165="", "", _xlfn.XLOOKUP(B165, T[کالا], T[نحوه تسویه], ""))</f>
        <v>حساب 5802</v>
      </c>
      <c r="L165" s="152" t="str">
        <f>IF(B165="", "", _xlfn.XLOOKUP(B165, T[کالا], T[شماره فاکتور], ""))</f>
        <v>ع 401</v>
      </c>
      <c r="M165" s="152" t="str">
        <f>IF(B165="", "", _xlfn.XLOOKUP(Summary[[#This Row],[فاکتور]], T[شماره فاکتور], T[فروشنده / مشتری], "نامشخص"))</f>
        <v>عبدل آباد</v>
      </c>
      <c r="N165" s="141">
        <f>Summary[[#This Row],[ارزش فروش]] - (Summary[[#This Row],[قیمت تمام شده]]*Summary[[#This Row],[فروش]])</f>
        <v>860000</v>
      </c>
      <c r="O165" s="365">
        <f>IFERROR(Summary[[#This Row],[سود]]/Summary[[#This Row],[ارزش کالای فروخته شده]], "")</f>
        <v>0.32575757575757575</v>
      </c>
    </row>
    <row r="166" spans="2:15" x14ac:dyDescent="0.8">
      <c r="B166" s="152" t="str">
        <v>نیم تنه ایتالیایی</v>
      </c>
      <c r="C166" s="141">
        <f>SUMIFS(T[تعداد], T[کالا], B166, T[نوع عملیات], "خرید")</f>
        <v>1</v>
      </c>
      <c r="D166" s="141">
        <f t="shared" si="5"/>
        <v>380000</v>
      </c>
      <c r="E166" s="141">
        <f>SUMIFS(T[قیمت کل], T[کالا], B166, T[نوع عملیات], "خرید")</f>
        <v>380000</v>
      </c>
      <c r="F166" s="141">
        <f>SUMIFS(T[تعداد], T[کالا], B166, T[نوع عملیات], "فروش") + SUMIFS(T[تعداد], T[کالا], B166, T[نوع عملیات], "استفاده خودم")</f>
        <v>1</v>
      </c>
      <c r="G166" s="141">
        <f>SUMIFS(T[قیمت کل], T[کالا], B166, T[نوع عملیات], "فروش")</f>
        <v>500000</v>
      </c>
      <c r="H166" s="141">
        <f>Summary[[#This Row],[فروش]]*Summary[[#This Row],[قیمت تمام شده]]</f>
        <v>380000</v>
      </c>
      <c r="I166" s="141">
        <f>Summary[[#This Row],[خرید]]-Summary[[#This Row],[فروش]]</f>
        <v>0</v>
      </c>
      <c r="J166" s="141">
        <f>Summary[[#This Row],[موجودی]]*Summary[[#This Row],[قیمت تمام شده]]</f>
        <v>0</v>
      </c>
      <c r="K166" s="152" t="str">
        <f>IF(B166="", "", _xlfn.XLOOKUP(B166, T[کالا], T[نحوه تسویه], ""))</f>
        <v>حساب 5802</v>
      </c>
      <c r="L166" s="152" t="str">
        <f>IF(B166="", "", _xlfn.XLOOKUP(B166, T[کالا], T[شماره فاکتور], ""))</f>
        <v>ع 401</v>
      </c>
      <c r="M166" s="152" t="str">
        <f>IF(B166="", "", _xlfn.XLOOKUP(Summary[[#This Row],[فاکتور]], T[شماره فاکتور], T[فروشنده / مشتری], "نامشخص"))</f>
        <v>عبدل آباد</v>
      </c>
      <c r="N166" s="141">
        <f>Summary[[#This Row],[ارزش فروش]] - (Summary[[#This Row],[قیمت تمام شده]]*Summary[[#This Row],[فروش]])</f>
        <v>120000</v>
      </c>
      <c r="O166" s="365">
        <f>IFERROR(Summary[[#This Row],[سود]]/Summary[[#This Row],[ارزش کالای فروخته شده]], "")</f>
        <v>0.31578947368421051</v>
      </c>
    </row>
    <row r="167" spans="2:15" x14ac:dyDescent="0.8">
      <c r="B167" s="191" t="str">
        <v>دامن ایتالیایی</v>
      </c>
      <c r="C167" s="141">
        <f>SUMIFS(T[تعداد], T[کالا], B167, T[نوع عملیات], "خرید")</f>
        <v>1</v>
      </c>
      <c r="D167" s="141">
        <f t="shared" si="5"/>
        <v>500000</v>
      </c>
      <c r="E167" s="141">
        <f>SUMIFS(T[قیمت کل], T[کالا], B167, T[نوع عملیات], "خرید")</f>
        <v>500000</v>
      </c>
      <c r="F167" s="141">
        <f>SUMIFS(T[تعداد], T[کالا], B167, T[نوع عملیات], "فروش") + SUMIFS(T[تعداد], T[کالا], B167, T[نوع عملیات], "استفاده خودم")</f>
        <v>1</v>
      </c>
      <c r="G167" s="141">
        <f>SUMIFS(T[قیمت کل], T[کالا], B167, T[نوع عملیات], "فروش")</f>
        <v>700000</v>
      </c>
      <c r="H167" s="141">
        <f>Summary[[#This Row],[فروش]]*Summary[[#This Row],[قیمت تمام شده]]</f>
        <v>500000</v>
      </c>
      <c r="I167" s="141">
        <f>Summary[[#This Row],[خرید]]-Summary[[#This Row],[فروش]]</f>
        <v>0</v>
      </c>
      <c r="J167" s="141">
        <f>Summary[[#This Row],[موجودی]]*Summary[[#This Row],[قیمت تمام شده]]</f>
        <v>0</v>
      </c>
      <c r="K167" s="152" t="str">
        <f>IF(B167="", "", _xlfn.XLOOKUP(B167, T[کالا], T[نحوه تسویه], ""))</f>
        <v>حساب 5802</v>
      </c>
      <c r="L167" s="152" t="str">
        <f>IF(B167="", "", _xlfn.XLOOKUP(B167, T[کالا], T[شماره فاکتور], ""))</f>
        <v>ع 401</v>
      </c>
      <c r="M167" s="152" t="str">
        <f>IF(B167="", "", _xlfn.XLOOKUP(Summary[[#This Row],[فاکتور]], T[شماره فاکتور], T[فروشنده / مشتری], "نامشخص"))</f>
        <v>عبدل آباد</v>
      </c>
      <c r="N167" s="141">
        <f>Summary[[#This Row],[ارزش فروش]] - (Summary[[#This Row],[قیمت تمام شده]]*Summary[[#This Row],[فروش]])</f>
        <v>200000</v>
      </c>
      <c r="O167" s="365">
        <f>IFERROR(Summary[[#This Row],[سود]]/Summary[[#This Row],[ارزش کالای فروخته شده]], "")</f>
        <v>0.4</v>
      </c>
    </row>
    <row r="168" spans="2:15" x14ac:dyDescent="0.8">
      <c r="B168" s="152" t="str">
        <v>بلرسود</v>
      </c>
      <c r="C168" s="141">
        <f>SUMIFS(T[تعداد], T[کالا], B168, T[نوع عملیات], "خرید")</f>
        <v>4</v>
      </c>
      <c r="D168" s="141">
        <f t="shared" si="5"/>
        <v>880000</v>
      </c>
      <c r="E168" s="141">
        <f>SUMIFS(T[قیمت کل], T[کالا], B168, T[نوع عملیات], "خرید")</f>
        <v>3520000</v>
      </c>
      <c r="F168" s="141">
        <f>SUMIFS(T[تعداد], T[کالا], B168, T[نوع عملیات], "فروش") + SUMIFS(T[تعداد], T[کالا], B168, T[نوع عملیات], "استفاده خودم")</f>
        <v>1</v>
      </c>
      <c r="G168" s="141">
        <f>SUMIFS(T[قیمت کل], T[کالا], B168, T[نوع عملیات], "فروش")</f>
        <v>1100000</v>
      </c>
      <c r="H168" s="141">
        <f>Summary[[#This Row],[فروش]]*Summary[[#This Row],[قیمت تمام شده]]</f>
        <v>880000</v>
      </c>
      <c r="I168" s="141">
        <f>Summary[[#This Row],[خرید]]-Summary[[#This Row],[فروش]]</f>
        <v>3</v>
      </c>
      <c r="J168" s="141">
        <f>Summary[[#This Row],[موجودی]]*Summary[[#This Row],[قیمت تمام شده]]</f>
        <v>2640000</v>
      </c>
      <c r="K168" s="152" t="str">
        <f>IF(B168="", "", _xlfn.XLOOKUP(B168, T[کالا], T[نحوه تسویه], ""))</f>
        <v>حساب 5802</v>
      </c>
      <c r="L168" s="152" t="str">
        <f>IF(B168="", "", _xlfn.XLOOKUP(B168, T[کالا], T[شماره فاکتور], ""))</f>
        <v>ع 401</v>
      </c>
      <c r="M168" s="152" t="str">
        <f>IF(B168="", "", _xlfn.XLOOKUP(Summary[[#This Row],[فاکتور]], T[شماره فاکتور], T[فروشنده / مشتری], "نامشخص"))</f>
        <v>عبدل آباد</v>
      </c>
      <c r="N168" s="141">
        <f>Summary[[#This Row],[ارزش فروش]] - (Summary[[#This Row],[قیمت تمام شده]]*Summary[[#This Row],[فروش]])</f>
        <v>220000</v>
      </c>
      <c r="O168" s="365">
        <f>IFERROR(Summary[[#This Row],[سود]]/Summary[[#This Row],[ارزش کالای فروخته شده]], "")</f>
        <v>0.25</v>
      </c>
    </row>
    <row r="169" spans="2:15" x14ac:dyDescent="0.8">
      <c r="B169" s="191" t="str">
        <v>شومیز رنگی Tork</v>
      </c>
      <c r="C169" s="141">
        <f>SUMIFS(T[تعداد], T[کالا], B169, T[نوع عملیات], "خرید")</f>
        <v>7</v>
      </c>
      <c r="D169" s="141">
        <f t="shared" si="5"/>
        <v>985000</v>
      </c>
      <c r="E169" s="141">
        <f>SUMIFS(T[قیمت کل], T[کالا], B169, T[نوع عملیات], "خرید")</f>
        <v>6895000</v>
      </c>
      <c r="F169" s="141">
        <f>SUMIFS(T[تعداد], T[کالا], B169, T[نوع عملیات], "فروش") + SUMIFS(T[تعداد], T[کالا], B169, T[نوع عملیات], "استفاده خودم")</f>
        <v>4</v>
      </c>
      <c r="G169" s="141">
        <f>SUMIFS(T[قیمت کل], T[کالا], B169, T[نوع عملیات], "فروش")</f>
        <v>5890000</v>
      </c>
      <c r="H169" s="141">
        <f>Summary[[#This Row],[فروش]]*Summary[[#This Row],[قیمت تمام شده]]</f>
        <v>3940000</v>
      </c>
      <c r="I169" s="141">
        <f>Summary[[#This Row],[خرید]]-Summary[[#This Row],[فروش]]</f>
        <v>3</v>
      </c>
      <c r="J169" s="141">
        <f>Summary[[#This Row],[موجودی]]*Summary[[#This Row],[قیمت تمام شده]]</f>
        <v>2955000</v>
      </c>
      <c r="K169" s="152" t="str">
        <f>IF(B169="", "", _xlfn.XLOOKUP(B169, T[کالا], T[نحوه تسویه], ""))</f>
        <v>حساب 5802</v>
      </c>
      <c r="L169" s="152" t="str">
        <f>IF(B169="", "", _xlfn.XLOOKUP(B169, T[کالا], T[شماره فاکتور], ""))</f>
        <v>ع 401</v>
      </c>
      <c r="M169" s="152" t="str">
        <f>IF(B169="", "", _xlfn.XLOOKUP(Summary[[#This Row],[فاکتور]], T[شماره فاکتور], T[فروشنده / مشتری], "نامشخص"))</f>
        <v>عبدل آباد</v>
      </c>
      <c r="N169" s="141">
        <f>Summary[[#This Row],[ارزش فروش]] - (Summary[[#This Row],[قیمت تمام شده]]*Summary[[#This Row],[فروش]])</f>
        <v>1950000</v>
      </c>
      <c r="O169" s="365">
        <f>IFERROR(Summary[[#This Row],[سود]]/Summary[[#This Row],[ارزش کالای فروخته شده]], "")</f>
        <v>0.49492385786802029</v>
      </c>
    </row>
    <row r="170" spans="2:15" x14ac:dyDescent="0.8">
      <c r="B170" s="152" t="str">
        <v>بلوز سفید عبدو</v>
      </c>
      <c r="C170" s="141">
        <f>SUMIFS(T[تعداد], T[کالا], B170, T[نوع عملیات], "خرید")</f>
        <v>3</v>
      </c>
      <c r="D170" s="141">
        <f t="shared" si="5"/>
        <v>175000</v>
      </c>
      <c r="E170" s="141">
        <f>SUMIFS(T[قیمت کل], T[کالا], B170, T[نوع عملیات], "خرید")</f>
        <v>525000</v>
      </c>
      <c r="F170" s="141">
        <f>SUMIFS(T[تعداد], T[کالا], B170, T[نوع عملیات], "فروش") + SUMIFS(T[تعداد], T[کالا], B170, T[نوع عملیات], "استفاده خودم")</f>
        <v>2</v>
      </c>
      <c r="G170" s="141">
        <f>SUMIFS(T[قیمت کل], T[کالا], B170, T[نوع عملیات], "فروش")</f>
        <v>1500000</v>
      </c>
      <c r="H170" s="141">
        <f>Summary[[#This Row],[فروش]]*Summary[[#This Row],[قیمت تمام شده]]</f>
        <v>350000</v>
      </c>
      <c r="I170" s="141">
        <f>Summary[[#This Row],[خرید]]-Summary[[#This Row],[فروش]]</f>
        <v>1</v>
      </c>
      <c r="J170" s="141">
        <f>Summary[[#This Row],[موجودی]]*Summary[[#This Row],[قیمت تمام شده]]</f>
        <v>175000</v>
      </c>
      <c r="K170" s="152" t="str">
        <f>IF(B170="", "", _xlfn.XLOOKUP(B170, T[کالا], T[نحوه تسویه], ""))</f>
        <v>حساب 5802</v>
      </c>
      <c r="L170" s="152" t="str">
        <f>IF(B170="", "", _xlfn.XLOOKUP(B170, T[کالا], T[شماره فاکتور], ""))</f>
        <v>ع 401</v>
      </c>
      <c r="M170" s="152" t="str">
        <f>IF(B170="", "", _xlfn.XLOOKUP(Summary[[#This Row],[فاکتور]], T[شماره فاکتور], T[فروشنده / مشتری], "نامشخص"))</f>
        <v>عبدل آباد</v>
      </c>
      <c r="N170" s="141">
        <f>Summary[[#This Row],[ارزش فروش]] - (Summary[[#This Row],[قیمت تمام شده]]*Summary[[#This Row],[فروش]])</f>
        <v>1150000</v>
      </c>
      <c r="O170" s="365">
        <f>IFERROR(Summary[[#This Row],[سود]]/Summary[[#This Row],[ارزش کالای فروخته شده]], "")</f>
        <v>3.2857142857142856</v>
      </c>
    </row>
    <row r="171" spans="2:15" x14ac:dyDescent="0.8">
      <c r="B171" s="191" t="str">
        <v>پیراهن کرم کوتاه عبدو</v>
      </c>
      <c r="C171" s="141">
        <f>SUMIFS(T[تعداد], T[کالا], B171, T[نوع عملیات], "خرید")</f>
        <v>1</v>
      </c>
      <c r="D171" s="141">
        <f t="shared" si="5"/>
        <v>450000</v>
      </c>
      <c r="E171" s="141">
        <f>SUMIFS(T[قیمت کل], T[کالا], B171, T[نوع عملیات], "خرید")</f>
        <v>450000</v>
      </c>
      <c r="F171" s="141">
        <f>SUMIFS(T[تعداد], T[کالا], B171, T[نوع عملیات], "فروش") + SUMIFS(T[تعداد], T[کالا], B171, T[نوع عملیات], "استفاده خودم")</f>
        <v>0</v>
      </c>
      <c r="G171" s="141">
        <f>SUMIFS(T[قیمت کل], T[کالا], B171, T[نوع عملیات], "فروش")</f>
        <v>0</v>
      </c>
      <c r="H171" s="141">
        <f>Summary[[#This Row],[فروش]]*Summary[[#This Row],[قیمت تمام شده]]</f>
        <v>0</v>
      </c>
      <c r="I171" s="141">
        <f>Summary[[#This Row],[خرید]]-Summary[[#This Row],[فروش]]</f>
        <v>1</v>
      </c>
      <c r="J171" s="141">
        <f>Summary[[#This Row],[موجودی]]*Summary[[#This Row],[قیمت تمام شده]]</f>
        <v>450000</v>
      </c>
      <c r="K171" s="152" t="str">
        <f>IF(B171="", "", _xlfn.XLOOKUP(B171, T[کالا], T[نحوه تسویه], ""))</f>
        <v>حساب 5802</v>
      </c>
      <c r="L171" s="152" t="str">
        <f>IF(B171="", "", _xlfn.XLOOKUP(B171, T[کالا], T[شماره فاکتور], ""))</f>
        <v>ع 401</v>
      </c>
      <c r="M171" s="152" t="str">
        <f>IF(B171="", "", _xlfn.XLOOKUP(Summary[[#This Row],[فاکتور]], T[شماره فاکتور], T[فروشنده / مشتری], "نامشخص"))</f>
        <v>عبدل آباد</v>
      </c>
      <c r="N171" s="141">
        <f>Summary[[#This Row],[ارزش فروش]] - (Summary[[#This Row],[قیمت تمام شده]]*Summary[[#This Row],[فروش]])</f>
        <v>0</v>
      </c>
      <c r="O171" s="365" t="str">
        <f>IFERROR(Summary[[#This Row],[سود]]/Summary[[#This Row],[ارزش کالای فروخته شده]], "")</f>
        <v/>
      </c>
    </row>
    <row r="172" spans="2:15" x14ac:dyDescent="0.8">
      <c r="B172" s="152" t="str">
        <v>دامن کمردار عبدو</v>
      </c>
      <c r="C172" s="141">
        <f>SUMIFS(T[تعداد], T[کالا], B172, T[نوع عملیات], "خرید")</f>
        <v>1</v>
      </c>
      <c r="D172" s="141">
        <f t="shared" si="5"/>
        <v>1100000</v>
      </c>
      <c r="E172" s="141">
        <f>SUMIFS(T[قیمت کل], T[کالا], B172, T[نوع عملیات], "خرید")</f>
        <v>1100000</v>
      </c>
      <c r="F172" s="141">
        <f>SUMIFS(T[تعداد], T[کالا], B172, T[نوع عملیات], "فروش") + SUMIFS(T[تعداد], T[کالا], B172, T[نوع عملیات], "استفاده خودم")</f>
        <v>1</v>
      </c>
      <c r="G172" s="141">
        <f>SUMIFS(T[قیمت کل], T[کالا], B172, T[نوع عملیات], "فروش")</f>
        <v>1600000</v>
      </c>
      <c r="H172" s="141">
        <f>Summary[[#This Row],[فروش]]*Summary[[#This Row],[قیمت تمام شده]]</f>
        <v>1100000</v>
      </c>
      <c r="I172" s="141">
        <f>Summary[[#This Row],[خرید]]-Summary[[#This Row],[فروش]]</f>
        <v>0</v>
      </c>
      <c r="J172" s="141">
        <f>Summary[[#This Row],[موجودی]]*Summary[[#This Row],[قیمت تمام شده]]</f>
        <v>0</v>
      </c>
      <c r="K172" s="152" t="str">
        <f>IF(B172="", "", _xlfn.XLOOKUP(B172, T[کالا], T[نحوه تسویه], ""))</f>
        <v>حساب 5802</v>
      </c>
      <c r="L172" s="152" t="str">
        <f>IF(B172="", "", _xlfn.XLOOKUP(B172, T[کالا], T[شماره فاکتور], ""))</f>
        <v>ع 401</v>
      </c>
      <c r="M172" s="152" t="str">
        <f>IF(B172="", "", _xlfn.XLOOKUP(Summary[[#This Row],[فاکتور]], T[شماره فاکتور], T[فروشنده / مشتری], "نامشخص"))</f>
        <v>عبدل آباد</v>
      </c>
      <c r="N172" s="141">
        <f>Summary[[#This Row],[ارزش فروش]] - (Summary[[#This Row],[قیمت تمام شده]]*Summary[[#This Row],[فروش]])</f>
        <v>500000</v>
      </c>
      <c r="O172" s="365">
        <f>IFERROR(Summary[[#This Row],[سود]]/Summary[[#This Row],[ارزش کالای فروخته شده]], "")</f>
        <v>0.45454545454545453</v>
      </c>
    </row>
    <row r="173" spans="2:15" x14ac:dyDescent="0.8">
      <c r="B173" s="191" t="str">
        <v>شلوار مشکی Pery</v>
      </c>
      <c r="C173" s="141">
        <f>SUMIFS(T[تعداد], T[کالا], B173, T[نوع عملیات], "خرید")</f>
        <v>5</v>
      </c>
      <c r="D173" s="141">
        <f t="shared" si="5"/>
        <v>1550000</v>
      </c>
      <c r="E173" s="141">
        <f>SUMIFS(T[قیمت کل], T[کالا], B173, T[نوع عملیات], "خرید")</f>
        <v>7750000</v>
      </c>
      <c r="F173" s="141">
        <f>SUMIFS(T[تعداد], T[کالا], B173, T[نوع عملیات], "فروش") + SUMIFS(T[تعداد], T[کالا], B173, T[نوع عملیات], "استفاده خودم")</f>
        <v>2</v>
      </c>
      <c r="G173" s="141">
        <f>SUMIFS(T[قیمت کل], T[کالا], B173, T[نوع عملیات], "فروش")</f>
        <v>4000000</v>
      </c>
      <c r="H173" s="141">
        <f>Summary[[#This Row],[فروش]]*Summary[[#This Row],[قیمت تمام شده]]</f>
        <v>3100000</v>
      </c>
      <c r="I173" s="141">
        <f>Summary[[#This Row],[خرید]]-Summary[[#This Row],[فروش]]</f>
        <v>3</v>
      </c>
      <c r="J173" s="141">
        <f>Summary[[#This Row],[موجودی]]*Summary[[#This Row],[قیمت تمام شده]]</f>
        <v>4650000</v>
      </c>
      <c r="K173" s="152" t="str">
        <f>IF(B173="", "", _xlfn.XLOOKUP(B173, T[کالا], T[نحوه تسویه], ""))</f>
        <v>حساب 5802</v>
      </c>
      <c r="L173" s="152" t="str">
        <f>IF(B173="", "", _xlfn.XLOOKUP(B173, T[کالا], T[شماره فاکتور], ""))</f>
        <v>ع 401</v>
      </c>
      <c r="M173" s="152" t="str">
        <f>IF(B173="", "", _xlfn.XLOOKUP(Summary[[#This Row],[فاکتور]], T[شماره فاکتور], T[فروشنده / مشتری], "نامشخص"))</f>
        <v>عبدل آباد</v>
      </c>
      <c r="N173" s="141">
        <f>Summary[[#This Row],[ارزش فروش]] - (Summary[[#This Row],[قیمت تمام شده]]*Summary[[#This Row],[فروش]])</f>
        <v>900000</v>
      </c>
      <c r="O173" s="365">
        <f>IFERROR(Summary[[#This Row],[سود]]/Summary[[#This Row],[ارزش کالای فروخته شده]], "")</f>
        <v>0.29032258064516131</v>
      </c>
    </row>
    <row r="174" spans="2:15" x14ac:dyDescent="0.8">
      <c r="B174" s="152" t="str">
        <v>شومیز Prey عبدو</v>
      </c>
      <c r="C174" s="141">
        <f>SUMIFS(T[تعداد], T[کالا], B174, T[نوع عملیات], "خرید")</f>
        <v>18</v>
      </c>
      <c r="D174" s="141">
        <f t="shared" si="5"/>
        <v>1034444.4444444445</v>
      </c>
      <c r="E174" s="141">
        <f>SUMIFS(T[قیمت کل], T[کالا], B174, T[نوع عملیات], "خرید")</f>
        <v>18620000</v>
      </c>
      <c r="F174" s="141">
        <f>SUMIFS(T[تعداد], T[کالا], B174, T[نوع عملیات], "فروش") + SUMIFS(T[تعداد], T[کالا], B174, T[نوع عملیات], "استفاده خودم")</f>
        <v>18</v>
      </c>
      <c r="G174" s="141">
        <f>SUMIFS(T[قیمت کل], T[کالا], B174, T[نوع عملیات], "فروش")</f>
        <v>26020000</v>
      </c>
      <c r="H174" s="141">
        <f>Summary[[#This Row],[فروش]]*Summary[[#This Row],[قیمت تمام شده]]</f>
        <v>18620000</v>
      </c>
      <c r="I174" s="141">
        <f>Summary[[#This Row],[خرید]]-Summary[[#This Row],[فروش]]</f>
        <v>0</v>
      </c>
      <c r="J174" s="141">
        <f>Summary[[#This Row],[موجودی]]*Summary[[#This Row],[قیمت تمام شده]]</f>
        <v>0</v>
      </c>
      <c r="K174" s="152" t="str">
        <f>IF(B174="", "", _xlfn.XLOOKUP(B174, T[کالا], T[نحوه تسویه], ""))</f>
        <v>حساب 5802</v>
      </c>
      <c r="L174" s="152" t="str">
        <f>IF(B174="", "", _xlfn.XLOOKUP(B174, T[کالا], T[شماره فاکتور], ""))</f>
        <v>ع 401</v>
      </c>
      <c r="M174" s="152" t="str">
        <f>IF(B174="", "", _xlfn.XLOOKUP(Summary[[#This Row],[فاکتور]], T[شماره فاکتور], T[فروشنده / مشتری], "نامشخص"))</f>
        <v>عبدل آباد</v>
      </c>
      <c r="N174" s="141">
        <f>Summary[[#This Row],[ارزش فروش]] - (Summary[[#This Row],[قیمت تمام شده]]*Summary[[#This Row],[فروش]])</f>
        <v>7400000</v>
      </c>
      <c r="O174" s="365">
        <f>IFERROR(Summary[[#This Row],[سود]]/Summary[[#This Row],[ارزش کالای فروخته شده]], "")</f>
        <v>0.39742212674543503</v>
      </c>
    </row>
    <row r="175" spans="2:15" x14ac:dyDescent="0.8">
      <c r="B175" s="191" t="str">
        <v>شومیز Prey طرح دار</v>
      </c>
      <c r="C175" s="141">
        <f>SUMIFS(T[تعداد], T[کالا], B175, T[نوع عملیات], "خرید")</f>
        <v>1</v>
      </c>
      <c r="D175" s="141">
        <f t="shared" si="5"/>
        <v>1150000</v>
      </c>
      <c r="E175" s="141">
        <f>SUMIFS(T[قیمت کل], T[کالا], B175, T[نوع عملیات], "خرید")</f>
        <v>1150000</v>
      </c>
      <c r="F175" s="141">
        <f>SUMIFS(T[تعداد], T[کالا], B175, T[نوع عملیات], "فروش") + SUMIFS(T[تعداد], T[کالا], B175, T[نوع عملیات], "استفاده خودم")</f>
        <v>1</v>
      </c>
      <c r="G175" s="141">
        <f>SUMIFS(T[قیمت کل], T[کالا], B175, T[نوع عملیات], "فروش")</f>
        <v>1900000</v>
      </c>
      <c r="H175" s="141">
        <f>Summary[[#This Row],[فروش]]*Summary[[#This Row],[قیمت تمام شده]]</f>
        <v>1150000</v>
      </c>
      <c r="I175" s="141">
        <f>Summary[[#This Row],[خرید]]-Summary[[#This Row],[فروش]]</f>
        <v>0</v>
      </c>
      <c r="J175" s="141">
        <f>Summary[[#This Row],[موجودی]]*Summary[[#This Row],[قیمت تمام شده]]</f>
        <v>0</v>
      </c>
      <c r="K175" s="152" t="str">
        <f>IF(B175="", "", _xlfn.XLOOKUP(B175, T[کالا], T[نحوه تسویه], ""))</f>
        <v>حساب 5802</v>
      </c>
      <c r="L175" s="152" t="str">
        <f>IF(B175="", "", _xlfn.XLOOKUP(B175, T[کالا], T[شماره فاکتور], ""))</f>
        <v>ع 401</v>
      </c>
      <c r="M175" s="152" t="str">
        <f>IF(B175="", "", _xlfn.XLOOKUP(Summary[[#This Row],[فاکتور]], T[شماره فاکتور], T[فروشنده / مشتری], "نامشخص"))</f>
        <v>عبدل آباد</v>
      </c>
      <c r="N175" s="141">
        <f>Summary[[#This Row],[ارزش فروش]] - (Summary[[#This Row],[قیمت تمام شده]]*Summary[[#This Row],[فروش]])</f>
        <v>750000</v>
      </c>
      <c r="O175" s="365">
        <f>IFERROR(Summary[[#This Row],[سود]]/Summary[[#This Row],[ارزش کالای فروخته شده]], "")</f>
        <v>0.65217391304347827</v>
      </c>
    </row>
    <row r="176" spans="2:15" x14ac:dyDescent="0.8">
      <c r="B176" s="152" t="str">
        <v>شلوار کج راه پاکتی مشکی عبدو</v>
      </c>
      <c r="C176" s="141">
        <f>SUMIFS(T[تعداد], T[کالا], B176, T[نوع عملیات], "خرید")</f>
        <v>3</v>
      </c>
      <c r="D176" s="141">
        <f t="shared" si="5"/>
        <v>900000</v>
      </c>
      <c r="E176" s="141">
        <f>SUMIFS(T[قیمت کل], T[کالا], B176, T[نوع عملیات], "خرید")</f>
        <v>2700000</v>
      </c>
      <c r="F176" s="141">
        <f>SUMIFS(T[تعداد], T[کالا], B176, T[نوع عملیات], "فروش") + SUMIFS(T[تعداد], T[کالا], B176, T[نوع عملیات], "استفاده خودم")</f>
        <v>4</v>
      </c>
      <c r="G176" s="141">
        <f>SUMIFS(T[قیمت کل], T[کالا], B176, T[نوع عملیات], "فروش")</f>
        <v>5200000</v>
      </c>
      <c r="H176" s="141">
        <f>Summary[[#This Row],[فروش]]*Summary[[#This Row],[قیمت تمام شده]]</f>
        <v>3600000</v>
      </c>
      <c r="I176" s="141">
        <f>Summary[[#This Row],[خرید]]-Summary[[#This Row],[فروش]]</f>
        <v>-1</v>
      </c>
      <c r="J176" s="141">
        <f>Summary[[#This Row],[موجودی]]*Summary[[#This Row],[قیمت تمام شده]]</f>
        <v>-900000</v>
      </c>
      <c r="K176" s="152" t="str">
        <f>IF(B176="", "", _xlfn.XLOOKUP(B176, T[کالا], T[نحوه تسویه], ""))</f>
        <v>حساب 5802</v>
      </c>
      <c r="L176" s="152" t="str">
        <f>IF(B176="", "", _xlfn.XLOOKUP(B176, T[کالا], T[شماره فاکتور], ""))</f>
        <v>ع 401</v>
      </c>
      <c r="M176" s="152" t="str">
        <f>IF(B176="", "", _xlfn.XLOOKUP(Summary[[#This Row],[فاکتور]], T[شماره فاکتور], T[فروشنده / مشتری], "نامشخص"))</f>
        <v>عبدل آباد</v>
      </c>
      <c r="N176" s="141">
        <f>Summary[[#This Row],[ارزش فروش]] - (Summary[[#This Row],[قیمت تمام شده]]*Summary[[#This Row],[فروش]])</f>
        <v>1600000</v>
      </c>
      <c r="O176" s="365">
        <f>IFERROR(Summary[[#This Row],[سود]]/Summary[[#This Row],[ارزش کالای فروخته شده]], "")</f>
        <v>0.44444444444444442</v>
      </c>
    </row>
    <row r="177" spans="2:15" x14ac:dyDescent="0.8">
      <c r="B177" s="191" t="str">
        <v>پیراهن طرحدار کوتاه عبدو</v>
      </c>
      <c r="C177" s="141">
        <f>SUMIFS(T[تعداد], T[کالا], B177, T[نوع عملیات], "خرید")</f>
        <v>2</v>
      </c>
      <c r="D177" s="141">
        <f t="shared" si="5"/>
        <v>850000</v>
      </c>
      <c r="E177" s="141">
        <f>SUMIFS(T[قیمت کل], T[کالا], B177, T[نوع عملیات], "خرید")</f>
        <v>1700000</v>
      </c>
      <c r="F177" s="141">
        <f>SUMIFS(T[تعداد], T[کالا], B177, T[نوع عملیات], "فروش") + SUMIFS(T[تعداد], T[کالا], B177, T[نوع عملیات], "استفاده خودم")</f>
        <v>2</v>
      </c>
      <c r="G177" s="141">
        <f>SUMIFS(T[قیمت کل], T[کالا], B177, T[نوع عملیات], "فروش")</f>
        <v>2300000</v>
      </c>
      <c r="H177" s="141">
        <f>Summary[[#This Row],[فروش]]*Summary[[#This Row],[قیمت تمام شده]]</f>
        <v>1700000</v>
      </c>
      <c r="I177" s="141">
        <f>Summary[[#This Row],[خرید]]-Summary[[#This Row],[فروش]]</f>
        <v>0</v>
      </c>
      <c r="J177" s="141">
        <f>Summary[[#This Row],[موجودی]]*Summary[[#This Row],[قیمت تمام شده]]</f>
        <v>0</v>
      </c>
      <c r="K177" s="152" t="str">
        <f>IF(B177="", "", _xlfn.XLOOKUP(B177, T[کالا], T[نحوه تسویه], ""))</f>
        <v>حساب 5802</v>
      </c>
      <c r="L177" s="152" t="str">
        <f>IF(B177="", "", _xlfn.XLOOKUP(B177, T[کالا], T[شماره فاکتور], ""))</f>
        <v>ع 401</v>
      </c>
      <c r="M177" s="152" t="str">
        <f>IF(B177="", "", _xlfn.XLOOKUP(Summary[[#This Row],[فاکتور]], T[شماره فاکتور], T[فروشنده / مشتری], "نامشخص"))</f>
        <v>عبدل آباد</v>
      </c>
      <c r="N177" s="141">
        <f>Summary[[#This Row],[ارزش فروش]] - (Summary[[#This Row],[قیمت تمام شده]]*Summary[[#This Row],[فروش]])</f>
        <v>600000</v>
      </c>
      <c r="O177" s="365">
        <f>IFERROR(Summary[[#This Row],[سود]]/Summary[[#This Row],[ارزش کالای فروخته شده]], "")</f>
        <v>0.35294117647058826</v>
      </c>
    </row>
    <row r="178" spans="2:15" x14ac:dyDescent="0.8">
      <c r="B178" s="152" t="str">
        <v>شلوارک و شومیز کوتاه عبدو</v>
      </c>
      <c r="C178" s="141">
        <f>SUMIFS(T[تعداد], T[کالا], B178, T[نوع عملیات], "خرید")</f>
        <v>1</v>
      </c>
      <c r="D178" s="141">
        <f t="shared" si="5"/>
        <v>1150000</v>
      </c>
      <c r="E178" s="141">
        <f>SUMIFS(T[قیمت کل], T[کالا], B178, T[نوع عملیات], "خرید")</f>
        <v>1150000</v>
      </c>
      <c r="F178" s="141">
        <f>SUMIFS(T[تعداد], T[کالا], B178, T[نوع عملیات], "فروش") + SUMIFS(T[تعداد], T[کالا], B178, T[نوع عملیات], "استفاده خودم")</f>
        <v>1</v>
      </c>
      <c r="G178" s="141">
        <f>SUMIFS(T[قیمت کل], T[کالا], B178, T[نوع عملیات], "فروش")</f>
        <v>1300000</v>
      </c>
      <c r="H178" s="141">
        <f>Summary[[#This Row],[فروش]]*Summary[[#This Row],[قیمت تمام شده]]</f>
        <v>1150000</v>
      </c>
      <c r="I178" s="141">
        <f>Summary[[#This Row],[خرید]]-Summary[[#This Row],[فروش]]</f>
        <v>0</v>
      </c>
      <c r="J178" s="141">
        <f>Summary[[#This Row],[موجودی]]*Summary[[#This Row],[قیمت تمام شده]]</f>
        <v>0</v>
      </c>
      <c r="K178" s="152" t="str">
        <f>IF(B178="", "", _xlfn.XLOOKUP(B178, T[کالا], T[نحوه تسویه], ""))</f>
        <v>حساب 5802</v>
      </c>
      <c r="L178" s="152" t="str">
        <f>IF(B178="", "", _xlfn.XLOOKUP(B178, T[کالا], T[شماره فاکتور], ""))</f>
        <v>ع 401</v>
      </c>
      <c r="M178" s="152" t="str">
        <f>IF(B178="", "", _xlfn.XLOOKUP(Summary[[#This Row],[فاکتور]], T[شماره فاکتور], T[فروشنده / مشتری], "نامشخص"))</f>
        <v>عبدل آباد</v>
      </c>
      <c r="N178" s="141">
        <f>Summary[[#This Row],[ارزش فروش]] - (Summary[[#This Row],[قیمت تمام شده]]*Summary[[#This Row],[فروش]])</f>
        <v>150000</v>
      </c>
      <c r="O178" s="365">
        <f>IFERROR(Summary[[#This Row],[سود]]/Summary[[#This Row],[ارزش کالای فروخته شده]], "")</f>
        <v>0.13043478260869565</v>
      </c>
    </row>
    <row r="179" spans="2:15" x14ac:dyDescent="0.8">
      <c r="B179" s="191" t="str">
        <v>پیراهن شلواری کوتاه عبدو</v>
      </c>
      <c r="C179" s="141">
        <f>SUMIFS(T[تعداد], T[کالا], B179, T[نوع عملیات], "خرید")</f>
        <v>1</v>
      </c>
      <c r="D179" s="141">
        <f t="shared" ref="D179:D189" si="6">IFERROR(E179/C179, 0)</f>
        <v>850000</v>
      </c>
      <c r="E179" s="141">
        <f>SUMIFS(T[قیمت کل], T[کالا], B179, T[نوع عملیات], "خرید")</f>
        <v>850000</v>
      </c>
      <c r="F179" s="141">
        <f>SUMIFS(T[تعداد], T[کالا], B179, T[نوع عملیات], "فروش") + SUMIFS(T[تعداد], T[کالا], B179, T[نوع عملیات], "استفاده خودم")</f>
        <v>1</v>
      </c>
      <c r="G179" s="141">
        <f>SUMIFS(T[قیمت کل], T[کالا], B179, T[نوع عملیات], "فروش")</f>
        <v>1200000</v>
      </c>
      <c r="H179" s="141">
        <f>Summary[[#This Row],[فروش]]*Summary[[#This Row],[قیمت تمام شده]]</f>
        <v>850000</v>
      </c>
      <c r="I179" s="141">
        <f>Summary[[#This Row],[خرید]]-Summary[[#This Row],[فروش]]</f>
        <v>0</v>
      </c>
      <c r="J179" s="141">
        <f>Summary[[#This Row],[موجودی]]*Summary[[#This Row],[قیمت تمام شده]]</f>
        <v>0</v>
      </c>
      <c r="K179" s="152" t="str">
        <f>IF(B179="", "", _xlfn.XLOOKUP(B179, T[کالا], T[نحوه تسویه], ""))</f>
        <v>حساب 5802</v>
      </c>
      <c r="L179" s="152" t="str">
        <f>IF(B179="", "", _xlfn.XLOOKUP(B179, T[کالا], T[شماره فاکتور], ""))</f>
        <v>ع 401</v>
      </c>
      <c r="M179" s="152" t="str">
        <f>IF(B179="", "", _xlfn.XLOOKUP(Summary[[#This Row],[فاکتور]], T[شماره فاکتور], T[فروشنده / مشتری], "نامشخص"))</f>
        <v>عبدل آباد</v>
      </c>
      <c r="N179" s="141">
        <f>Summary[[#This Row],[ارزش فروش]] - (Summary[[#This Row],[قیمت تمام شده]]*Summary[[#This Row],[فروش]])</f>
        <v>350000</v>
      </c>
      <c r="O179" s="365">
        <f>IFERROR(Summary[[#This Row],[سود]]/Summary[[#This Row],[ارزش کالای فروخته شده]], "")</f>
        <v>0.41176470588235292</v>
      </c>
    </row>
    <row r="180" spans="2:15" x14ac:dyDescent="0.8">
      <c r="B180" s="152" t="str">
        <v>پیراهن کوتاه سفید مجلسی عبدو</v>
      </c>
      <c r="C180" s="141">
        <f>SUMIFS(T[تعداد], T[کالا], B180, T[نوع عملیات], "خرید")</f>
        <v>1</v>
      </c>
      <c r="D180" s="141">
        <f t="shared" si="6"/>
        <v>500000</v>
      </c>
      <c r="E180" s="141">
        <f>SUMIFS(T[قیمت کل], T[کالا], B180, T[نوع عملیات], "خرید")</f>
        <v>500000</v>
      </c>
      <c r="F180" s="141">
        <f>SUMIFS(T[تعداد], T[کالا], B180, T[نوع عملیات], "فروش") + SUMIFS(T[تعداد], T[کالا], B180, T[نوع عملیات], "استفاده خودم")</f>
        <v>0</v>
      </c>
      <c r="G180" s="141">
        <f>SUMIFS(T[قیمت کل], T[کالا], B180, T[نوع عملیات], "فروش")</f>
        <v>0</v>
      </c>
      <c r="H180" s="141">
        <f>Summary[[#This Row],[فروش]]*Summary[[#This Row],[قیمت تمام شده]]</f>
        <v>0</v>
      </c>
      <c r="I180" s="141">
        <f>Summary[[#This Row],[خرید]]-Summary[[#This Row],[فروش]]</f>
        <v>1</v>
      </c>
      <c r="J180" s="141">
        <f>Summary[[#This Row],[موجودی]]*Summary[[#This Row],[قیمت تمام شده]]</f>
        <v>500000</v>
      </c>
      <c r="K180" s="152" t="str">
        <f>IF(B180="", "", _xlfn.XLOOKUP(B180, T[کالا], T[نحوه تسویه], ""))</f>
        <v>حساب 5802</v>
      </c>
      <c r="L180" s="152" t="str">
        <f>IF(B180="", "", _xlfn.XLOOKUP(B180, T[کالا], T[شماره فاکتور], ""))</f>
        <v>ع 401</v>
      </c>
      <c r="M180" s="152" t="str">
        <f>IF(B180="", "", _xlfn.XLOOKUP(Summary[[#This Row],[فاکتور]], T[شماره فاکتور], T[فروشنده / مشتری], "نامشخص"))</f>
        <v>عبدل آباد</v>
      </c>
      <c r="N180" s="141">
        <f>Summary[[#This Row],[ارزش فروش]] - (Summary[[#This Row],[قیمت تمام شده]]*Summary[[#This Row],[فروش]])</f>
        <v>0</v>
      </c>
      <c r="O180" s="365" t="str">
        <f>IFERROR(Summary[[#This Row],[سود]]/Summary[[#This Row],[ارزش کالای فروخته شده]], "")</f>
        <v/>
      </c>
    </row>
    <row r="181" spans="2:15" x14ac:dyDescent="0.8">
      <c r="B181" s="191" t="str">
        <v>شلوار کرم لنین عبدو</v>
      </c>
      <c r="C181" s="141">
        <f>SUMIFS(T[تعداد], T[کالا], B181, T[نوع عملیات], "خرید")</f>
        <v>2</v>
      </c>
      <c r="D181" s="141">
        <f t="shared" si="6"/>
        <v>1200000</v>
      </c>
      <c r="E181" s="141">
        <f>SUMIFS(T[قیمت کل], T[کالا], B181, T[نوع عملیات], "خرید")</f>
        <v>2400000</v>
      </c>
      <c r="F181" s="141">
        <f>SUMIFS(T[تعداد], T[کالا], B181, T[نوع عملیات], "فروش") + SUMIFS(T[تعداد], T[کالا], B181, T[نوع عملیات], "استفاده خودم")</f>
        <v>1</v>
      </c>
      <c r="G181" s="141">
        <f>SUMIFS(T[قیمت کل], T[کالا], B181, T[نوع عملیات], "فروش")</f>
        <v>1800000</v>
      </c>
      <c r="H181" s="141">
        <f>Summary[[#This Row],[فروش]]*Summary[[#This Row],[قیمت تمام شده]]</f>
        <v>1200000</v>
      </c>
      <c r="I181" s="141">
        <f>Summary[[#This Row],[خرید]]-Summary[[#This Row],[فروش]]</f>
        <v>1</v>
      </c>
      <c r="J181" s="141">
        <f>Summary[[#This Row],[موجودی]]*Summary[[#This Row],[قیمت تمام شده]]</f>
        <v>1200000</v>
      </c>
      <c r="K181" s="152" t="str">
        <f>IF(B181="", "", _xlfn.XLOOKUP(B181, T[کالا], T[نحوه تسویه], ""))</f>
        <v>حساب 5802</v>
      </c>
      <c r="L181" s="152" t="str">
        <f>IF(B181="", "", _xlfn.XLOOKUP(B181, T[کالا], T[شماره فاکتور], ""))</f>
        <v>ع 401</v>
      </c>
      <c r="M181" s="152" t="str">
        <f>IF(B181="", "", _xlfn.XLOOKUP(Summary[[#This Row],[فاکتور]], T[شماره فاکتور], T[فروشنده / مشتری], "نامشخص"))</f>
        <v>عبدل آباد</v>
      </c>
      <c r="N181" s="141">
        <f>Summary[[#This Row],[ارزش فروش]] - (Summary[[#This Row],[قیمت تمام شده]]*Summary[[#This Row],[فروش]])</f>
        <v>600000</v>
      </c>
      <c r="O181" s="365">
        <f>IFERROR(Summary[[#This Row],[سود]]/Summary[[#This Row],[ارزش کالای فروخته شده]], "")</f>
        <v>0.5</v>
      </c>
    </row>
    <row r="182" spans="2:15" x14ac:dyDescent="0.8">
      <c r="B182" s="152" t="str">
        <v>دامن کرم عبدو</v>
      </c>
      <c r="C182" s="303">
        <f>SUMIFS(T[تعداد], T[کالا], B182, T[نوع عملیات], "خرید")</f>
        <v>1</v>
      </c>
      <c r="D182" s="303">
        <f t="shared" si="6"/>
        <v>700000</v>
      </c>
      <c r="E182" s="303">
        <f>SUMIFS(T[قیمت کل], T[کالا], B182, T[نوع عملیات], "خرید")</f>
        <v>700000</v>
      </c>
      <c r="F182" s="303">
        <f>SUMIFS(T[تعداد], T[کالا], B182, T[نوع عملیات], "فروش") + SUMIFS(T[تعداد], T[کالا], B182, T[نوع عملیات], "استفاده خودم")</f>
        <v>1</v>
      </c>
      <c r="G182" s="303">
        <f>SUMIFS(T[قیمت کل], T[کالا], B182, T[نوع عملیات], "فروش")</f>
        <v>1100000</v>
      </c>
      <c r="H182" s="303">
        <f>Summary[[#This Row],[فروش]]*Summary[[#This Row],[قیمت تمام شده]]</f>
        <v>700000</v>
      </c>
      <c r="I182" s="141">
        <f>Summary[[#This Row],[خرید]]-Summary[[#This Row],[فروش]]</f>
        <v>0</v>
      </c>
      <c r="J182" s="141">
        <f>Summary[[#This Row],[موجودی]]*Summary[[#This Row],[قیمت تمام شده]]</f>
        <v>0</v>
      </c>
      <c r="K182" s="152" t="str">
        <f>IF(B182="", "", _xlfn.XLOOKUP(B182, T[کالا], T[نحوه تسویه], ""))</f>
        <v>حساب 5802</v>
      </c>
      <c r="L182" s="152" t="str">
        <f>IF(B182="", "", _xlfn.XLOOKUP(B182, T[کالا], T[شماره فاکتور], ""))</f>
        <v>ع 401</v>
      </c>
      <c r="M182" s="152" t="str">
        <f>IF(B182="", "", _xlfn.XLOOKUP(Summary[[#This Row],[فاکتور]], T[شماره فاکتور], T[فروشنده / مشتری], "نامشخص"))</f>
        <v>عبدل آباد</v>
      </c>
      <c r="N182" s="303">
        <f>Summary[[#This Row],[ارزش فروش]] - (Summary[[#This Row],[قیمت تمام شده]]*Summary[[#This Row],[فروش]])</f>
        <v>400000</v>
      </c>
      <c r="O182" s="365">
        <f>IFERROR(Summary[[#This Row],[سود]]/Summary[[#This Row],[ارزش کالای فروخته شده]], "")</f>
        <v>0.5714285714285714</v>
      </c>
    </row>
    <row r="183" spans="2:15" x14ac:dyDescent="0.8">
      <c r="B183" s="191" t="str">
        <v>کت تک - کت دامن مشکی عبدو</v>
      </c>
      <c r="C183" s="303">
        <f>SUMIFS(T[تعداد], T[کالا], B183, T[نوع عملیات], "خرید")</f>
        <v>1</v>
      </c>
      <c r="D183" s="141">
        <f t="shared" si="6"/>
        <v>1000000</v>
      </c>
      <c r="E183" s="141">
        <f>SUMIFS(T[قیمت کل], T[کالا], B183, T[نوع عملیات], "خرید")</f>
        <v>1000000</v>
      </c>
      <c r="F183" s="141">
        <f>SUMIFS(T[تعداد], T[کالا], B183, T[نوع عملیات], "فروش") + SUMIFS(T[تعداد], T[کالا], B183, T[نوع عملیات], "استفاده خودم")</f>
        <v>1</v>
      </c>
      <c r="G183" s="141">
        <f>SUMIFS(T[قیمت کل], T[کالا], B183, T[نوع عملیات], "فروش")</f>
        <v>1500000</v>
      </c>
      <c r="H183" s="141">
        <f>Summary[[#This Row],[فروش]]*Summary[[#This Row],[قیمت تمام شده]]</f>
        <v>1000000</v>
      </c>
      <c r="I183" s="141">
        <f>Summary[[#This Row],[خرید]]-Summary[[#This Row],[فروش]]</f>
        <v>0</v>
      </c>
      <c r="J183" s="141">
        <f>Summary[[#This Row],[موجودی]]*Summary[[#This Row],[قیمت تمام شده]]</f>
        <v>0</v>
      </c>
      <c r="K183" s="152" t="str">
        <f>IF(B183="", "", _xlfn.XLOOKUP(B183, T[کالا], T[نحوه تسویه], ""))</f>
        <v>حساب 5802</v>
      </c>
      <c r="L183" s="152" t="str">
        <f>IF(B183="", "", _xlfn.XLOOKUP(B183, T[کالا], T[شماره فاکتور], ""))</f>
        <v>ع 401</v>
      </c>
      <c r="M183" s="152" t="str">
        <f>IF(B183="", "", _xlfn.XLOOKUP(Summary[[#This Row],[فاکتور]], T[شماره فاکتور], T[فروشنده / مشتری], "نامشخص"))</f>
        <v>عبدل آباد</v>
      </c>
      <c r="N183" s="303">
        <f>Summary[[#This Row],[ارزش فروش]] - (Summary[[#This Row],[قیمت تمام شده]]*Summary[[#This Row],[فروش]])</f>
        <v>500000</v>
      </c>
      <c r="O183" s="365">
        <f>IFERROR(Summary[[#This Row],[سود]]/Summary[[#This Row],[ارزش کالای فروخته شده]], "")</f>
        <v>0.5</v>
      </c>
    </row>
    <row r="184" spans="2:15" x14ac:dyDescent="0.8">
      <c r="B184" s="152" t="str">
        <v>دامن تک - کت دامن مشکی عبدو</v>
      </c>
      <c r="C184" s="303">
        <f>SUMIFS(T[تعداد], T[کالا], B184, T[نوع عملیات], "خرید")</f>
        <v>1</v>
      </c>
      <c r="D184" s="141">
        <f t="shared" si="6"/>
        <v>900000</v>
      </c>
      <c r="E184" s="141">
        <f>SUMIFS(T[قیمت کل], T[کالا], B184, T[نوع عملیات], "خرید")</f>
        <v>900000</v>
      </c>
      <c r="F184" s="141">
        <f>SUMIFS(T[تعداد], T[کالا], B184, T[نوع عملیات], "فروش") + SUMIFS(T[تعداد], T[کالا], B184, T[نوع عملیات], "استفاده خودم")</f>
        <v>1</v>
      </c>
      <c r="G184" s="141">
        <f>SUMIFS(T[قیمت کل], T[کالا], B184, T[نوع عملیات], "فروش")</f>
        <v>1500000</v>
      </c>
      <c r="H184" s="141">
        <f>Summary[[#This Row],[فروش]]*Summary[[#This Row],[قیمت تمام شده]]</f>
        <v>900000</v>
      </c>
      <c r="I184" s="141">
        <f>Summary[[#This Row],[خرید]]-Summary[[#This Row],[فروش]]</f>
        <v>0</v>
      </c>
      <c r="J184" s="141">
        <f>Summary[[#This Row],[موجودی]]*Summary[[#This Row],[قیمت تمام شده]]</f>
        <v>0</v>
      </c>
      <c r="K184" s="152" t="str">
        <f>IF(B184="", "", _xlfn.XLOOKUP(B184, T[کالا], T[نحوه تسویه], ""))</f>
        <v>حساب 5802</v>
      </c>
      <c r="L184" s="152" t="str">
        <f>IF(B184="", "", _xlfn.XLOOKUP(B184, T[کالا], T[شماره فاکتور], ""))</f>
        <v>ع 401</v>
      </c>
      <c r="M184" s="152" t="str">
        <f>IF(B184="", "", _xlfn.XLOOKUP(Summary[[#This Row],[فاکتور]], T[شماره فاکتور], T[فروشنده / مشتری], "نامشخص"))</f>
        <v>عبدل آباد</v>
      </c>
      <c r="N184" s="303">
        <f>Summary[[#This Row],[ارزش فروش]] - (Summary[[#This Row],[قیمت تمام شده]]*Summary[[#This Row],[فروش]])</f>
        <v>600000</v>
      </c>
      <c r="O184" s="365">
        <f>IFERROR(Summary[[#This Row],[سود]]/Summary[[#This Row],[ارزش کالای فروخته شده]], "")</f>
        <v>0.66666666666666663</v>
      </c>
    </row>
    <row r="185" spans="2:15" x14ac:dyDescent="0.8">
      <c r="B185" s="191" t="str">
        <v>کت دامن مشکی عبدو</v>
      </c>
      <c r="C185" s="303">
        <f>SUMIFS(T[تعداد], T[کالا], B185, T[نوع عملیات], "خرید")</f>
        <v>1</v>
      </c>
      <c r="D185" s="303">
        <f t="shared" si="6"/>
        <v>1900000</v>
      </c>
      <c r="E185" s="303">
        <f>SUMIFS(T[قیمت کل], T[کالا], B185, T[نوع عملیات], "خرید")</f>
        <v>1900000</v>
      </c>
      <c r="F185" s="141">
        <f>SUMIFS(T[تعداد], T[کالا], B185, T[نوع عملیات], "فروش") + SUMIFS(T[تعداد], T[کالا], B185, T[نوع عملیات], "استفاده خودم")</f>
        <v>1</v>
      </c>
      <c r="G185" s="141">
        <f>SUMIFS(T[قیمت کل], T[کالا], B185, T[نوع عملیات], "فروش")</f>
        <v>2500000</v>
      </c>
      <c r="H185" s="141">
        <f>Summary[[#This Row],[فروش]]*Summary[[#This Row],[قیمت تمام شده]]</f>
        <v>1900000</v>
      </c>
      <c r="I185" s="141">
        <f>Summary[[#This Row],[خرید]]-Summary[[#This Row],[فروش]]</f>
        <v>0</v>
      </c>
      <c r="J185" s="141">
        <f>Summary[[#This Row],[موجودی]]*Summary[[#This Row],[قیمت تمام شده]]</f>
        <v>0</v>
      </c>
      <c r="K185" s="152" t="str">
        <f>IF(B185="", "", _xlfn.XLOOKUP(B185, T[کالا], T[نحوه تسویه], ""))</f>
        <v>حساب 5802</v>
      </c>
      <c r="L185" s="152" t="str">
        <f>IF(B185="", "", _xlfn.XLOOKUP(B185, T[کالا], T[شماره فاکتور], ""))</f>
        <v>ع 401</v>
      </c>
      <c r="M185" s="152" t="str">
        <f>IF(B185="", "", _xlfn.XLOOKUP(Summary[[#This Row],[فاکتور]], T[شماره فاکتور], T[فروشنده / مشتری], "نامشخص"))</f>
        <v>عبدل آباد</v>
      </c>
      <c r="N185" s="303">
        <f>Summary[[#This Row],[ارزش فروش]] - (Summary[[#This Row],[قیمت تمام شده]]*Summary[[#This Row],[فروش]])</f>
        <v>600000</v>
      </c>
      <c r="O185" s="365">
        <f>IFERROR(Summary[[#This Row],[سود]]/Summary[[#This Row],[ارزش کالای فروخته شده]], "")</f>
        <v>0.31578947368421051</v>
      </c>
    </row>
    <row r="186" spans="2:15" x14ac:dyDescent="0.8">
      <c r="B186" s="152" t="str">
        <v>تیشرت چین</v>
      </c>
      <c r="C186" s="303">
        <f>SUMIFS(T[تعداد], T[کالا], B186, T[نوع عملیات], "خرید")</f>
        <v>3</v>
      </c>
      <c r="D186" s="303">
        <f t="shared" si="6"/>
        <v>0</v>
      </c>
      <c r="E186" s="303">
        <f>SUMIFS(T[قیمت کل], T[کالا], B186, T[نوع عملیات], "خرید")</f>
        <v>0</v>
      </c>
      <c r="F186" s="141">
        <f>SUMIFS(T[تعداد], T[کالا], B186, T[نوع عملیات], "فروش") + SUMIFS(T[تعداد], T[کالا], B186, T[نوع عملیات], "استفاده خودم")</f>
        <v>1</v>
      </c>
      <c r="G186" s="141">
        <f>SUMIFS(T[قیمت کل], T[کالا], B186, T[نوع عملیات], "فروش")</f>
        <v>1100000</v>
      </c>
      <c r="H186" s="141">
        <f>Summary[[#This Row],[فروش]]*Summary[[#This Row],[قیمت تمام شده]]</f>
        <v>0</v>
      </c>
      <c r="I186" s="141">
        <f>Summary[[#This Row],[خرید]]-Summary[[#This Row],[فروش]]</f>
        <v>2</v>
      </c>
      <c r="J186" s="141">
        <f>Summary[[#This Row],[موجودی]]*Summary[[#This Row],[قیمت تمام شده]]</f>
        <v>0</v>
      </c>
      <c r="K186" s="152">
        <f>IF(B186="", "", _xlfn.XLOOKUP(B186, T[کالا], T[نحوه تسویه], ""))</f>
        <v>0</v>
      </c>
      <c r="L186" s="152" t="str">
        <f>IF(B186="", "", _xlfn.XLOOKUP(B186, T[کالا], T[شماره فاکتور], ""))</f>
        <v>خودم</v>
      </c>
      <c r="M186" s="152" t="str">
        <f>IF(B186="", "", _xlfn.XLOOKUP(Summary[[#This Row],[فاکتور]], T[شماره فاکتور], T[فروشنده / مشتری], "نامشخص"))</f>
        <v>خودم</v>
      </c>
      <c r="N186" s="303">
        <f>Summary[[#This Row],[ارزش فروش]] - (Summary[[#This Row],[قیمت تمام شده]]*Summary[[#This Row],[فروش]])</f>
        <v>1100000</v>
      </c>
      <c r="O186" s="365" t="str">
        <f>IFERROR(Summary[[#This Row],[سود]]/Summary[[#This Row],[ارزش کالای فروخته شده]], "")</f>
        <v/>
      </c>
    </row>
    <row r="187" spans="2:15" x14ac:dyDescent="0.8">
      <c r="B187" s="191" t="str">
        <v>مانتو مهناز</v>
      </c>
      <c r="C187" s="303">
        <f>SUMIFS(T[تعداد], T[کالا], B187, T[نوع عملیات], "خرید")</f>
        <v>2</v>
      </c>
      <c r="D187" s="303">
        <f t="shared" si="6"/>
        <v>500000</v>
      </c>
      <c r="E187" s="303">
        <f>SUMIFS(T[قیمت کل], T[کالا], B187, T[نوع عملیات], "خرید")</f>
        <v>1000000</v>
      </c>
      <c r="F187" s="141">
        <f>SUMIFS(T[تعداد], T[کالا], B187, T[نوع عملیات], "فروش") + SUMIFS(T[تعداد], T[کالا], B187, T[نوع عملیات], "استفاده خودم")</f>
        <v>1</v>
      </c>
      <c r="G187" s="141">
        <f>SUMIFS(T[قیمت کل], T[کالا], B187, T[نوع عملیات], "فروش")</f>
        <v>750000</v>
      </c>
      <c r="H187" s="141">
        <f>Summary[[#This Row],[فروش]]*Summary[[#This Row],[قیمت تمام شده]]</f>
        <v>500000</v>
      </c>
      <c r="I187" s="141">
        <f>Summary[[#This Row],[خرید]]-Summary[[#This Row],[فروش]]</f>
        <v>1</v>
      </c>
      <c r="J187" s="141">
        <f>Summary[[#This Row],[موجودی]]*Summary[[#This Row],[قیمت تمام شده]]</f>
        <v>500000</v>
      </c>
      <c r="K187" s="152">
        <f>IF(B187="", "", _xlfn.XLOOKUP(B187, T[کالا], T[نحوه تسویه], ""))</f>
        <v>0</v>
      </c>
      <c r="L187" s="152">
        <f>IF(B187="", "", _xlfn.XLOOKUP(B187, T[کالا], T[شماره فاکتور], ""))</f>
        <v>0</v>
      </c>
      <c r="M187" s="152" t="str">
        <f>IF(B187="", "", _xlfn.XLOOKUP(Summary[[#This Row],[فاکتور]], T[شماره فاکتور], T[فروشنده / مشتری], "نامشخص"))</f>
        <v>نامشخص</v>
      </c>
      <c r="N187" s="303">
        <f>Summary[[#This Row],[ارزش فروش]] - (Summary[[#This Row],[قیمت تمام شده]]*Summary[[#This Row],[فروش]])</f>
        <v>250000</v>
      </c>
      <c r="O187" s="365">
        <f>IFERROR(Summary[[#This Row],[سود]]/Summary[[#This Row],[ارزش کالای فروخته شده]], "")</f>
        <v>0.5</v>
      </c>
    </row>
    <row r="188" spans="2:15" x14ac:dyDescent="0.8">
      <c r="B188" s="152" t="str">
        <v>سرهمی خودم</v>
      </c>
      <c r="C188" s="303">
        <f>SUMIFS(T[تعداد], T[کالا], B188, T[نوع عملیات], "خرید")</f>
        <v>1</v>
      </c>
      <c r="D188" s="303">
        <f t="shared" si="6"/>
        <v>0</v>
      </c>
      <c r="E188" s="303">
        <f>SUMIFS(T[قیمت کل], T[کالا], B188, T[نوع عملیات], "خرید")</f>
        <v>0</v>
      </c>
      <c r="F188" s="141">
        <f>SUMIFS(T[تعداد], T[کالا], B188, T[نوع عملیات], "فروش") + SUMIFS(T[تعداد], T[کالا], B188, T[نوع عملیات], "استفاده خودم")</f>
        <v>1</v>
      </c>
      <c r="G188" s="141">
        <f>SUMIFS(T[قیمت کل], T[کالا], B188, T[نوع عملیات], "فروش")</f>
        <v>500000</v>
      </c>
      <c r="H188" s="141">
        <f>Summary[[#This Row],[فروش]]*Summary[[#This Row],[قیمت تمام شده]]</f>
        <v>0</v>
      </c>
      <c r="I188" s="141">
        <f>Summary[[#This Row],[خرید]]-Summary[[#This Row],[فروش]]</f>
        <v>0</v>
      </c>
      <c r="J188" s="141">
        <f>Summary[[#This Row],[موجودی]]*Summary[[#This Row],[قیمت تمام شده]]</f>
        <v>0</v>
      </c>
      <c r="K188" s="152">
        <f>IF(B188="", "", _xlfn.XLOOKUP(B188, T[کالا], T[نحوه تسویه], ""))</f>
        <v>0</v>
      </c>
      <c r="L188" s="152" t="str">
        <f>IF(B188="", "", _xlfn.XLOOKUP(B188, T[کالا], T[شماره فاکتور], ""))</f>
        <v>خودم</v>
      </c>
      <c r="M188" s="152" t="str">
        <f>IF(B188="", "", _xlfn.XLOOKUP(Summary[[#This Row],[فاکتور]], T[شماره فاکتور], T[فروشنده / مشتری], "نامشخص"))</f>
        <v>خودم</v>
      </c>
      <c r="N188" s="303">
        <f>Summary[[#This Row],[ارزش فروش]] - (Summary[[#This Row],[قیمت تمام شده]]*Summary[[#This Row],[فروش]])</f>
        <v>500000</v>
      </c>
      <c r="O188" s="365" t="str">
        <f>IFERROR(Summary[[#This Row],[سود]]/Summary[[#This Row],[ارزش کالای فروخته شده]], "")</f>
        <v/>
      </c>
    </row>
    <row r="189" spans="2:15" x14ac:dyDescent="0.8">
      <c r="B189" s="191" t="str">
        <v>پیراهن حریر گلدار</v>
      </c>
      <c r="C189" s="303">
        <f>SUMIFS(T[تعداد], T[کالا], B189, T[نوع عملیات], "خرید")</f>
        <v>5</v>
      </c>
      <c r="D189" s="303">
        <f t="shared" si="6"/>
        <v>450000</v>
      </c>
      <c r="E189" s="303">
        <f>SUMIFS(T[قیمت کل], T[کالا], B189, T[نوع عملیات], "خرید")</f>
        <v>2250000</v>
      </c>
      <c r="F189" s="141">
        <f>SUMIFS(T[تعداد], T[کالا], B189, T[نوع عملیات], "فروش") + SUMIFS(T[تعداد], T[کالا], B189, T[نوع عملیات], "استفاده خودم")</f>
        <v>3</v>
      </c>
      <c r="G189" s="141">
        <f>SUMIFS(T[قیمت کل], T[کالا], B189, T[نوع عملیات], "فروش")</f>
        <v>3400000</v>
      </c>
      <c r="H189" s="141">
        <f>Summary[[#This Row],[فروش]]*Summary[[#This Row],[قیمت تمام شده]]</f>
        <v>1350000</v>
      </c>
      <c r="I189" s="141">
        <f>Summary[[#This Row],[خرید]]-Summary[[#This Row],[فروش]]</f>
        <v>2</v>
      </c>
      <c r="J189" s="141">
        <f>Summary[[#This Row],[موجودی]]*Summary[[#This Row],[قیمت تمام شده]]</f>
        <v>900000</v>
      </c>
      <c r="K189" s="152" t="str">
        <f>IF(B189="", "", _xlfn.XLOOKUP(B189, T[کالا], T[نحوه تسویه], ""))</f>
        <v>حساب 5802</v>
      </c>
      <c r="L189" s="152" t="str">
        <f>IF(B189="", "", _xlfn.XLOOKUP(B189, T[کالا], T[شماره فاکتور], ""))</f>
        <v>ب 402</v>
      </c>
      <c r="M189" s="152" t="str">
        <f>IF(B189="", "", _xlfn.XLOOKUP(Summary[[#This Row],[فاکتور]], T[شماره فاکتور], T[فروشنده / مشتری], "نامشخص"))</f>
        <v>سرای ملی</v>
      </c>
      <c r="N189" s="303">
        <f>Summary[[#This Row],[ارزش فروش]] - (Summary[[#This Row],[قیمت تمام شده]]*Summary[[#This Row],[فروش]])</f>
        <v>2050000</v>
      </c>
      <c r="O189" s="365">
        <f>IFERROR(Summary[[#This Row],[سود]]/Summary[[#This Row],[ارزش کالای فروخته شده]], "")</f>
        <v>1.5185185185185186</v>
      </c>
    </row>
    <row r="190" spans="2:15" x14ac:dyDescent="0.8">
      <c r="B190" s="152" t="str">
        <v>شومیز Perry سرای ملی</v>
      </c>
      <c r="C190" s="303">
        <f>SUMIFS(T[تعداد], T[کالا], B190, T[نوع عملیات], "خرید")</f>
        <v>4</v>
      </c>
      <c r="D190" s="303">
        <f t="shared" ref="D190:D199" si="7">IFERROR(E190/C190, 0)</f>
        <v>980000</v>
      </c>
      <c r="E190" s="303">
        <f>SUMIFS(T[قیمت کل], T[کالا], B190, T[نوع عملیات], "خرید")</f>
        <v>3920000</v>
      </c>
      <c r="F190" s="141">
        <f>SUMIFS(T[تعداد], T[کالا], B190, T[نوع عملیات], "فروش") + SUMIFS(T[تعداد], T[کالا], B190, T[نوع عملیات], "استفاده خودم")</f>
        <v>4</v>
      </c>
      <c r="G190" s="141">
        <f>SUMIFS(T[قیمت کل], T[کالا], B190, T[نوع عملیات], "فروش")</f>
        <v>5600000</v>
      </c>
      <c r="H190" s="141">
        <f>Summary[[#This Row],[فروش]]*Summary[[#This Row],[قیمت تمام شده]]</f>
        <v>3920000</v>
      </c>
      <c r="I190" s="141">
        <f>Summary[[#This Row],[خرید]]-Summary[[#This Row],[فروش]]</f>
        <v>0</v>
      </c>
      <c r="J190" s="141">
        <f>Summary[[#This Row],[موجودی]]*Summary[[#This Row],[قیمت تمام شده]]</f>
        <v>0</v>
      </c>
      <c r="K190" s="152" t="str">
        <f>IF(B190="", "", _xlfn.XLOOKUP(B190, T[کالا], T[نحوه تسویه], ""))</f>
        <v>حساب 5802</v>
      </c>
      <c r="L190" s="152" t="str">
        <f>IF(B190="", "", _xlfn.XLOOKUP(B190, T[کالا], T[شماره فاکتور], ""))</f>
        <v>ب 402</v>
      </c>
      <c r="M190" s="152" t="str">
        <f>IF(B190="", "", _xlfn.XLOOKUP(Summary[[#This Row],[فاکتور]], T[شماره فاکتور], T[فروشنده / مشتری], "نامشخص"))</f>
        <v>سرای ملی</v>
      </c>
      <c r="N190" s="303">
        <f>Summary[[#This Row],[ارزش فروش]] - (Summary[[#This Row],[قیمت تمام شده]]*Summary[[#This Row],[فروش]])</f>
        <v>1680000</v>
      </c>
      <c r="O190" s="365">
        <f>IFERROR(Summary[[#This Row],[سود]]/Summary[[#This Row],[ارزش کالای فروخته شده]], "")</f>
        <v>0.42857142857142855</v>
      </c>
    </row>
    <row r="191" spans="2:15" x14ac:dyDescent="0.8">
      <c r="B191" s="191" t="str">
        <v>پیراهن ترک سفید و مشکی</v>
      </c>
      <c r="C191" s="141">
        <f>SUMIFS(T[تعداد], T[کالا], B191, T[نوع عملیات], "خرید")</f>
        <v>1</v>
      </c>
      <c r="D191" s="141">
        <f t="shared" si="7"/>
        <v>1580000</v>
      </c>
      <c r="E191" s="141">
        <f>SUMIFS(T[قیمت کل], T[کالا], B191, T[نوع عملیات], "خرید")</f>
        <v>1580000</v>
      </c>
      <c r="F191" s="141">
        <f>SUMIFS(T[تعداد], T[کالا], B191, T[نوع عملیات], "فروش") + SUMIFS(T[تعداد], T[کالا], B191, T[نوع عملیات], "استفاده خودم")</f>
        <v>1</v>
      </c>
      <c r="G191" s="141">
        <f>SUMIFS(T[قیمت کل], T[کالا], B191, T[نوع عملیات], "فروش")</f>
        <v>2400000</v>
      </c>
      <c r="H191" s="141">
        <f>Summary[[#This Row],[فروش]]*Summary[[#This Row],[قیمت تمام شده]]</f>
        <v>1580000</v>
      </c>
      <c r="I191" s="141">
        <f>Summary[[#This Row],[خرید]]-Summary[[#This Row],[فروش]]</f>
        <v>0</v>
      </c>
      <c r="J191" s="141">
        <f>Summary[[#This Row],[موجودی]]*Summary[[#This Row],[قیمت تمام شده]]</f>
        <v>0</v>
      </c>
      <c r="K191" s="152" t="str">
        <f>IF(B191="", "", _xlfn.XLOOKUP(B191, T[کالا], T[نحوه تسویه], ""))</f>
        <v>حساب 5802</v>
      </c>
      <c r="L191" s="152" t="str">
        <f>IF(B191="", "", _xlfn.XLOOKUP(B191, T[کالا], T[شماره فاکتور], ""))</f>
        <v>ب 402</v>
      </c>
      <c r="M191" s="152" t="str">
        <f>IF(B191="", "", _xlfn.XLOOKUP(Summary[[#This Row],[فاکتور]], T[شماره فاکتور], T[فروشنده / مشتری], "نامشخص"))</f>
        <v>سرای ملی</v>
      </c>
      <c r="N191" s="303">
        <f>Summary[[#This Row],[ارزش فروش]] - (Summary[[#This Row],[قیمت تمام شده]]*Summary[[#This Row],[فروش]])</f>
        <v>820000</v>
      </c>
      <c r="O191" s="365">
        <f>IFERROR(Summary[[#This Row],[سود]]/Summary[[#This Row],[ارزش کالای فروخته شده]], "")</f>
        <v>0.51898734177215189</v>
      </c>
    </row>
    <row r="192" spans="2:15" x14ac:dyDescent="0.8">
      <c r="B192" s="152" t="str">
        <v>شومیز راه راه پشت پیلی</v>
      </c>
      <c r="C192" s="303">
        <f>SUMIFS(T[تعداد], T[کالا], B192, T[نوع عملیات], "خرید")</f>
        <v>5</v>
      </c>
      <c r="D192" s="303">
        <f t="shared" si="7"/>
        <v>367200</v>
      </c>
      <c r="E192" s="303">
        <f>SUMIFS(T[قیمت کل], T[کالا], B192, T[نوع عملیات], "خرید")</f>
        <v>1836000</v>
      </c>
      <c r="F192" s="141">
        <f>SUMIFS(T[تعداد], T[کالا], B192, T[نوع عملیات], "فروش") + SUMIFS(T[تعداد], T[کالا], B192, T[نوع عملیات], "استفاده خودم")</f>
        <v>6</v>
      </c>
      <c r="G192" s="141">
        <f>SUMIFS(T[قیمت کل], T[کالا], B192, T[نوع عملیات], "فروش")</f>
        <v>4300000</v>
      </c>
      <c r="H192" s="141">
        <f>Summary[[#This Row],[فروش]]*Summary[[#This Row],[قیمت تمام شده]]</f>
        <v>2203200</v>
      </c>
      <c r="I192" s="141">
        <f>Summary[[#This Row],[خرید]]-Summary[[#This Row],[فروش]]</f>
        <v>-1</v>
      </c>
      <c r="J192" s="141">
        <f>Summary[[#This Row],[موجودی]]*Summary[[#This Row],[قیمت تمام شده]]</f>
        <v>-367200</v>
      </c>
      <c r="K192" s="152" t="str">
        <f>IF(B192="", "", _xlfn.XLOOKUP(B192, T[کالا], T[نحوه تسویه], ""))</f>
        <v>حساب 5802</v>
      </c>
      <c r="L192" s="152" t="str">
        <f>IF(B192="", "", _xlfn.XLOOKUP(B192, T[کالا], T[شماره فاکتور], ""))</f>
        <v>ب 402</v>
      </c>
      <c r="M192" s="152" t="str">
        <f>IF(B192="", "", _xlfn.XLOOKUP(Summary[[#This Row],[فاکتور]], T[شماره فاکتور], T[فروشنده / مشتری], "نامشخص"))</f>
        <v>سرای ملی</v>
      </c>
      <c r="N192" s="303">
        <f>Summary[[#This Row],[ارزش فروش]] - (Summary[[#This Row],[قیمت تمام شده]]*Summary[[#This Row],[فروش]])</f>
        <v>2096800</v>
      </c>
      <c r="O192" s="365">
        <f>IFERROR(Summary[[#This Row],[سود]]/Summary[[#This Row],[ارزش کالای فروخته شده]], "")</f>
        <v>0.95170660856935363</v>
      </c>
    </row>
    <row r="193" spans="2:15" x14ac:dyDescent="0.8">
      <c r="B193" s="191" t="str">
        <v>شومیز راه راه یقه بسته</v>
      </c>
      <c r="C193" s="303">
        <f>SUMIFS(T[تعداد], T[کالا], B193, T[نوع عملیات], "خرید")</f>
        <v>6</v>
      </c>
      <c r="D193" s="303">
        <f t="shared" si="7"/>
        <v>438000</v>
      </c>
      <c r="E193" s="303">
        <f>SUMIFS(T[قیمت کل], T[کالا], B193, T[نوع عملیات], "خرید")</f>
        <v>2628000</v>
      </c>
      <c r="F193" s="141">
        <f>SUMIFS(T[تعداد], T[کالا], B193, T[نوع عملیات], "فروش") + SUMIFS(T[تعداد], T[کالا], B193, T[نوع عملیات], "استفاده خودم")</f>
        <v>6</v>
      </c>
      <c r="G193" s="141">
        <f>SUMIFS(T[قیمت کل], T[کالا], B193, T[نوع عملیات], "فروش")</f>
        <v>4350000</v>
      </c>
      <c r="H193" s="141">
        <f>Summary[[#This Row],[فروش]]*Summary[[#This Row],[قیمت تمام شده]]</f>
        <v>2628000</v>
      </c>
      <c r="I193" s="141">
        <f>Summary[[#This Row],[خرید]]-Summary[[#This Row],[فروش]]</f>
        <v>0</v>
      </c>
      <c r="J193" s="303">
        <f>Summary[[#This Row],[موجودی]]*Summary[[#This Row],[قیمت تمام شده]]</f>
        <v>0</v>
      </c>
      <c r="K193" s="152" t="str">
        <f>IF(B193="", "", _xlfn.XLOOKUP(B193, T[کالا], T[نحوه تسویه], ""))</f>
        <v>حساب 5802</v>
      </c>
      <c r="L193" s="152" t="str">
        <f>IF(B193="", "", _xlfn.XLOOKUP(B193, T[کالا], T[شماره فاکتور], ""))</f>
        <v>ب 402</v>
      </c>
      <c r="M193" s="152" t="str">
        <f>IF(B193="", "", _xlfn.XLOOKUP(Summary[[#This Row],[فاکتور]], T[شماره فاکتور], T[فروشنده / مشتری], "نامشخص"))</f>
        <v>سرای ملی</v>
      </c>
      <c r="N193" s="303">
        <f>Summary[[#This Row],[ارزش فروش]] - (Summary[[#This Row],[قیمت تمام شده]]*Summary[[#This Row],[فروش]])</f>
        <v>1722000</v>
      </c>
      <c r="O193" s="365">
        <f>IFERROR(Summary[[#This Row],[سود]]/Summary[[#This Row],[ارزش کالای فروخته شده]], "")</f>
        <v>0.65525114155251141</v>
      </c>
    </row>
    <row r="194" spans="2:15" x14ac:dyDescent="0.8">
      <c r="B194" s="152" t="str">
        <v>شومیز راه راه درشت</v>
      </c>
      <c r="C194" s="141">
        <f>SUMIFS(T[تعداد], T[کالا], B194, T[نوع عملیات], "خرید")</f>
        <v>5</v>
      </c>
      <c r="D194" s="141">
        <f t="shared" si="7"/>
        <v>367200</v>
      </c>
      <c r="E194" s="141">
        <f>SUMIFS(T[قیمت کل], T[کالا], B194, T[نوع عملیات], "خرید")</f>
        <v>1836000</v>
      </c>
      <c r="F194" s="141">
        <f>SUMIFS(T[تعداد], T[کالا], B194, T[نوع عملیات], "فروش") + SUMIFS(T[تعداد], T[کالا], B194, T[نوع عملیات], "استفاده خودم")</f>
        <v>4</v>
      </c>
      <c r="G194" s="141">
        <f>SUMIFS(T[قیمت کل], T[کالا], B194, T[نوع عملیات], "فروش")</f>
        <v>3000000</v>
      </c>
      <c r="H194" s="141">
        <f>Summary[[#This Row],[فروش]]*Summary[[#This Row],[قیمت تمام شده]]</f>
        <v>1468800</v>
      </c>
      <c r="I194" s="141">
        <f>Summary[[#This Row],[خرید]]-Summary[[#This Row],[فروش]]</f>
        <v>1</v>
      </c>
      <c r="J194" s="303">
        <f>Summary[[#This Row],[موجودی]]*Summary[[#This Row],[قیمت تمام شده]]</f>
        <v>367200</v>
      </c>
      <c r="K194" s="152" t="str">
        <f>IF(B194="", "", _xlfn.XLOOKUP(B194, T[کالا], T[نحوه تسویه], ""))</f>
        <v>حساب 5802</v>
      </c>
      <c r="L194" s="152" t="str">
        <f>IF(B194="", "", _xlfn.XLOOKUP(B194, T[کالا], T[شماره فاکتور], ""))</f>
        <v>ب 402</v>
      </c>
      <c r="M194" s="152" t="str">
        <f>IF(B194="", "", _xlfn.XLOOKUP(Summary[[#This Row],[فاکتور]], T[شماره فاکتور], T[فروشنده / مشتری], "نامشخص"))</f>
        <v>سرای ملی</v>
      </c>
      <c r="N194" s="303">
        <f>Summary[[#This Row],[ارزش فروش]] - (Summary[[#This Row],[قیمت تمام شده]]*Summary[[#This Row],[فروش]])</f>
        <v>1531200</v>
      </c>
      <c r="O194" s="365">
        <f>IFERROR(Summary[[#This Row],[سود]]/Summary[[#This Row],[ارزش کالای فروخته شده]], "")</f>
        <v>1.042483660130719</v>
      </c>
    </row>
    <row r="195" spans="2:15" x14ac:dyDescent="0.8">
      <c r="B195" s="191" t="str">
        <v>شافل ساده</v>
      </c>
      <c r="C195" s="141">
        <f>SUMIFS(T[تعداد], T[کالا], B195, T[نوع عملیات], "خرید")</f>
        <v>5</v>
      </c>
      <c r="D195" s="141">
        <f t="shared" si="7"/>
        <v>870000</v>
      </c>
      <c r="E195" s="141">
        <f>SUMIFS(T[قیمت کل], T[کالا], B195, T[نوع عملیات], "خرید")</f>
        <v>4350000</v>
      </c>
      <c r="F195" s="141">
        <f>SUMIFS(T[تعداد], T[کالا], B195, T[نوع عملیات], "فروش") + SUMIFS(T[تعداد], T[کالا], B195, T[نوع عملیات], "استفاده خودم")</f>
        <v>2</v>
      </c>
      <c r="G195" s="141">
        <f>SUMIFS(T[قیمت کل], T[کالا], B195, T[نوع عملیات], "فروش")</f>
        <v>1700000</v>
      </c>
      <c r="H195" s="141">
        <f>Summary[[#This Row],[فروش]]*Summary[[#This Row],[قیمت تمام شده]]</f>
        <v>1740000</v>
      </c>
      <c r="I195" s="141">
        <f>Summary[[#This Row],[خرید]]-Summary[[#This Row],[فروش]]</f>
        <v>3</v>
      </c>
      <c r="J195" s="141">
        <f>Summary[[#This Row],[موجودی]]*Summary[[#This Row],[قیمت تمام شده]]</f>
        <v>2610000</v>
      </c>
      <c r="K195" s="152" t="str">
        <f>IF(B195="", "", _xlfn.XLOOKUP(B195, T[کالا], T[نحوه تسویه], ""))</f>
        <v>حساب 5802</v>
      </c>
      <c r="L195" s="152" t="str">
        <f>IF(B195="", "", _xlfn.XLOOKUP(B195, T[کالا], T[شماره فاکتور], ""))</f>
        <v>ب 402</v>
      </c>
      <c r="M195" s="152" t="str">
        <f>IF(B195="", "", _xlfn.XLOOKUP(Summary[[#This Row],[فاکتور]], T[شماره فاکتور], T[فروشنده / مشتری], "نامشخص"))</f>
        <v>سرای ملی</v>
      </c>
      <c r="N195" s="303">
        <f>Summary[[#This Row],[ارزش فروش]] - (Summary[[#This Row],[قیمت تمام شده]]*Summary[[#This Row],[فروش]])</f>
        <v>-40000</v>
      </c>
      <c r="O195" s="365">
        <f>IFERROR(Summary[[#This Row],[سود]]/Summary[[#This Row],[ارزش کالای فروخته شده]], "")</f>
        <v>-2.2988505747126436E-2</v>
      </c>
    </row>
    <row r="196" spans="2:15" x14ac:dyDescent="0.8">
      <c r="B196" s="152" t="str">
        <v>شافل ترک</v>
      </c>
      <c r="C196" s="141">
        <f>SUMIFS(T[تعداد], T[کالا], B196, T[نوع عملیات], "خرید")</f>
        <v>10</v>
      </c>
      <c r="D196" s="141">
        <f t="shared" si="7"/>
        <v>995000</v>
      </c>
      <c r="E196" s="141">
        <f>SUMIFS(T[قیمت کل], T[کالا], B196, T[نوع عملیات], "خرید")</f>
        <v>9950000</v>
      </c>
      <c r="F196" s="141">
        <f>SUMIFS(T[تعداد], T[کالا], B196, T[نوع عملیات], "فروش") + SUMIFS(T[تعداد], T[کالا], B196, T[نوع عملیات], "استفاده خودم")</f>
        <v>4</v>
      </c>
      <c r="G196" s="141">
        <f>SUMIFS(T[قیمت کل], T[کالا], B196, T[نوع عملیات], "فروش")</f>
        <v>8400000</v>
      </c>
      <c r="H196" s="141">
        <f>Summary[[#This Row],[فروش]]*Summary[[#This Row],[قیمت تمام شده]]</f>
        <v>3980000</v>
      </c>
      <c r="I196" s="141">
        <f>Summary[[#This Row],[خرید]]-Summary[[#This Row],[فروش]]</f>
        <v>6</v>
      </c>
      <c r="J196" s="141">
        <f>Summary[[#This Row],[موجودی]]*Summary[[#This Row],[قیمت تمام شده]]</f>
        <v>5970000</v>
      </c>
      <c r="K196" s="152" t="str">
        <f>IF(B196="", "", _xlfn.XLOOKUP(B196, T[کالا], T[نحوه تسویه], ""))</f>
        <v>حساب 5802</v>
      </c>
      <c r="L196" s="152" t="str">
        <f>IF(B196="", "", _xlfn.XLOOKUP(B196, T[کالا], T[شماره فاکتور], ""))</f>
        <v>ب 402</v>
      </c>
      <c r="M196" s="152" t="str">
        <f>IF(B196="", "", _xlfn.XLOOKUP(Summary[[#This Row],[فاکتور]], T[شماره فاکتور], T[فروشنده / مشتری], "نامشخص"))</f>
        <v>سرای ملی</v>
      </c>
      <c r="N196" s="303">
        <f>Summary[[#This Row],[ارزش فروش]] - (Summary[[#This Row],[قیمت تمام شده]]*Summary[[#This Row],[فروش]])</f>
        <v>4420000</v>
      </c>
      <c r="O196" s="365">
        <f>IFERROR(Summary[[#This Row],[سود]]/Summary[[#This Row],[ارزش کالای فروخته شده]], "")</f>
        <v>1.1105527638190955</v>
      </c>
    </row>
    <row r="197" spans="2:15" x14ac:dyDescent="0.8">
      <c r="B197" s="191" t="str">
        <v>مام فیت ترک</v>
      </c>
      <c r="C197" s="141">
        <f>SUMIFS(T[تعداد], T[کالا], B197, T[نوع عملیات], "خرید")</f>
        <v>10</v>
      </c>
      <c r="D197" s="141">
        <f t="shared" si="7"/>
        <v>675000</v>
      </c>
      <c r="E197" s="141">
        <f>SUMIFS(T[قیمت کل], T[کالا], B197, T[نوع عملیات], "خرید")</f>
        <v>6750000</v>
      </c>
      <c r="F197" s="141">
        <f>SUMIFS(T[تعداد], T[کالا], B197, T[نوع عملیات], "فروش") + SUMIFS(T[تعداد], T[کالا], B197, T[نوع عملیات], "استفاده خودم")</f>
        <v>2</v>
      </c>
      <c r="G197" s="141">
        <f>SUMIFS(T[قیمت کل], T[کالا], B197, T[نوع عملیات], "فروش")</f>
        <v>2900000</v>
      </c>
      <c r="H197" s="141">
        <f>Summary[[#This Row],[فروش]]*Summary[[#This Row],[قیمت تمام شده]]</f>
        <v>1350000</v>
      </c>
      <c r="I197" s="141">
        <f>Summary[[#This Row],[خرید]]-Summary[[#This Row],[فروش]]</f>
        <v>8</v>
      </c>
      <c r="J197" s="303">
        <f>Summary[[#This Row],[موجودی]]*Summary[[#This Row],[قیمت تمام شده]]</f>
        <v>5400000</v>
      </c>
      <c r="K197" s="152" t="str">
        <f>IF(B197="", "", _xlfn.XLOOKUP(B197, T[کالا], T[نحوه تسویه], ""))</f>
        <v>حساب 5802</v>
      </c>
      <c r="L197" s="152" t="str">
        <f>IF(B197="", "", _xlfn.XLOOKUP(B197, T[کالا], T[شماره فاکتور], ""))</f>
        <v>ب 402</v>
      </c>
      <c r="M197" s="152" t="str">
        <f>IF(B197="", "", _xlfn.XLOOKUP(Summary[[#This Row],[فاکتور]], T[شماره فاکتور], T[فروشنده / مشتری], "نامشخص"))</f>
        <v>سرای ملی</v>
      </c>
      <c r="N197" s="303">
        <f>Summary[[#This Row],[ارزش فروش]] - (Summary[[#This Row],[قیمت تمام شده]]*Summary[[#This Row],[فروش]])</f>
        <v>1550000</v>
      </c>
      <c r="O197" s="365">
        <f>IFERROR(Summary[[#This Row],[سود]]/Summary[[#This Row],[ارزش کالای فروخته شده]], "")</f>
        <v>1.1481481481481481</v>
      </c>
    </row>
    <row r="198" spans="2:15" x14ac:dyDescent="0.8">
      <c r="B198" s="152" t="str">
        <v>مام فیت کمرکش</v>
      </c>
      <c r="C198" s="141">
        <f>SUMIFS(T[تعداد], T[کالا], B198, T[نوع عملیات], "خرید")</f>
        <v>8</v>
      </c>
      <c r="D198" s="141">
        <f t="shared" si="7"/>
        <v>510000</v>
      </c>
      <c r="E198" s="141">
        <f>SUMIFS(T[قیمت کل], T[کالا], B198, T[نوع عملیات], "خرید")</f>
        <v>4080000</v>
      </c>
      <c r="F198" s="141">
        <f>SUMIFS(T[تعداد], T[کالا], B198, T[نوع عملیات], "فروش") + SUMIFS(T[تعداد], T[کالا], B198, T[نوع عملیات], "استفاده خودم")</f>
        <v>1</v>
      </c>
      <c r="G198" s="141">
        <f>SUMIFS(T[قیمت کل], T[کالا], B198, T[نوع عملیات], "فروش")</f>
        <v>1600000</v>
      </c>
      <c r="H198" s="141">
        <f>Summary[[#This Row],[فروش]]*Summary[[#This Row],[قیمت تمام شده]]</f>
        <v>510000</v>
      </c>
      <c r="I198" s="141">
        <f>Summary[[#This Row],[خرید]]-Summary[[#This Row],[فروش]]</f>
        <v>7</v>
      </c>
      <c r="J198" s="141">
        <f>Summary[[#This Row],[موجودی]]*Summary[[#This Row],[قیمت تمام شده]]</f>
        <v>3570000</v>
      </c>
      <c r="K198" s="152" t="str">
        <f>IF(B198="", "", _xlfn.XLOOKUP(B198, T[کالا], T[نحوه تسویه], ""))</f>
        <v>حساب 5802</v>
      </c>
      <c r="L198" s="152" t="str">
        <f>IF(B198="", "", _xlfn.XLOOKUP(B198, T[کالا], T[شماره فاکتور], ""))</f>
        <v>ب 402</v>
      </c>
      <c r="M198" s="152" t="str">
        <f>IF(B198="", "", _xlfn.XLOOKUP(Summary[[#This Row],[فاکتور]], T[شماره فاکتور], T[فروشنده / مشتری], "نامشخص"))</f>
        <v>سرای ملی</v>
      </c>
      <c r="N198" s="303">
        <f>Summary[[#This Row],[ارزش فروش]] - (Summary[[#This Row],[قیمت تمام شده]]*Summary[[#This Row],[فروش]])</f>
        <v>1090000</v>
      </c>
      <c r="O198" s="365">
        <f>IFERROR(Summary[[#This Row],[سود]]/Summary[[#This Row],[ارزش کالای فروخته شده]], "")</f>
        <v>2.1372549019607843</v>
      </c>
    </row>
    <row r="199" spans="2:15" x14ac:dyDescent="0.8">
      <c r="B199" s="191" t="str">
        <v>جین واید لگ تیره</v>
      </c>
      <c r="C199" s="141">
        <f>SUMIFS(T[تعداد], T[کالا], B199, T[نوع عملیات], "خرید")</f>
        <v>5</v>
      </c>
      <c r="D199" s="141">
        <f t="shared" si="7"/>
        <v>740000</v>
      </c>
      <c r="E199" s="141">
        <f>SUMIFS(T[قیمت کل], T[کالا], B199, T[نوع عملیات], "خرید")</f>
        <v>3700000</v>
      </c>
      <c r="F199" s="141">
        <f>SUMIFS(T[تعداد], T[کالا], B199, T[نوع عملیات], "فروش") + SUMIFS(T[تعداد], T[کالا], B199, T[نوع عملیات], "استفاده خودم")</f>
        <v>3</v>
      </c>
      <c r="G199" s="141">
        <f>SUMIFS(T[قیمت کل], T[کالا], B199, T[نوع عملیات], "فروش")</f>
        <v>3700000</v>
      </c>
      <c r="H199" s="141">
        <f>Summary[[#This Row],[فروش]]*Summary[[#This Row],[قیمت تمام شده]]</f>
        <v>2220000</v>
      </c>
      <c r="I199" s="141">
        <f>Summary[[#This Row],[خرید]]-Summary[[#This Row],[فروش]]</f>
        <v>2</v>
      </c>
      <c r="J199" s="141">
        <f>Summary[[#This Row],[موجودی]]*Summary[[#This Row],[قیمت تمام شده]]</f>
        <v>1480000</v>
      </c>
      <c r="K199" s="152" t="str">
        <f>IF(B199="", "", _xlfn.XLOOKUP(B199, T[کالا], T[نحوه تسویه], ""))</f>
        <v>حساب 5802</v>
      </c>
      <c r="L199" s="152" t="str">
        <f>IF(B199="", "", _xlfn.XLOOKUP(B199, T[کالا], T[شماره فاکتور], ""))</f>
        <v>ب 402</v>
      </c>
      <c r="M199" s="152" t="str">
        <f>IF(B199="", "", _xlfn.XLOOKUP(Summary[[#This Row],[فاکتور]], T[شماره فاکتور], T[فروشنده / مشتری], "نامشخص"))</f>
        <v>سرای ملی</v>
      </c>
      <c r="N199" s="303">
        <f>Summary[[#This Row],[ارزش فروش]] - (Summary[[#This Row],[قیمت تمام شده]]*Summary[[#This Row],[فروش]])</f>
        <v>1480000</v>
      </c>
      <c r="O199" s="365">
        <f>IFERROR(Summary[[#This Row],[سود]]/Summary[[#This Row],[ارزش کالای فروخته شده]], "")</f>
        <v>0.66666666666666663</v>
      </c>
    </row>
    <row r="200" spans="2:15" x14ac:dyDescent="0.8">
      <c r="B200" s="152" t="str">
        <v>جین واید لگ روشن</v>
      </c>
      <c r="C200" s="303">
        <f>SUMIFS(T[تعداد], T[کالا], B200, T[نوع عملیات], "خرید")</f>
        <v>5</v>
      </c>
      <c r="D200" s="303">
        <f t="shared" ref="D200:D201" si="8">IFERROR(E200/C200, 0)</f>
        <v>740000</v>
      </c>
      <c r="E200" s="303">
        <f>SUMIFS(T[قیمت کل], T[کالا], B200, T[نوع عملیات], "خرید")</f>
        <v>3700000</v>
      </c>
      <c r="F200" s="141">
        <f>SUMIFS(T[تعداد], T[کالا], B200, T[نوع عملیات], "فروش") + SUMIFS(T[تعداد], T[کالا], B200, T[نوع عملیات], "استفاده خودم")</f>
        <v>4</v>
      </c>
      <c r="G200" s="141">
        <f>SUMIFS(T[قیمت کل], T[کالا], B200, T[نوع عملیات], "فروش")</f>
        <v>5300000</v>
      </c>
      <c r="H200" s="141">
        <f>Summary[[#This Row],[فروش]]*Summary[[#This Row],[قیمت تمام شده]]</f>
        <v>2960000</v>
      </c>
      <c r="I200" s="141">
        <f>Summary[[#This Row],[خرید]]-Summary[[#This Row],[فروش]]</f>
        <v>1</v>
      </c>
      <c r="J200" s="303">
        <f>Summary[[#This Row],[موجودی]]*Summary[[#This Row],[قیمت تمام شده]]</f>
        <v>740000</v>
      </c>
      <c r="K200" s="152" t="str">
        <f>IF(B200="", "", _xlfn.XLOOKUP(B200, T[کالا], T[نحوه تسویه], ""))</f>
        <v>حساب 5802</v>
      </c>
      <c r="L200" s="152" t="str">
        <f>IF(B200="", "", _xlfn.XLOOKUP(B200, T[کالا], T[شماره فاکتور], ""))</f>
        <v>ب 402</v>
      </c>
      <c r="M200" s="152" t="str">
        <f>IF(B200="", "", _xlfn.XLOOKUP(Summary[[#This Row],[فاکتور]], T[شماره فاکتور], T[فروشنده / مشتری], "نامشخص"))</f>
        <v>سرای ملی</v>
      </c>
      <c r="N200" s="303">
        <f>Summary[[#This Row],[ارزش فروش]] - (Summary[[#This Row],[قیمت تمام شده]]*Summary[[#This Row],[فروش]])</f>
        <v>2340000</v>
      </c>
      <c r="O200" s="365">
        <f>IFERROR(Summary[[#This Row],[سود]]/Summary[[#This Row],[ارزش کالای فروخته شده]], "")</f>
        <v>0.79054054054054057</v>
      </c>
    </row>
    <row r="201" spans="2:15" x14ac:dyDescent="0.8">
      <c r="B201" s="191" t="str">
        <v>شلوارک جین روشن</v>
      </c>
      <c r="C201" s="303">
        <f>SUMIFS(T[تعداد], T[کالا], B201, T[نوع عملیات], "خرید")</f>
        <v>5</v>
      </c>
      <c r="D201" s="303">
        <f t="shared" si="8"/>
        <v>350000</v>
      </c>
      <c r="E201" s="303">
        <f>SUMIFS(T[قیمت کل], T[کالا], B201, T[نوع عملیات], "خرید")</f>
        <v>1750000</v>
      </c>
      <c r="F201" s="141">
        <f>SUMIFS(T[تعداد], T[کالا], B201, T[نوع عملیات], "فروش") + SUMIFS(T[تعداد], T[کالا], B201, T[نوع عملیات], "استفاده خودم")</f>
        <v>2</v>
      </c>
      <c r="G201" s="141">
        <f>SUMIFS(T[قیمت کل], T[کالا], B201, T[نوع عملیات], "فروش")</f>
        <v>1650000</v>
      </c>
      <c r="H201" s="141">
        <f>Summary[[#This Row],[فروش]]*Summary[[#This Row],[قیمت تمام شده]]</f>
        <v>700000</v>
      </c>
      <c r="I201" s="141">
        <f>Summary[[#This Row],[خرید]]-Summary[[#This Row],[فروش]]</f>
        <v>3</v>
      </c>
      <c r="J201" s="303">
        <f>Summary[[#This Row],[موجودی]]*Summary[[#This Row],[قیمت تمام شده]]</f>
        <v>1050000</v>
      </c>
      <c r="K201" s="152" t="str">
        <f>IF(B201="", "", _xlfn.XLOOKUP(B201, T[کالا], T[نحوه تسویه], ""))</f>
        <v>حساب 5802</v>
      </c>
      <c r="L201" s="152" t="str">
        <f>IF(B201="", "", _xlfn.XLOOKUP(B201, T[کالا], T[شماره فاکتور], ""))</f>
        <v>ب 402</v>
      </c>
      <c r="M201" s="152" t="str">
        <f>IF(B201="", "", _xlfn.XLOOKUP(Summary[[#This Row],[فاکتور]], T[شماره فاکتور], T[فروشنده / مشتری], "نامشخص"))</f>
        <v>سرای ملی</v>
      </c>
      <c r="N201" s="303">
        <f>Summary[[#This Row],[ارزش فروش]] - (Summary[[#This Row],[قیمت تمام شده]]*Summary[[#This Row],[فروش]])</f>
        <v>950000</v>
      </c>
      <c r="O201" s="365">
        <f>IFERROR(Summary[[#This Row],[سود]]/Summary[[#This Row],[ارزش کالای فروخته شده]], "")</f>
        <v>1.3571428571428572</v>
      </c>
    </row>
    <row r="202" spans="2:15" x14ac:dyDescent="0.8">
      <c r="B202" s="152" t="str">
        <v>تاپ بند ماکارونی</v>
      </c>
      <c r="C202" s="303">
        <f>SUMIFS(T[تعداد], T[کالا], B202, T[نوع عملیات], "خرید")</f>
        <v>37</v>
      </c>
      <c r="D202" s="303">
        <f t="shared" ref="D202:D210" si="9">IFERROR(E202/C202, 0)</f>
        <v>148000</v>
      </c>
      <c r="E202" s="303">
        <f>SUMIFS(T[قیمت کل], T[کالا], B202, T[نوع عملیات], "خرید")</f>
        <v>5476000</v>
      </c>
      <c r="F202" s="141">
        <f>SUMIFS(T[تعداد], T[کالا], B202, T[نوع عملیات], "فروش") + SUMIFS(T[تعداد], T[کالا], B202, T[نوع عملیات], "استفاده خودم")</f>
        <v>48</v>
      </c>
      <c r="G202" s="141">
        <f>SUMIFS(T[قیمت کل], T[کالا], B202, T[نوع عملیات], "فروش")</f>
        <v>15380000</v>
      </c>
      <c r="H202" s="141">
        <f>Summary[[#This Row],[فروش]]*Summary[[#This Row],[قیمت تمام شده]]</f>
        <v>7104000</v>
      </c>
      <c r="I202" s="141">
        <f>Summary[[#This Row],[خرید]]-Summary[[#This Row],[فروش]]</f>
        <v>-11</v>
      </c>
      <c r="J202" s="303">
        <f>Summary[[#This Row],[موجودی]]*Summary[[#This Row],[قیمت تمام شده]]</f>
        <v>-1628000</v>
      </c>
      <c r="K202" s="152" t="str">
        <f>IF(B202="", "", _xlfn.XLOOKUP(B202, T[کالا], T[نحوه تسویه], ""))</f>
        <v>حساب 5802</v>
      </c>
      <c r="L202" s="152" t="str">
        <f>IF(B202="", "", _xlfn.XLOOKUP(B202, T[کالا], T[شماره فاکتور], ""))</f>
        <v>ب 402</v>
      </c>
      <c r="M202" s="152" t="str">
        <f>IF(B202="", "", _xlfn.XLOOKUP(Summary[[#This Row],[فاکتور]], T[شماره فاکتور], T[فروشنده / مشتری], "نامشخص"))</f>
        <v>سرای ملی</v>
      </c>
      <c r="N202" s="303">
        <f>Summary[[#This Row],[ارزش فروش]] - (Summary[[#This Row],[قیمت تمام شده]]*Summary[[#This Row],[فروش]])</f>
        <v>8276000</v>
      </c>
      <c r="O202" s="365">
        <f>IFERROR(Summary[[#This Row],[سود]]/Summary[[#This Row],[ارزش کالای فروخته شده]], "")</f>
        <v>1.1649774774774775</v>
      </c>
    </row>
    <row r="203" spans="2:15" x14ac:dyDescent="0.8">
      <c r="B203" s="191" t="str">
        <v>ساحلی سفید</v>
      </c>
      <c r="C203" s="303">
        <f>SUMIFS(T[تعداد], T[کالا], B203, T[نوع عملیات], "خرید")</f>
        <v>6</v>
      </c>
      <c r="D203" s="303">
        <f t="shared" si="9"/>
        <v>596666.66666666663</v>
      </c>
      <c r="E203" s="303">
        <f>SUMIFS(T[قیمت کل], T[کالا], B203, T[نوع عملیات], "خرید")</f>
        <v>3580000</v>
      </c>
      <c r="F203" s="141">
        <f>SUMIFS(T[تعداد], T[کالا], B203, T[نوع عملیات], "فروش") + SUMIFS(T[تعداد], T[کالا], B203, T[نوع عملیات], "استفاده خودم")</f>
        <v>4</v>
      </c>
      <c r="G203" s="141">
        <f>SUMIFS(T[قیمت کل], T[کالا], B203, T[نوع عملیات], "فروش")</f>
        <v>4600000</v>
      </c>
      <c r="H203" s="141">
        <f>Summary[[#This Row],[فروش]]*Summary[[#This Row],[قیمت تمام شده]]</f>
        <v>2386666.6666666665</v>
      </c>
      <c r="I203" s="141">
        <f>Summary[[#This Row],[خرید]]-Summary[[#This Row],[فروش]]</f>
        <v>2</v>
      </c>
      <c r="J203" s="141">
        <f>Summary[[#This Row],[موجودی]]*Summary[[#This Row],[قیمت تمام شده]]</f>
        <v>1193333.3333333333</v>
      </c>
      <c r="K203" s="152" t="str">
        <f>IF(B203="", "", _xlfn.XLOOKUP(B203, T[کالا], T[نحوه تسویه], ""))</f>
        <v>حساب 5802</v>
      </c>
      <c r="L203" s="152" t="str">
        <f>IF(B203="", "", _xlfn.XLOOKUP(B203, T[کالا], T[شماره فاکتور], ""))</f>
        <v>ب 402</v>
      </c>
      <c r="M203" s="152" t="str">
        <f>IF(B203="", "", _xlfn.XLOOKUP(Summary[[#This Row],[فاکتور]], T[شماره فاکتور], T[فروشنده / مشتری], "نامشخص"))</f>
        <v>سرای ملی</v>
      </c>
      <c r="N203" s="303">
        <f>Summary[[#This Row],[ارزش فروش]] - (Summary[[#This Row],[قیمت تمام شده]]*Summary[[#This Row],[فروش]])</f>
        <v>2213333.3333333335</v>
      </c>
      <c r="O203" s="365">
        <f>IFERROR(Summary[[#This Row],[سود]]/Summary[[#This Row],[ارزش کالای فروخته شده]], "")</f>
        <v>0.92737430167597779</v>
      </c>
    </row>
    <row r="204" spans="2:15" x14ac:dyDescent="0.8">
      <c r="B204" s="152" t="str">
        <v>شومیز دگمه جدید</v>
      </c>
      <c r="C204" s="303">
        <f>SUMIFS(T[تعداد], T[کالا], B204, T[نوع عملیات], "خرید")</f>
        <v>4</v>
      </c>
      <c r="D204" s="303">
        <f t="shared" si="9"/>
        <v>368000</v>
      </c>
      <c r="E204" s="303">
        <f>SUMIFS(T[قیمت کل], T[کالا], B204, T[نوع عملیات], "خرید")</f>
        <v>1472000</v>
      </c>
      <c r="F204" s="141">
        <f>SUMIFS(T[تعداد], T[کالا], B204, T[نوع عملیات], "فروش") + SUMIFS(T[تعداد], T[کالا], B204, T[نوع عملیات], "استفاده خودم")</f>
        <v>2</v>
      </c>
      <c r="G204" s="141">
        <f>SUMIFS(T[قیمت کل], T[کالا], B204, T[نوع عملیات], "فروش")</f>
        <v>1350000</v>
      </c>
      <c r="H204" s="141">
        <f>Summary[[#This Row],[فروش]]*Summary[[#This Row],[قیمت تمام شده]]</f>
        <v>736000</v>
      </c>
      <c r="I204" s="141">
        <f>Summary[[#This Row],[خرید]]-Summary[[#This Row],[فروش]]</f>
        <v>2</v>
      </c>
      <c r="J204" s="141">
        <f>Summary[[#This Row],[موجودی]]*Summary[[#This Row],[قیمت تمام شده]]</f>
        <v>736000</v>
      </c>
      <c r="K204" s="152" t="str">
        <f>IF(B204="", "", _xlfn.XLOOKUP(B204, T[کالا], T[نحوه تسویه], ""))</f>
        <v>حساب 5802</v>
      </c>
      <c r="L204" s="152" t="str">
        <f>IF(B204="", "", _xlfn.XLOOKUP(B204, T[کالا], T[شماره فاکتور], ""))</f>
        <v>ب 402</v>
      </c>
      <c r="M204" s="152" t="str">
        <f>IF(B204="", "", _xlfn.XLOOKUP(Summary[[#This Row],[فاکتور]], T[شماره فاکتور], T[فروشنده / مشتری], "نامشخص"))</f>
        <v>سرای ملی</v>
      </c>
      <c r="N204" s="303">
        <f>Summary[[#This Row],[ارزش فروش]] - (Summary[[#This Row],[قیمت تمام شده]]*Summary[[#This Row],[فروش]])</f>
        <v>614000</v>
      </c>
      <c r="O204" s="365">
        <f>IFERROR(Summary[[#This Row],[سود]]/Summary[[#This Row],[ارزش کالای فروخته شده]], "")</f>
        <v>0.83423913043478259</v>
      </c>
    </row>
    <row r="205" spans="2:15" x14ac:dyDescent="0.8">
      <c r="B205" s="191" t="str">
        <v>پابند</v>
      </c>
      <c r="C205" s="303">
        <f>SUMIFS(T[تعداد], T[کالا], B205, T[نوع عملیات], "خرید")</f>
        <v>1</v>
      </c>
      <c r="D205" s="303">
        <f t="shared" si="9"/>
        <v>750000</v>
      </c>
      <c r="E205" s="303">
        <f>SUMIFS(T[قیمت کل], T[کالا], B205, T[نوع عملیات], "خرید")</f>
        <v>750000</v>
      </c>
      <c r="F205" s="303">
        <f>SUMIFS(T[تعداد], T[کالا], B205, T[نوع عملیات], "فروش") + SUMIFS(T[تعداد], T[کالا], B205, T[نوع عملیات], "استفاده خودم")</f>
        <v>1</v>
      </c>
      <c r="G205" s="303">
        <f>SUMIFS(T[قیمت کل], T[کالا], B205, T[نوع عملیات], "فروش")</f>
        <v>850000</v>
      </c>
      <c r="H205" s="303">
        <f>Summary[[#This Row],[فروش]]*Summary[[#This Row],[قیمت تمام شده]]</f>
        <v>750000</v>
      </c>
      <c r="I205" s="141">
        <f>Summary[[#This Row],[خرید]]-Summary[[#This Row],[فروش]]</f>
        <v>0</v>
      </c>
      <c r="J205" s="141">
        <f>Summary[[#This Row],[موجودی]]*Summary[[#This Row],[قیمت تمام شده]]</f>
        <v>0</v>
      </c>
      <c r="K205" s="152" t="str">
        <f>IF(B205="", "", _xlfn.XLOOKUP(B205, T[کالا], T[نحوه تسویه], ""))</f>
        <v>حساب 5802</v>
      </c>
      <c r="L205" s="152" t="str">
        <f>IF(B205="", "", _xlfn.XLOOKUP(B205, T[کالا], T[شماره فاکتور], ""))</f>
        <v>ن 402</v>
      </c>
      <c r="M205" s="152" t="str">
        <f>IF(B205="", "", _xlfn.XLOOKUP(Summary[[#This Row],[فاکتور]], T[شماره فاکتور], T[فروشنده / مشتری], "نامشخص"))</f>
        <v>فروشنده نامشخص</v>
      </c>
      <c r="N205" s="303">
        <f>Summary[[#This Row],[ارزش فروش]] - (Summary[[#This Row],[قیمت تمام شده]]*Summary[[#This Row],[فروش]])</f>
        <v>100000</v>
      </c>
      <c r="O205" s="365">
        <f>IFERROR(Summary[[#This Row],[سود]]/Summary[[#This Row],[ارزش کالای فروخته شده]], "")</f>
        <v>0.13333333333333333</v>
      </c>
    </row>
    <row r="206" spans="2:15" x14ac:dyDescent="0.8">
      <c r="B206" s="152" t="str">
        <v>شورت لیزری</v>
      </c>
      <c r="C206" s="303">
        <f>SUMIFS(T[تعداد], T[کالا], B206, T[نوع عملیات], "خرید")</f>
        <v>2</v>
      </c>
      <c r="D206" s="303">
        <f t="shared" si="9"/>
        <v>110000</v>
      </c>
      <c r="E206" s="303">
        <f>SUMIFS(T[قیمت کل], T[کالا], B206, T[نوع عملیات], "خرید")</f>
        <v>220000</v>
      </c>
      <c r="F206" s="303">
        <f>SUMIFS(T[تعداد], T[کالا], B206, T[نوع عملیات], "فروش") + SUMIFS(T[تعداد], T[کالا], B206, T[نوع عملیات], "استفاده خودم")</f>
        <v>2</v>
      </c>
      <c r="G206" s="303">
        <f>SUMIFS(T[قیمت کل], T[کالا], B206, T[نوع عملیات], "فروش")</f>
        <v>335000</v>
      </c>
      <c r="H206" s="303">
        <f>Summary[[#This Row],[فروش]]*Summary[[#This Row],[قیمت تمام شده]]</f>
        <v>220000</v>
      </c>
      <c r="I206" s="141">
        <f>Summary[[#This Row],[خرید]]-Summary[[#This Row],[فروش]]</f>
        <v>0</v>
      </c>
      <c r="J206" s="303">
        <f>Summary[[#This Row],[موجودی]]*Summary[[#This Row],[قیمت تمام شده]]</f>
        <v>0</v>
      </c>
      <c r="K206" s="152" t="str">
        <f>IF(B206="", "", _xlfn.XLOOKUP(B206, T[کالا], T[نحوه تسویه], ""))</f>
        <v>حساب 5802</v>
      </c>
      <c r="L206" s="152" t="str">
        <f>IF(B206="", "", _xlfn.XLOOKUP(B206, T[کالا], T[شماره فاکتور], ""))</f>
        <v>ش 402</v>
      </c>
      <c r="M206" s="152" t="str">
        <f>IF(B206="", "", _xlfn.XLOOKUP(Summary[[#This Row],[فاکتور]], T[شماره فاکتور], T[فروشنده / مشتری], "نامشخص"))</f>
        <v>مهسا - سالن</v>
      </c>
      <c r="N206" s="303">
        <f>Summary[[#This Row],[ارزش فروش]] - (Summary[[#This Row],[قیمت تمام شده]]*Summary[[#This Row],[فروش]])</f>
        <v>115000</v>
      </c>
      <c r="O206" s="365">
        <f>IFERROR(Summary[[#This Row],[سود]]/Summary[[#This Row],[ارزش کالای فروخته شده]], "")</f>
        <v>0.52272727272727271</v>
      </c>
    </row>
    <row r="207" spans="2:15" x14ac:dyDescent="0.8">
      <c r="B207" s="191" t="str">
        <v>سوتین کرم</v>
      </c>
      <c r="C207" s="303">
        <f>SUMIFS(T[تعداد], T[کالا], B207, T[نوع عملیات], "خرید")</f>
        <v>1</v>
      </c>
      <c r="D207" s="303">
        <f t="shared" si="9"/>
        <v>420000</v>
      </c>
      <c r="E207" s="303">
        <f>SUMIFS(T[قیمت کل], T[کالا], B207, T[نوع عملیات], "خرید")</f>
        <v>420000</v>
      </c>
      <c r="F207" s="303">
        <f>SUMIFS(T[تعداد], T[کالا], B207, T[نوع عملیات], "فروش") + SUMIFS(T[تعداد], T[کالا], B207, T[نوع عملیات], "استفاده خودم")</f>
        <v>1</v>
      </c>
      <c r="G207" s="303">
        <f>SUMIFS(T[قیمت کل], T[کالا], B207, T[نوع عملیات], "فروش")</f>
        <v>600000</v>
      </c>
      <c r="H207" s="303">
        <f>Summary[[#This Row],[فروش]]*Summary[[#This Row],[قیمت تمام شده]]</f>
        <v>420000</v>
      </c>
      <c r="I207" s="141">
        <f>Summary[[#This Row],[خرید]]-Summary[[#This Row],[فروش]]</f>
        <v>0</v>
      </c>
      <c r="J207" s="303">
        <f>Summary[[#This Row],[موجودی]]*Summary[[#This Row],[قیمت تمام شده]]</f>
        <v>0</v>
      </c>
      <c r="K207" s="152" t="str">
        <f>IF(B207="", "", _xlfn.XLOOKUP(B207, T[کالا], T[نحوه تسویه], ""))</f>
        <v>حساب 5802</v>
      </c>
      <c r="L207" s="152" t="str">
        <f>IF(B207="", "", _xlfn.XLOOKUP(B207, T[کالا], T[شماره فاکتور], ""))</f>
        <v>ش 402</v>
      </c>
      <c r="M207" s="152" t="str">
        <f>IF(B207="", "", _xlfn.XLOOKUP(Summary[[#This Row],[فاکتور]], T[شماره فاکتور], T[فروشنده / مشتری], "نامشخص"))</f>
        <v>مهسا - سالن</v>
      </c>
      <c r="N207" s="303">
        <f>Summary[[#This Row],[ارزش فروش]] - (Summary[[#This Row],[قیمت تمام شده]]*Summary[[#This Row],[فروش]])</f>
        <v>180000</v>
      </c>
      <c r="O207" s="365">
        <f>IFERROR(Summary[[#This Row],[سود]]/Summary[[#This Row],[ارزش کالای فروخته شده]], "")</f>
        <v>0.42857142857142855</v>
      </c>
    </row>
    <row r="208" spans="2:15" x14ac:dyDescent="0.8">
      <c r="B208" s="152" t="str">
        <v>لگ مشکی سیملس</v>
      </c>
      <c r="C208" s="303">
        <f>SUMIFS(T[تعداد], T[کالا], B208, T[نوع عملیات], "خرید")</f>
        <v>5</v>
      </c>
      <c r="D208" s="303">
        <f t="shared" si="9"/>
        <v>480000</v>
      </c>
      <c r="E208" s="303">
        <f>SUMIFS(T[قیمت کل], T[کالا], B208, T[نوع عملیات], "خرید")</f>
        <v>2400000</v>
      </c>
      <c r="F208" s="303">
        <f>SUMIFS(T[تعداد], T[کالا], B208, T[نوع عملیات], "فروش") + SUMIFS(T[تعداد], T[کالا], B208, T[نوع عملیات], "استفاده خودم")</f>
        <v>2</v>
      </c>
      <c r="G208" s="303">
        <f>SUMIFS(T[قیمت کل], T[کالا], B208, T[نوع عملیات], "فروش")</f>
        <v>1400000</v>
      </c>
      <c r="H208" s="303">
        <f>Summary[[#This Row],[فروش]]*Summary[[#This Row],[قیمت تمام شده]]</f>
        <v>960000</v>
      </c>
      <c r="I208" s="141">
        <f>Summary[[#This Row],[خرید]]-Summary[[#This Row],[فروش]]</f>
        <v>3</v>
      </c>
      <c r="J208" s="303">
        <f>Summary[[#This Row],[موجودی]]*Summary[[#This Row],[قیمت تمام شده]]</f>
        <v>1440000</v>
      </c>
      <c r="K208" s="152" t="str">
        <f>IF(B208="", "", _xlfn.XLOOKUP(B208, T[کالا], T[نحوه تسویه], ""))</f>
        <v>حساب 5802</v>
      </c>
      <c r="L208" s="152" t="str">
        <f>IF(B208="", "", _xlfn.XLOOKUP(B208, T[کالا], T[شماره فاکتور], ""))</f>
        <v>ع 402</v>
      </c>
      <c r="M208" s="152" t="str">
        <f>IF(B208="", "", _xlfn.XLOOKUP(Summary[[#This Row],[فاکتور]], T[شماره فاکتور], T[فروشنده / مشتری], "نامشخص"))</f>
        <v>عبدل آباد</v>
      </c>
      <c r="N208" s="303">
        <f>Summary[[#This Row],[ارزش فروش]] - (Summary[[#This Row],[قیمت تمام شده]]*Summary[[#This Row],[فروش]])</f>
        <v>440000</v>
      </c>
      <c r="O208" s="365">
        <f>IFERROR(Summary[[#This Row],[سود]]/Summary[[#This Row],[ارزش کالای فروخته شده]], "")</f>
        <v>0.45833333333333331</v>
      </c>
    </row>
    <row r="209" spans="2:15" x14ac:dyDescent="0.8">
      <c r="B209" s="191" t="str">
        <v>شلوار کمر گیپور</v>
      </c>
      <c r="C209" s="303">
        <f>SUMIFS(T[تعداد], T[کالا], B209, T[نوع عملیات], "خرید")</f>
        <v>10</v>
      </c>
      <c r="D209" s="303">
        <f t="shared" si="9"/>
        <v>1580000</v>
      </c>
      <c r="E209" s="303">
        <f>SUMIFS(T[قیمت کل], T[کالا], B209, T[نوع عملیات], "خرید")</f>
        <v>15800000</v>
      </c>
      <c r="F209" s="303">
        <f>SUMIFS(T[تعداد], T[کالا], B209, T[نوع عملیات], "فروش") + SUMIFS(T[تعداد], T[کالا], B209, T[نوع عملیات], "استفاده خودم")</f>
        <v>17</v>
      </c>
      <c r="G209" s="303">
        <f>SUMIFS(T[قیمت کل], T[کالا], B209, T[نوع عملیات], "فروش")</f>
        <v>32100000</v>
      </c>
      <c r="H209" s="303">
        <f>Summary[[#This Row],[فروش]]*Summary[[#This Row],[قیمت تمام شده]]</f>
        <v>26860000</v>
      </c>
      <c r="I209" s="141">
        <f>Summary[[#This Row],[خرید]]-Summary[[#This Row],[فروش]]</f>
        <v>-7</v>
      </c>
      <c r="J209" s="303">
        <f>Summary[[#This Row],[موجودی]]*Summary[[#This Row],[قیمت تمام شده]]</f>
        <v>-11060000</v>
      </c>
      <c r="K209" s="152" t="str">
        <f>IF(B209="", "", _xlfn.XLOOKUP(B209, T[کالا], T[نحوه تسویه], ""))</f>
        <v>حساب 5802</v>
      </c>
      <c r="L209" s="152" t="str">
        <f>IF(B209="", "", _xlfn.XLOOKUP(B209, T[کالا], T[شماره فاکتور], ""))</f>
        <v>ع 402</v>
      </c>
      <c r="M209" s="152" t="str">
        <f>IF(B209="", "", _xlfn.XLOOKUP(Summary[[#This Row],[فاکتور]], T[شماره فاکتور], T[فروشنده / مشتری], "نامشخص"))</f>
        <v>عبدل آباد</v>
      </c>
      <c r="N209" s="303">
        <f>Summary[[#This Row],[ارزش فروش]] - (Summary[[#This Row],[قیمت تمام شده]]*Summary[[#This Row],[فروش]])</f>
        <v>5240000</v>
      </c>
      <c r="O209" s="365">
        <f>IFERROR(Summary[[#This Row],[سود]]/Summary[[#This Row],[ارزش کالای فروخته شده]], "")</f>
        <v>0.19508562918838421</v>
      </c>
    </row>
    <row r="210" spans="2:15" x14ac:dyDescent="0.8">
      <c r="B210" s="152" t="str">
        <v>شلوار اوشو بگ</v>
      </c>
      <c r="C210" s="303">
        <f>SUMIFS(T[تعداد], T[کالا], B210, T[نوع عملیات], "خرید")</f>
        <v>40</v>
      </c>
      <c r="D210" s="303">
        <f t="shared" si="9"/>
        <v>1548750</v>
      </c>
      <c r="E210" s="303">
        <f>SUMIFS(T[قیمت کل], T[کالا], B210, T[نوع عملیات], "خرید")</f>
        <v>61950000</v>
      </c>
      <c r="F210" s="141">
        <f>SUMIFS(T[تعداد], T[کالا], B210, T[نوع عملیات], "فروش") + SUMIFS(T[تعداد], T[کالا], B210, T[نوع عملیات], "استفاده خودم")</f>
        <v>36</v>
      </c>
      <c r="G210" s="141">
        <f>SUMIFS(T[قیمت کل], T[کالا], B210, T[نوع عملیات], "فروش")</f>
        <v>80850000</v>
      </c>
      <c r="H210" s="141">
        <f>Summary[[#This Row],[فروش]]*Summary[[#This Row],[قیمت تمام شده]]</f>
        <v>55755000</v>
      </c>
      <c r="I210" s="141">
        <f>Summary[[#This Row],[خرید]]-Summary[[#This Row],[فروش]]</f>
        <v>4</v>
      </c>
      <c r="J210" s="303">
        <f>Summary[[#This Row],[موجودی]]*Summary[[#This Row],[قیمت تمام شده]]</f>
        <v>6195000</v>
      </c>
      <c r="K210" s="152" t="str">
        <f>IF(B210="", "", _xlfn.XLOOKUP(B210, T[کالا], T[نحوه تسویه], ""))</f>
        <v>حساب 5802</v>
      </c>
      <c r="L210" s="152" t="str">
        <f>IF(B210="", "", _xlfn.XLOOKUP(B210, T[کالا], T[شماره فاکتور], ""))</f>
        <v>ع 402</v>
      </c>
      <c r="M210" s="152" t="str">
        <f>IF(B210="", "", _xlfn.XLOOKUP(Summary[[#This Row],[فاکتور]], T[شماره فاکتور], T[فروشنده / مشتری], "نامشخص"))</f>
        <v>عبدل آباد</v>
      </c>
      <c r="N210" s="303">
        <f>Summary[[#This Row],[ارزش فروش]] - (Summary[[#This Row],[قیمت تمام شده]]*Summary[[#This Row],[فروش]])</f>
        <v>25095000</v>
      </c>
      <c r="O210" s="365">
        <f>IFERROR(Summary[[#This Row],[سود]]/Summary[[#This Row],[ارزش کالای فروخته شده]], "")</f>
        <v>0.45009416195856872</v>
      </c>
    </row>
    <row r="211" spans="2:15" x14ac:dyDescent="0.8">
      <c r="B211" s="191" t="str">
        <v>دامن طبقه ای ترک عبدو</v>
      </c>
      <c r="C211" s="303">
        <f>SUMIFS(T[تعداد], T[کالا], B211, T[نوع عملیات], "خرید")</f>
        <v>4</v>
      </c>
      <c r="D211" s="303">
        <f t="shared" ref="D211:D219" si="10">IFERROR(E211/C211, 0)</f>
        <v>1375000</v>
      </c>
      <c r="E211" s="303">
        <f>SUMIFS(T[قیمت کل], T[کالا], B211, T[نوع عملیات], "خرید")</f>
        <v>5500000</v>
      </c>
      <c r="F211" s="303">
        <f>SUMIFS(T[تعداد], T[کالا], B211, T[نوع عملیات], "فروش") + SUMIFS(T[تعداد], T[کالا], B211, T[نوع عملیات], "استفاده خودم")</f>
        <v>3</v>
      </c>
      <c r="G211" s="303">
        <f>SUMIFS(T[قیمت کل], T[کالا], B211, T[نوع عملیات], "فروش")</f>
        <v>6000000</v>
      </c>
      <c r="H211" s="303">
        <f>Summary[[#This Row],[فروش]]*Summary[[#This Row],[قیمت تمام شده]]</f>
        <v>4125000</v>
      </c>
      <c r="I211" s="141">
        <f>Summary[[#This Row],[خرید]]-Summary[[#This Row],[فروش]]</f>
        <v>1</v>
      </c>
      <c r="J211" s="141">
        <f>Summary[[#This Row],[موجودی]]*Summary[[#This Row],[قیمت تمام شده]]</f>
        <v>1375000</v>
      </c>
      <c r="K211" s="152" t="str">
        <f>IF(B211="", "", _xlfn.XLOOKUP(B211, T[کالا], T[نحوه تسویه], ""))</f>
        <v>حساب 5802</v>
      </c>
      <c r="L211" s="152" t="str">
        <f>IF(B211="", "", _xlfn.XLOOKUP(B211, T[کالا], T[شماره فاکتور], ""))</f>
        <v>ع 402</v>
      </c>
      <c r="M211" s="152" t="str">
        <f>IF(B211="", "", _xlfn.XLOOKUP(Summary[[#This Row],[فاکتور]], T[شماره فاکتور], T[فروشنده / مشتری], "نامشخص"))</f>
        <v>عبدل آباد</v>
      </c>
      <c r="N211" s="303">
        <f>Summary[[#This Row],[ارزش فروش]] - (Summary[[#This Row],[قیمت تمام شده]]*Summary[[#This Row],[فروش]])</f>
        <v>1875000</v>
      </c>
      <c r="O211" s="365">
        <f>IFERROR(Summary[[#This Row],[سود]]/Summary[[#This Row],[ارزش کالای فروخته شده]], "")</f>
        <v>0.45454545454545453</v>
      </c>
    </row>
    <row r="212" spans="2:15" x14ac:dyDescent="0.8">
      <c r="B212" s="152" t="str">
        <v>پیراهن رنگی عبدو</v>
      </c>
      <c r="C212" s="303">
        <f>SUMIFS(T[تعداد], T[کالا], B212, T[نوع عملیات], "خرید")</f>
        <v>6</v>
      </c>
      <c r="D212" s="303">
        <f t="shared" si="10"/>
        <v>680000</v>
      </c>
      <c r="E212" s="303">
        <f>SUMIFS(T[قیمت کل], T[کالا], B212, T[نوع عملیات], "خرید")</f>
        <v>4080000</v>
      </c>
      <c r="F212" s="141">
        <f>SUMIFS(T[تعداد], T[کالا], B212, T[نوع عملیات], "فروش") + SUMIFS(T[تعداد], T[کالا], B212, T[نوع عملیات], "استفاده خودم")</f>
        <v>0</v>
      </c>
      <c r="G212" s="141">
        <f>SUMIFS(T[قیمت کل], T[کالا], B212, T[نوع عملیات], "فروش")</f>
        <v>0</v>
      </c>
      <c r="H212" s="141">
        <f>Summary[[#This Row],[فروش]]*Summary[[#This Row],[قیمت تمام شده]]</f>
        <v>0</v>
      </c>
      <c r="I212" s="141">
        <f>Summary[[#This Row],[خرید]]-Summary[[#This Row],[فروش]]</f>
        <v>6</v>
      </c>
      <c r="J212" s="141">
        <f>Summary[[#This Row],[موجودی]]*Summary[[#This Row],[قیمت تمام شده]]</f>
        <v>4080000</v>
      </c>
      <c r="K212" s="152" t="str">
        <f>IF(B212="", "", _xlfn.XLOOKUP(B212, T[کالا], T[نحوه تسویه], ""))</f>
        <v>حساب هستی</v>
      </c>
      <c r="L212" s="152" t="str">
        <f>IF(B212="", "", _xlfn.XLOOKUP(B212, T[کالا], T[شماره فاکتور], ""))</f>
        <v>ع 402</v>
      </c>
      <c r="M212" s="152" t="str">
        <f>IF(B212="", "", _xlfn.XLOOKUP(Summary[[#This Row],[فاکتور]], T[شماره فاکتور], T[فروشنده / مشتری], "نامشخص"))</f>
        <v>عبدل آباد</v>
      </c>
      <c r="N212" s="303">
        <f>Summary[[#This Row],[ارزش فروش]] - (Summary[[#This Row],[قیمت تمام شده]]*Summary[[#This Row],[فروش]])</f>
        <v>0</v>
      </c>
      <c r="O212" s="365" t="str">
        <f>IFERROR(Summary[[#This Row],[سود]]/Summary[[#This Row],[ارزش کالای فروخته شده]], "")</f>
        <v/>
      </c>
    </row>
    <row r="213" spans="2:15" x14ac:dyDescent="0.8">
      <c r="B213" s="191" t="str">
        <v>دامن شلوار عبدو</v>
      </c>
      <c r="C213" s="303">
        <f>SUMIFS(T[تعداد], T[کالا], B213, T[نوع عملیات], "خرید")</f>
        <v>4</v>
      </c>
      <c r="D213" s="303">
        <f t="shared" si="10"/>
        <v>1080000</v>
      </c>
      <c r="E213" s="303">
        <f>SUMIFS(T[قیمت کل], T[کالا], B213, T[نوع عملیات], "خرید")</f>
        <v>4320000</v>
      </c>
      <c r="F213" s="141">
        <f>SUMIFS(T[تعداد], T[کالا], B213, T[نوع عملیات], "فروش") + SUMIFS(T[تعداد], T[کالا], B213, T[نوع عملیات], "استفاده خودم")</f>
        <v>4</v>
      </c>
      <c r="G213" s="141">
        <f>SUMIFS(T[قیمت کل], T[کالا], B213, T[نوع عملیات], "فروش")</f>
        <v>5700000</v>
      </c>
      <c r="H213" s="141">
        <f>Summary[[#This Row],[فروش]]*Summary[[#This Row],[قیمت تمام شده]]</f>
        <v>4320000</v>
      </c>
      <c r="I213" s="141">
        <f>Summary[[#This Row],[خرید]]-Summary[[#This Row],[فروش]]</f>
        <v>0</v>
      </c>
      <c r="J213" s="141">
        <f>Summary[[#This Row],[موجودی]]*Summary[[#This Row],[قیمت تمام شده]]</f>
        <v>0</v>
      </c>
      <c r="K213" s="152" t="str">
        <f>IF(B213="", "", _xlfn.XLOOKUP(B213, T[کالا], T[نحوه تسویه], ""))</f>
        <v>حساب هستی</v>
      </c>
      <c r="L213" s="152" t="str">
        <f>IF(B213="", "", _xlfn.XLOOKUP(B213, T[کالا], T[شماره فاکتور], ""))</f>
        <v>ع 402</v>
      </c>
      <c r="M213" s="152" t="str">
        <f>IF(B213="", "", _xlfn.XLOOKUP(Summary[[#This Row],[فاکتور]], T[شماره فاکتور], T[فروشنده / مشتری], "نامشخص"))</f>
        <v>عبدل آباد</v>
      </c>
      <c r="N213" s="303">
        <f>Summary[[#This Row],[ارزش فروش]] - (Summary[[#This Row],[قیمت تمام شده]]*Summary[[#This Row],[فروش]])</f>
        <v>1380000</v>
      </c>
      <c r="O213" s="365">
        <f>IFERROR(Summary[[#This Row],[سود]]/Summary[[#This Row],[ارزش کالای فروخته شده]], "")</f>
        <v>0.31944444444444442</v>
      </c>
    </row>
    <row r="214" spans="2:15" x14ac:dyDescent="0.8">
      <c r="B214" s="152" t="str">
        <v>دامن خط دار عبدو</v>
      </c>
      <c r="C214" s="303">
        <f>SUMIFS(T[تعداد], T[کالا], B214, T[نوع عملیات], "خرید")</f>
        <v>2</v>
      </c>
      <c r="D214" s="303">
        <f t="shared" si="10"/>
        <v>671000</v>
      </c>
      <c r="E214" s="303">
        <f>SUMIFS(T[قیمت کل], T[کالا], B214, T[نوع عملیات], "خرید")</f>
        <v>1342000</v>
      </c>
      <c r="F214" s="141">
        <f>SUMIFS(T[تعداد], T[کالا], B214, T[نوع عملیات], "فروش") + SUMIFS(T[تعداد], T[کالا], B214, T[نوع عملیات], "استفاده خودم")</f>
        <v>1</v>
      </c>
      <c r="G214" s="141">
        <f>SUMIFS(T[قیمت کل], T[کالا], B214, T[نوع عملیات], "فروش")</f>
        <v>850000</v>
      </c>
      <c r="H214" s="141">
        <f>Summary[[#This Row],[فروش]]*Summary[[#This Row],[قیمت تمام شده]]</f>
        <v>671000</v>
      </c>
      <c r="I214" s="141">
        <f>Summary[[#This Row],[خرید]]-Summary[[#This Row],[فروش]]</f>
        <v>1</v>
      </c>
      <c r="J214" s="303">
        <f>Summary[[#This Row],[موجودی]]*Summary[[#This Row],[قیمت تمام شده]]</f>
        <v>671000</v>
      </c>
      <c r="K214" s="152" t="str">
        <f>IF(B214="", "", _xlfn.XLOOKUP(B214, T[کالا], T[نحوه تسویه], ""))</f>
        <v>حساب هستی</v>
      </c>
      <c r="L214" s="152" t="str">
        <f>IF(B214="", "", _xlfn.XLOOKUP(B214, T[کالا], T[شماره فاکتور], ""))</f>
        <v>ع 402</v>
      </c>
      <c r="M214" s="152" t="str">
        <f>IF(B214="", "", _xlfn.XLOOKUP(Summary[[#This Row],[فاکتور]], T[شماره فاکتور], T[فروشنده / مشتری], "نامشخص"))</f>
        <v>عبدل آباد</v>
      </c>
      <c r="N214" s="303">
        <f>Summary[[#This Row],[ارزش فروش]] - (Summary[[#This Row],[قیمت تمام شده]]*Summary[[#This Row],[فروش]])</f>
        <v>179000</v>
      </c>
      <c r="O214" s="365">
        <f>IFERROR(Summary[[#This Row],[سود]]/Summary[[#This Row],[ارزش کالای فروخته شده]], "")</f>
        <v>0.2667660208643815</v>
      </c>
    </row>
    <row r="215" spans="2:15" x14ac:dyDescent="0.8">
      <c r="B215" s="191" t="str">
        <v>شومیز Perry</v>
      </c>
      <c r="C215" s="303">
        <f>SUMIFS(T[تعداد], T[کالا], B215, T[نوع عملیات], "خرید")</f>
        <v>23</v>
      </c>
      <c r="D215" s="303">
        <f t="shared" si="10"/>
        <v>986521.73913043481</v>
      </c>
      <c r="E215" s="303">
        <f>SUMIFS(T[قیمت کل], T[کالا], B215, T[نوع عملیات], "خرید")</f>
        <v>22690000</v>
      </c>
      <c r="F215" s="141">
        <f>SUMIFS(T[تعداد], T[کالا], B215, T[نوع عملیات], "فروش") + SUMIFS(T[تعداد], T[کالا], B215, T[نوع عملیات], "استفاده خودم")</f>
        <v>44</v>
      </c>
      <c r="G215" s="141">
        <f>SUMIFS(T[قیمت کل], T[کالا], B215, T[نوع عملیات], "فروش")</f>
        <v>58100000</v>
      </c>
      <c r="H215" s="141">
        <f>Summary[[#This Row],[فروش]]*Summary[[#This Row],[قیمت تمام شده]]</f>
        <v>43406956.521739133</v>
      </c>
      <c r="I215" s="141">
        <f>Summary[[#This Row],[خرید]]-Summary[[#This Row],[فروش]]</f>
        <v>-21</v>
      </c>
      <c r="J215" s="303">
        <f>Summary[[#This Row],[موجودی]]*Summary[[#This Row],[قیمت تمام شده]]</f>
        <v>-20716956.521739133</v>
      </c>
      <c r="K215" s="152">
        <f>IF(B215="", "", _xlfn.XLOOKUP(B215, T[کالا], T[نحوه تسویه], ""))</f>
        <v>0</v>
      </c>
      <c r="L215" s="152">
        <f>IF(B215="", "", _xlfn.XLOOKUP(B215, T[کالا], T[شماره فاکتور], ""))</f>
        <v>0</v>
      </c>
      <c r="M215" s="152" t="str">
        <f>IF(B215="", "", _xlfn.XLOOKUP(Summary[[#This Row],[فاکتور]], T[شماره فاکتور], T[فروشنده / مشتری], "نامشخص"))</f>
        <v>نامشخص</v>
      </c>
      <c r="N215" s="303">
        <f>Summary[[#This Row],[ارزش فروش]] - (Summary[[#This Row],[قیمت تمام شده]]*Summary[[#This Row],[فروش]])</f>
        <v>14693043.478260867</v>
      </c>
      <c r="O215" s="365">
        <f>IFERROR(Summary[[#This Row],[سود]]/Summary[[#This Row],[ارزش کالای فروخته شده]], "")</f>
        <v>0.33849513201650699</v>
      </c>
    </row>
    <row r="216" spans="2:15" x14ac:dyDescent="0.8">
      <c r="B216" s="152" t="str">
        <v>ست بلوز و شلوار مهناز</v>
      </c>
      <c r="C216" s="303">
        <f>SUMIFS(T[تعداد], T[کالا], B216, T[نوع عملیات], "خرید")</f>
        <v>16</v>
      </c>
      <c r="D216" s="303">
        <f t="shared" si="10"/>
        <v>680000</v>
      </c>
      <c r="E216" s="303">
        <f>SUMIFS(T[قیمت کل], T[کالا], B216, T[نوع عملیات], "خرید")</f>
        <v>10880000</v>
      </c>
      <c r="F216" s="303">
        <f>SUMIFS(T[تعداد], T[کالا], B216, T[نوع عملیات], "فروش") + SUMIFS(T[تعداد], T[کالا], B216, T[نوع عملیات], "استفاده خودم")</f>
        <v>3</v>
      </c>
      <c r="G216" s="303">
        <f>SUMIFS(T[قیمت کل], T[کالا], B216, T[نوع عملیات], "فروش")</f>
        <v>3200000</v>
      </c>
      <c r="H216" s="303">
        <f>Summary[[#This Row],[فروش]]*Summary[[#This Row],[قیمت تمام شده]]</f>
        <v>2040000</v>
      </c>
      <c r="I216" s="141">
        <f>Summary[[#This Row],[خرید]]-Summary[[#This Row],[فروش]]</f>
        <v>13</v>
      </c>
      <c r="J216" s="303">
        <f>Summary[[#This Row],[موجودی]]*Summary[[#This Row],[قیمت تمام شده]]</f>
        <v>8840000</v>
      </c>
      <c r="K216" s="152">
        <f>IF(B216="", "", _xlfn.XLOOKUP(B216, T[کالا], T[نحوه تسویه], ""))</f>
        <v>0</v>
      </c>
      <c r="L216" s="152" t="str">
        <f>IF(B216="", "", _xlfn.XLOOKUP(B216, T[کالا], T[شماره فاکتور], ""))</f>
        <v>م 402</v>
      </c>
      <c r="M216" s="152" t="str">
        <f>IF(B216="", "", _xlfn.XLOOKUP(Summary[[#This Row],[فاکتور]], T[شماره فاکتور], T[فروشنده / مشتری], "نامشخص"))</f>
        <v>مهناز - تولیدی</v>
      </c>
      <c r="N216" s="303">
        <f>Summary[[#This Row],[ارزش فروش]] - (Summary[[#This Row],[قیمت تمام شده]]*Summary[[#This Row],[فروش]])</f>
        <v>1160000</v>
      </c>
      <c r="O216" s="365">
        <f>IFERROR(Summary[[#This Row],[سود]]/Summary[[#This Row],[ارزش کالای فروخته شده]], "")</f>
        <v>0.56862745098039214</v>
      </c>
    </row>
    <row r="217" spans="2:15" x14ac:dyDescent="0.8">
      <c r="B217" s="191" t="str">
        <v>پیراهن مهناز</v>
      </c>
      <c r="C217" s="303">
        <f>SUMIFS(T[تعداد], T[کالا], B217, T[نوع عملیات], "خرید")</f>
        <v>14</v>
      </c>
      <c r="D217" s="303">
        <f t="shared" si="10"/>
        <v>500000</v>
      </c>
      <c r="E217" s="303">
        <f>SUMIFS(T[قیمت کل], T[کالا], B217, T[نوع عملیات], "خرید")</f>
        <v>7000000</v>
      </c>
      <c r="F217" s="141">
        <f>SUMIFS(T[تعداد], T[کالا], B217, T[نوع عملیات], "فروش") + SUMIFS(T[تعداد], T[کالا], B217, T[نوع عملیات], "استفاده خودم")</f>
        <v>2</v>
      </c>
      <c r="G217" s="141">
        <f>SUMIFS(T[قیمت کل], T[کالا], B217, T[نوع عملیات], "فروش")</f>
        <v>1600000</v>
      </c>
      <c r="H217" s="141">
        <f>Summary[[#This Row],[فروش]]*Summary[[#This Row],[قیمت تمام شده]]</f>
        <v>1000000</v>
      </c>
      <c r="I217" s="141">
        <f>Summary[[#This Row],[خرید]]-Summary[[#This Row],[فروش]]</f>
        <v>12</v>
      </c>
      <c r="J217" s="303">
        <f>Summary[[#This Row],[موجودی]]*Summary[[#This Row],[قیمت تمام شده]]</f>
        <v>6000000</v>
      </c>
      <c r="K217" s="152">
        <f>IF(B217="", "", _xlfn.XLOOKUP(B217, T[کالا], T[نحوه تسویه], ""))</f>
        <v>0</v>
      </c>
      <c r="L217" s="152" t="str">
        <f>IF(B217="", "", _xlfn.XLOOKUP(B217, T[کالا], T[شماره فاکتور], ""))</f>
        <v>م 402</v>
      </c>
      <c r="M217" s="152" t="str">
        <f>IF(B217="", "", _xlfn.XLOOKUP(Summary[[#This Row],[فاکتور]], T[شماره فاکتور], T[فروشنده / مشتری], "نامشخص"))</f>
        <v>مهناز - تولیدی</v>
      </c>
      <c r="N217" s="303">
        <f>Summary[[#This Row],[ارزش فروش]] - (Summary[[#This Row],[قیمت تمام شده]]*Summary[[#This Row],[فروش]])</f>
        <v>600000</v>
      </c>
      <c r="O217" s="365">
        <f>IFERROR(Summary[[#This Row],[سود]]/Summary[[#This Row],[ارزش کالای فروخته شده]], "")</f>
        <v>0.6</v>
      </c>
    </row>
    <row r="218" spans="2:15" x14ac:dyDescent="0.8">
      <c r="B218" s="152" t="str">
        <v>دامن مهناز</v>
      </c>
      <c r="C218" s="303">
        <f>SUMIFS(T[تعداد], T[کالا], B218, T[نوع عملیات], "خرید")</f>
        <v>4</v>
      </c>
      <c r="D218" s="303">
        <f t="shared" si="10"/>
        <v>350000</v>
      </c>
      <c r="E218" s="303">
        <f>SUMIFS(T[قیمت کل], T[کالا], B218, T[نوع عملیات], "خرید")</f>
        <v>1400000</v>
      </c>
      <c r="F218" s="141">
        <f>SUMIFS(T[تعداد], T[کالا], B218, T[نوع عملیات], "فروش") + SUMIFS(T[تعداد], T[کالا], B218, T[نوع عملیات], "استفاده خودم")</f>
        <v>1</v>
      </c>
      <c r="G218" s="141">
        <f>SUMIFS(T[قیمت کل], T[کالا], B218, T[نوع عملیات], "فروش")</f>
        <v>700000</v>
      </c>
      <c r="H218" s="141">
        <f>Summary[[#This Row],[فروش]]*Summary[[#This Row],[قیمت تمام شده]]</f>
        <v>350000</v>
      </c>
      <c r="I218" s="141">
        <f>Summary[[#This Row],[خرید]]-Summary[[#This Row],[فروش]]</f>
        <v>3</v>
      </c>
      <c r="J218" s="303">
        <f>Summary[[#This Row],[موجودی]]*Summary[[#This Row],[قیمت تمام شده]]</f>
        <v>1050000</v>
      </c>
      <c r="K218" s="152">
        <f>IF(B218="", "", _xlfn.XLOOKUP(B218, T[کالا], T[نحوه تسویه], ""))</f>
        <v>0</v>
      </c>
      <c r="L218" s="152" t="str">
        <f>IF(B218="", "", _xlfn.XLOOKUP(B218, T[کالا], T[شماره فاکتور], ""))</f>
        <v>م 402</v>
      </c>
      <c r="M218" s="152" t="str">
        <f>IF(B218="", "", _xlfn.XLOOKUP(Summary[[#This Row],[فاکتور]], T[شماره فاکتور], T[فروشنده / مشتری], "نامشخص"))</f>
        <v>مهناز - تولیدی</v>
      </c>
      <c r="N218" s="303">
        <f>Summary[[#This Row],[ارزش فروش]] - (Summary[[#This Row],[قیمت تمام شده]]*Summary[[#This Row],[فروش]])</f>
        <v>350000</v>
      </c>
      <c r="O218" s="365">
        <f>IFERROR(Summary[[#This Row],[سود]]/Summary[[#This Row],[ارزش کالای فروخته شده]], "")</f>
        <v>1</v>
      </c>
    </row>
    <row r="219" spans="2:15" x14ac:dyDescent="0.8">
      <c r="B219" s="191" t="str">
        <v>بلوز کوتاه چپ و راستی مهناز</v>
      </c>
      <c r="C219" s="303">
        <f>SUMIFS(T[تعداد], T[کالا], B219, T[نوع عملیات], "خرید")</f>
        <v>4</v>
      </c>
      <c r="D219" s="303">
        <f t="shared" si="10"/>
        <v>300000</v>
      </c>
      <c r="E219" s="303">
        <f>SUMIFS(T[قیمت کل], T[کالا], B219, T[نوع عملیات], "خرید")</f>
        <v>1200000</v>
      </c>
      <c r="F219" s="141">
        <f>SUMIFS(T[تعداد], T[کالا], B219, T[نوع عملیات], "فروش") + SUMIFS(T[تعداد], T[کالا], B219, T[نوع عملیات], "استفاده خودم")</f>
        <v>0</v>
      </c>
      <c r="G219" s="141">
        <f>SUMIFS(T[قیمت کل], T[کالا], B219, T[نوع عملیات], "فروش")</f>
        <v>0</v>
      </c>
      <c r="H219" s="141">
        <f>Summary[[#This Row],[فروش]]*Summary[[#This Row],[قیمت تمام شده]]</f>
        <v>0</v>
      </c>
      <c r="I219" s="141">
        <f>Summary[[#This Row],[خرید]]-Summary[[#This Row],[فروش]]</f>
        <v>4</v>
      </c>
      <c r="J219" s="303">
        <f>Summary[[#This Row],[موجودی]]*Summary[[#This Row],[قیمت تمام شده]]</f>
        <v>1200000</v>
      </c>
      <c r="K219" s="152">
        <f>IF(B219="", "", _xlfn.XLOOKUP(B219, T[کالا], T[نحوه تسویه], ""))</f>
        <v>0</v>
      </c>
      <c r="L219" s="152" t="str">
        <f>IF(B219="", "", _xlfn.XLOOKUP(B219, T[کالا], T[شماره فاکتور], ""))</f>
        <v>م 402</v>
      </c>
      <c r="M219" s="152" t="str">
        <f>IF(B219="", "", _xlfn.XLOOKUP(Summary[[#This Row],[فاکتور]], T[شماره فاکتور], T[فروشنده / مشتری], "نامشخص"))</f>
        <v>مهناز - تولیدی</v>
      </c>
      <c r="N219" s="303">
        <f>Summary[[#This Row],[ارزش فروش]] - (Summary[[#This Row],[قیمت تمام شده]]*Summary[[#This Row],[فروش]])</f>
        <v>0</v>
      </c>
      <c r="O219" s="365" t="str">
        <f>IFERROR(Summary[[#This Row],[سود]]/Summary[[#This Row],[ارزش کالای فروخته شده]], "")</f>
        <v/>
      </c>
    </row>
    <row r="220" spans="2:15" x14ac:dyDescent="0.8">
      <c r="B220" s="152" t="str">
        <v>کت لینن مهناز</v>
      </c>
      <c r="C220" s="141">
        <f>SUMIFS(T[تعداد], T[کالا], B220, T[نوع عملیات], "خرید")</f>
        <v>5</v>
      </c>
      <c r="D220" s="141">
        <f>IFERROR(E220/C220, 0)</f>
        <v>500000</v>
      </c>
      <c r="E220" s="141">
        <f>SUMIFS(T[قیمت کل], T[کالا], B220, T[نوع عملیات], "خرید")</f>
        <v>2500000</v>
      </c>
      <c r="F220" s="141">
        <f>SUMIFS(T[تعداد], T[کالا], B220, T[نوع عملیات], "فروش") + SUMIFS(T[تعداد], T[کالا], B220, T[نوع عملیات], "استفاده خودم")</f>
        <v>0</v>
      </c>
      <c r="G220" s="141">
        <f>SUMIFS(T[قیمت کل], T[کالا], B220, T[نوع عملیات], "فروش")</f>
        <v>0</v>
      </c>
      <c r="H220" s="141">
        <f>Summary[[#This Row],[فروش]]*Summary[[#This Row],[قیمت تمام شده]]</f>
        <v>0</v>
      </c>
      <c r="I220" s="141">
        <f>Summary[[#This Row],[خرید]]-Summary[[#This Row],[فروش]]</f>
        <v>5</v>
      </c>
      <c r="J220" s="141">
        <f>Summary[[#This Row],[موجودی]]*Summary[[#This Row],[قیمت تمام شده]]</f>
        <v>2500000</v>
      </c>
      <c r="K220" s="152">
        <f>IF(B220="", "", _xlfn.XLOOKUP(B220, T[کالا], T[نحوه تسویه], ""))</f>
        <v>0</v>
      </c>
      <c r="L220" s="152" t="str">
        <f>IF(B220="", "", _xlfn.XLOOKUP(B220, T[کالا], T[شماره فاکتور], ""))</f>
        <v>م 402</v>
      </c>
      <c r="M220" s="152" t="str">
        <f>IF(B220="", "", _xlfn.XLOOKUP(Summary[[#This Row],[فاکتور]], T[شماره فاکتور], T[فروشنده / مشتری], "نامشخص"))</f>
        <v>مهناز - تولیدی</v>
      </c>
      <c r="N220" s="141">
        <f>Summary[[#This Row],[ارزش فروش]] - (Summary[[#This Row],[قیمت تمام شده]]*Summary[[#This Row],[فروش]])</f>
        <v>0</v>
      </c>
      <c r="O220" s="365" t="str">
        <f>IFERROR(Summary[[#This Row],[سود]]/Summary[[#This Row],[ارزش کالای فروخته شده]], "")</f>
        <v/>
      </c>
    </row>
    <row r="221" spans="2:15" x14ac:dyDescent="0.8">
      <c r="B221" s="191" t="str">
        <v>کراپ تاپ خودم</v>
      </c>
      <c r="C221" s="141">
        <f>SUMIFS(T[تعداد], T[کالا], B221, T[نوع عملیات], "خرید")</f>
        <v>1</v>
      </c>
      <c r="D221" s="141">
        <f t="shared" ref="D221:D223" si="11">IFERROR(E221/C221, 0)</f>
        <v>0</v>
      </c>
      <c r="E221" s="141">
        <f>SUMIFS(T[قیمت کل], T[کالا], B221, T[نوع عملیات], "خرید")</f>
        <v>0</v>
      </c>
      <c r="F221" s="141">
        <f>SUMIFS(T[تعداد], T[کالا], B221, T[نوع عملیات], "فروش") + SUMIFS(T[تعداد], T[کالا], B221, T[نوع عملیات], "استفاده خودم")</f>
        <v>1</v>
      </c>
      <c r="G221" s="141">
        <f>SUMIFS(T[قیمت کل], T[کالا], B221, T[نوع عملیات], "فروش")</f>
        <v>250000</v>
      </c>
      <c r="H221" s="141">
        <f>Summary[[#This Row],[فروش]]*Summary[[#This Row],[قیمت تمام شده]]</f>
        <v>0</v>
      </c>
      <c r="I221" s="141">
        <f>Summary[[#This Row],[خرید]]-Summary[[#This Row],[فروش]]</f>
        <v>0</v>
      </c>
      <c r="J221" s="141">
        <f>Summary[[#This Row],[موجودی]]*Summary[[#This Row],[قیمت تمام شده]]</f>
        <v>0</v>
      </c>
      <c r="K221" s="152">
        <f>IF(B221="", "", _xlfn.XLOOKUP(B221, T[کالا], T[نحوه تسویه], ""))</f>
        <v>0</v>
      </c>
      <c r="L221" s="152" t="str">
        <f>IF(B221="", "", _xlfn.XLOOKUP(B221, T[کالا], T[شماره فاکتور], ""))</f>
        <v>خودم</v>
      </c>
      <c r="M221" s="152" t="str">
        <f>IF(B221="", "", _xlfn.XLOOKUP(Summary[[#This Row],[فاکتور]], T[شماره فاکتور], T[فروشنده / مشتری], "نامشخص"))</f>
        <v>خودم</v>
      </c>
      <c r="N221" s="141">
        <f>Summary[[#This Row],[ارزش فروش]] - (Summary[[#This Row],[قیمت تمام شده]]*Summary[[#This Row],[فروش]])</f>
        <v>250000</v>
      </c>
      <c r="O221" s="365" t="str">
        <f>IFERROR(Summary[[#This Row],[سود]]/Summary[[#This Row],[ارزش کالای فروخته شده]], "")</f>
        <v/>
      </c>
    </row>
    <row r="222" spans="2:15" x14ac:dyDescent="0.8">
      <c r="B222" s="152" t="str">
        <v>شلوار بگ</v>
      </c>
      <c r="C222" s="141">
        <f>SUMIFS(T[تعداد], T[کالا], B222, T[نوع عملیات], "خرید")</f>
        <v>4</v>
      </c>
      <c r="D222" s="141">
        <f t="shared" si="11"/>
        <v>1250000</v>
      </c>
      <c r="E222" s="141">
        <f>SUMIFS(T[قیمت کل], T[کالا], B222, T[نوع عملیات], "خرید")</f>
        <v>5000000</v>
      </c>
      <c r="F222" s="141">
        <f>SUMIFS(T[تعداد], T[کالا], B222, T[نوع عملیات], "فروش") + SUMIFS(T[تعداد], T[کالا], B222, T[نوع عملیات], "استفاده خودم")</f>
        <v>0</v>
      </c>
      <c r="G222" s="141">
        <f>SUMIFS(T[قیمت کل], T[کالا], B222, T[نوع عملیات], "فروش")</f>
        <v>0</v>
      </c>
      <c r="H222" s="141">
        <f>Summary[[#This Row],[فروش]]*Summary[[#This Row],[قیمت تمام شده]]</f>
        <v>0</v>
      </c>
      <c r="I222" s="141">
        <f>Summary[[#This Row],[خرید]]-Summary[[#This Row],[فروش]]</f>
        <v>4</v>
      </c>
      <c r="J222" s="141">
        <f>Summary[[#This Row],[موجودی]]*Summary[[#This Row],[قیمت تمام شده]]</f>
        <v>5000000</v>
      </c>
      <c r="K222" s="152" t="str">
        <f>IF(B222="", "", _xlfn.XLOOKUP(B222, T[کالا], T[نحوه تسویه], ""))</f>
        <v>حساب 5802</v>
      </c>
      <c r="L222" s="152" t="str">
        <f>IF(B222="", "", _xlfn.XLOOKUP(B222, T[کالا], T[شماره فاکتور], ""))</f>
        <v>ع 403</v>
      </c>
      <c r="M222" s="152" t="str">
        <f>IF(B222="", "", _xlfn.XLOOKUP(Summary[[#This Row],[فاکتور]], T[شماره فاکتور], T[فروشنده / مشتری], "نامشخص"))</f>
        <v>عبدل آباد</v>
      </c>
      <c r="N222" s="141">
        <f>Summary[[#This Row],[ارزش فروش]] - (Summary[[#This Row],[قیمت تمام شده]]*Summary[[#This Row],[فروش]])</f>
        <v>0</v>
      </c>
      <c r="O222" s="365" t="str">
        <f>IFERROR(Summary[[#This Row],[سود]]/Summary[[#This Row],[ارزش کالای فروخته شده]], "")</f>
        <v/>
      </c>
    </row>
    <row r="223" spans="2:15" x14ac:dyDescent="0.8">
      <c r="B223" s="191" t="str">
        <v>شومیز عبدو</v>
      </c>
      <c r="C223" s="141">
        <f>SUMIFS(T[تعداد], T[کالا], B223, T[نوع عملیات], "خرید")</f>
        <v>10</v>
      </c>
      <c r="D223" s="141">
        <f t="shared" si="11"/>
        <v>960000</v>
      </c>
      <c r="E223" s="141">
        <f>SUMIFS(T[قیمت کل], T[کالا], B223, T[نوع عملیات], "خرید")</f>
        <v>9600000</v>
      </c>
      <c r="F223" s="141">
        <f>SUMIFS(T[تعداد], T[کالا], B223, T[نوع عملیات], "فروش") + SUMIFS(T[تعداد], T[کالا], B223, T[نوع عملیات], "استفاده خودم")</f>
        <v>0</v>
      </c>
      <c r="G223" s="141">
        <f>SUMIFS(T[قیمت کل], T[کالا], B223, T[نوع عملیات], "فروش")</f>
        <v>0</v>
      </c>
      <c r="H223" s="141">
        <f>Summary[[#This Row],[فروش]]*Summary[[#This Row],[قیمت تمام شده]]</f>
        <v>0</v>
      </c>
      <c r="I223" s="141">
        <f>Summary[[#This Row],[خرید]]-Summary[[#This Row],[فروش]]</f>
        <v>10</v>
      </c>
      <c r="J223" s="141">
        <f>Summary[[#This Row],[موجودی]]*Summary[[#This Row],[قیمت تمام شده]]</f>
        <v>9600000</v>
      </c>
      <c r="K223" s="152" t="str">
        <f>IF(B223="", "", _xlfn.XLOOKUP(B223, T[کالا], T[نحوه تسویه], ""))</f>
        <v>حساب 5802</v>
      </c>
      <c r="L223" s="152" t="str">
        <f>IF(B223="", "", _xlfn.XLOOKUP(B223, T[کالا], T[شماره فاکتور], ""))</f>
        <v>ع 403</v>
      </c>
      <c r="M223" s="152" t="str">
        <f>IF(B223="", "", _xlfn.XLOOKUP(Summary[[#This Row],[فاکتور]], T[شماره فاکتور], T[فروشنده / مشتری], "نامشخص"))</f>
        <v>عبدل آباد</v>
      </c>
      <c r="N223" s="141">
        <f>Summary[[#This Row],[ارزش فروش]] - (Summary[[#This Row],[قیمت تمام شده]]*Summary[[#This Row],[فروش]])</f>
        <v>0</v>
      </c>
      <c r="O223" s="365" t="str">
        <f>IFERROR(Summary[[#This Row],[سود]]/Summary[[#This Row],[ارزش کالای فروخته شده]], "")</f>
        <v/>
      </c>
    </row>
    <row r="224" spans="2:15" x14ac:dyDescent="0.8">
      <c r="B224" s="152" t="str">
        <v>دکلته بندی</v>
      </c>
      <c r="C224" s="141">
        <f>SUMIFS(T[تعداد], T[کالا], B224, T[نوع عملیات], "خرید")</f>
        <v>8</v>
      </c>
      <c r="D224" s="141">
        <f t="shared" ref="D224:D241" si="12">IFERROR(E224/C224, 0)</f>
        <v>138000</v>
      </c>
      <c r="E224" s="141">
        <f>SUMIFS(T[قیمت کل], T[کالا], B224, T[نوع عملیات], "خرید")</f>
        <v>1104000</v>
      </c>
      <c r="F224" s="141">
        <f>SUMIFS(T[تعداد], T[کالا], B224, T[نوع عملیات], "فروش") + SUMIFS(T[تعداد], T[کالا], B224, T[نوع عملیات], "استفاده خودم")</f>
        <v>0</v>
      </c>
      <c r="G224" s="141">
        <f>SUMIFS(T[قیمت کل], T[کالا], B224, T[نوع عملیات], "فروش")</f>
        <v>0</v>
      </c>
      <c r="H224" s="141">
        <f>Summary[[#This Row],[فروش]]*Summary[[#This Row],[قیمت تمام شده]]</f>
        <v>0</v>
      </c>
      <c r="I224" s="141">
        <f>Summary[[#This Row],[خرید]]-Summary[[#This Row],[فروش]]</f>
        <v>8</v>
      </c>
      <c r="J224" s="141">
        <f>Summary[[#This Row],[موجودی]]*Summary[[#This Row],[قیمت تمام شده]]</f>
        <v>1104000</v>
      </c>
      <c r="K224" s="152" t="str">
        <f>IF(B224="", "", _xlfn.XLOOKUP(B224, T[کالا], T[نحوه تسویه], ""))</f>
        <v>حساب 5802</v>
      </c>
      <c r="L224" s="152" t="str">
        <f>IF(B224="", "", _xlfn.XLOOKUP(B224, T[کالا], T[شماره فاکتور], ""))</f>
        <v>ع 403</v>
      </c>
      <c r="M224" s="152" t="str">
        <f>IF(B224="", "", _xlfn.XLOOKUP(Summary[[#This Row],[فاکتور]], T[شماره فاکتور], T[فروشنده / مشتری], "نامشخص"))</f>
        <v>عبدل آباد</v>
      </c>
      <c r="N224" s="141">
        <f>Summary[[#This Row],[ارزش فروش]] - (Summary[[#This Row],[قیمت تمام شده]]*Summary[[#This Row],[فروش]])</f>
        <v>0</v>
      </c>
      <c r="O224" s="365" t="str">
        <f>IFERROR(Summary[[#This Row],[سود]]/Summary[[#This Row],[ارزش کالای فروخته شده]], "")</f>
        <v/>
      </c>
    </row>
    <row r="225" spans="2:15" x14ac:dyDescent="0.8">
      <c r="B225" s="191" t="str">
        <v>تاپ قیطونی</v>
      </c>
      <c r="C225" s="141">
        <f>SUMIFS(T[تعداد], T[کالا], B225, T[نوع عملیات], "خرید")</f>
        <v>8</v>
      </c>
      <c r="D225" s="141">
        <f t="shared" si="12"/>
        <v>128000</v>
      </c>
      <c r="E225" s="141">
        <f>SUMIFS(T[قیمت کل], T[کالا], B225, T[نوع عملیات], "خرید")</f>
        <v>1024000</v>
      </c>
      <c r="F225" s="141">
        <f>SUMIFS(T[تعداد], T[کالا], B225, T[نوع عملیات], "فروش") + SUMIFS(T[تعداد], T[کالا], B225, T[نوع عملیات], "استفاده خودم")</f>
        <v>0</v>
      </c>
      <c r="G225" s="141">
        <f>SUMIFS(T[قیمت کل], T[کالا], B225, T[نوع عملیات], "فروش")</f>
        <v>0</v>
      </c>
      <c r="H225" s="141">
        <f>Summary[[#This Row],[فروش]]*Summary[[#This Row],[قیمت تمام شده]]</f>
        <v>0</v>
      </c>
      <c r="I225" s="141">
        <f>Summary[[#This Row],[خرید]]-Summary[[#This Row],[فروش]]</f>
        <v>8</v>
      </c>
      <c r="J225" s="141">
        <f>Summary[[#This Row],[موجودی]]*Summary[[#This Row],[قیمت تمام شده]]</f>
        <v>1024000</v>
      </c>
      <c r="K225" s="152" t="str">
        <f>IF(B225="", "", _xlfn.XLOOKUP(B225, T[کالا], T[نحوه تسویه], ""))</f>
        <v>حساب 5802</v>
      </c>
      <c r="L225" s="152" t="str">
        <f>IF(B225="", "", _xlfn.XLOOKUP(B225, T[کالا], T[شماره فاکتور], ""))</f>
        <v>ع 403</v>
      </c>
      <c r="M225" s="152" t="str">
        <f>IF(B225="", "", _xlfn.XLOOKUP(Summary[[#This Row],[فاکتور]], T[شماره فاکتور], T[فروشنده / مشتری], "نامشخص"))</f>
        <v>عبدل آباد</v>
      </c>
      <c r="N225" s="141">
        <f>Summary[[#This Row],[ارزش فروش]] - (Summary[[#This Row],[قیمت تمام شده]]*Summary[[#This Row],[فروش]])</f>
        <v>0</v>
      </c>
      <c r="O225" s="365" t="str">
        <f>IFERROR(Summary[[#This Row],[سود]]/Summary[[#This Row],[ارزش کالای فروخته شده]], "")</f>
        <v/>
      </c>
    </row>
    <row r="226" spans="2:15" x14ac:dyDescent="0.8">
      <c r="B226" s="152" t="str">
        <v>تاپ برای خودم</v>
      </c>
      <c r="C226" s="141">
        <f>SUMIFS(T[تعداد], T[کالا], B226, T[نوع عملیات], "خرید")</f>
        <v>2</v>
      </c>
      <c r="D226" s="141">
        <f t="shared" si="12"/>
        <v>224000</v>
      </c>
      <c r="E226" s="141">
        <f>SUMIFS(T[قیمت کل], T[کالا], B226, T[نوع عملیات], "خرید")</f>
        <v>448000</v>
      </c>
      <c r="F226" s="141">
        <f>SUMIFS(T[تعداد], T[کالا], B226, T[نوع عملیات], "فروش") + SUMIFS(T[تعداد], T[کالا], B226, T[نوع عملیات], "استفاده خودم")</f>
        <v>2</v>
      </c>
      <c r="G226" s="141">
        <f>SUMIFS(T[قیمت کل], T[کالا], B226, T[نوع عملیات], "فروش")</f>
        <v>0</v>
      </c>
      <c r="H226" s="141">
        <f>Summary[[#This Row],[فروش]]*Summary[[#This Row],[قیمت تمام شده]]</f>
        <v>448000</v>
      </c>
      <c r="I226" s="141">
        <f>Summary[[#This Row],[خرید]]-Summary[[#This Row],[فروش]]</f>
        <v>0</v>
      </c>
      <c r="J226" s="141">
        <f>Summary[[#This Row],[موجودی]]*Summary[[#This Row],[قیمت تمام شده]]</f>
        <v>0</v>
      </c>
      <c r="K226" s="152" t="str">
        <f>IF(B226="", "", _xlfn.XLOOKUP(B226, T[کالا], T[نحوه تسویه], ""))</f>
        <v>حساب 5802</v>
      </c>
      <c r="L226" s="152" t="str">
        <f>IF(B226="", "", _xlfn.XLOOKUP(B226, T[کالا], T[شماره فاکتور], ""))</f>
        <v>ع 403</v>
      </c>
      <c r="M226" s="152" t="str">
        <f>IF(B226="", "", _xlfn.XLOOKUP(Summary[[#This Row],[فاکتور]], T[شماره فاکتور], T[فروشنده / مشتری], "نامشخص"))</f>
        <v>عبدل آباد</v>
      </c>
      <c r="N226" s="141">
        <f>Summary[[#This Row],[ارزش فروش]] - (Summary[[#This Row],[قیمت تمام شده]]*Summary[[#This Row],[فروش]])</f>
        <v>-448000</v>
      </c>
      <c r="O226" s="365">
        <f>IFERROR(Summary[[#This Row],[سود]]/Summary[[#This Row],[ارزش کالای فروخته شده]], "")</f>
        <v>-1</v>
      </c>
    </row>
    <row r="227" spans="2:15" x14ac:dyDescent="0.8">
      <c r="B227" s="191" t="str">
        <v>کت پاستلی</v>
      </c>
      <c r="C227" s="141">
        <f>SUMIFS(T[تعداد], T[کالا], B227, T[نوع عملیات], "خرید")</f>
        <v>19</v>
      </c>
      <c r="D227" s="141">
        <f t="shared" si="12"/>
        <v>631052.63157894742</v>
      </c>
      <c r="E227" s="141">
        <f>SUMIFS(T[قیمت کل], T[کالا], B227, T[نوع عملیات], "خرید")</f>
        <v>11990000</v>
      </c>
      <c r="F227" s="141">
        <f>SUMIFS(T[تعداد], T[کالا], B227, T[نوع عملیات], "فروش") + SUMIFS(T[تعداد], T[کالا], B227, T[نوع عملیات], "استفاده خودم")</f>
        <v>12</v>
      </c>
      <c r="G227" s="141">
        <f>SUMIFS(T[قیمت کل], T[کالا], B227, T[نوع عملیات], "فروش")</f>
        <v>14450000</v>
      </c>
      <c r="H227" s="141">
        <f>Summary[[#This Row],[فروش]]*Summary[[#This Row],[قیمت تمام شده]]</f>
        <v>7572631.578947369</v>
      </c>
      <c r="I227" s="141">
        <f>Summary[[#This Row],[خرید]]-Summary[[#This Row],[فروش]]</f>
        <v>7</v>
      </c>
      <c r="J227" s="141">
        <f>Summary[[#This Row],[موجودی]]*Summary[[#This Row],[قیمت تمام شده]]</f>
        <v>4417368.4210526319</v>
      </c>
      <c r="K227" s="152" t="str">
        <f>IF(B227="", "", _xlfn.XLOOKUP(B227, T[کالا], T[نحوه تسویه], ""))</f>
        <v>کارت هنگامه</v>
      </c>
      <c r="L227" s="152" t="str">
        <f>IF(B227="", "", _xlfn.XLOOKUP(B227, T[کالا], T[شماره فاکتور], ""))</f>
        <v>پ 403</v>
      </c>
      <c r="M227" s="152" t="str">
        <f>IF(B227="", "", _xlfn.XLOOKUP(Summary[[#This Row],[فاکتور]], T[شماره فاکتور], T[فروشنده / مشتری], "نامشخص"))</f>
        <v>بازار پارسیان</v>
      </c>
      <c r="N227" s="141">
        <f>Summary[[#This Row],[ارزش فروش]] - (Summary[[#This Row],[قیمت تمام شده]]*Summary[[#This Row],[فروش]])</f>
        <v>6877368.421052631</v>
      </c>
      <c r="O227" s="365">
        <f>IFERROR(Summary[[#This Row],[سود]]/Summary[[#This Row],[ارزش کالای فروخته شده]], "")</f>
        <v>0.9081873783708645</v>
      </c>
    </row>
    <row r="228" spans="2:15" x14ac:dyDescent="0.8">
      <c r="B228" s="152" t="str">
        <v>ست پاپیونی</v>
      </c>
      <c r="C228" s="141">
        <f>SUMIFS(T[تعداد], T[کالا], B228, T[نوع عملیات], "خرید")</f>
        <v>4</v>
      </c>
      <c r="D228" s="141">
        <f t="shared" si="12"/>
        <v>997500</v>
      </c>
      <c r="E228" s="141">
        <f>SUMIFS(T[قیمت کل], T[کالا], B228, T[نوع عملیات], "خرید")</f>
        <v>3990000</v>
      </c>
      <c r="F228" s="141">
        <f>SUMIFS(T[تعداد], T[کالا], B228, T[نوع عملیات], "فروش") + SUMIFS(T[تعداد], T[کالا], B228, T[نوع عملیات], "استفاده خودم")</f>
        <v>3</v>
      </c>
      <c r="G228" s="141">
        <f>SUMIFS(T[قیمت کل], T[کالا], B228, T[نوع عملیات], "فروش")</f>
        <v>5450000</v>
      </c>
      <c r="H228" s="141">
        <f>Summary[[#This Row],[فروش]]*Summary[[#This Row],[قیمت تمام شده]]</f>
        <v>2992500</v>
      </c>
      <c r="I228" s="141">
        <f>Summary[[#This Row],[خرید]]-Summary[[#This Row],[فروش]]</f>
        <v>1</v>
      </c>
      <c r="J228" s="141">
        <f>Summary[[#This Row],[موجودی]]*Summary[[#This Row],[قیمت تمام شده]]</f>
        <v>997500</v>
      </c>
      <c r="K228" s="152" t="str">
        <f>IF(B228="", "", _xlfn.XLOOKUP(B228, T[کالا], T[نحوه تسویه], ""))</f>
        <v>کارت هنگامه</v>
      </c>
      <c r="L228" s="152" t="str">
        <f>IF(B228="", "", _xlfn.XLOOKUP(B228, T[کالا], T[شماره فاکتور], ""))</f>
        <v>پ 403</v>
      </c>
      <c r="M228" s="152" t="str">
        <f>IF(B228="", "", _xlfn.XLOOKUP(Summary[[#This Row],[فاکتور]], T[شماره فاکتور], T[فروشنده / مشتری], "نامشخص"))</f>
        <v>بازار پارسیان</v>
      </c>
      <c r="N228" s="141">
        <f>Summary[[#This Row],[ارزش فروش]] - (Summary[[#This Row],[قیمت تمام شده]]*Summary[[#This Row],[فروش]])</f>
        <v>2457500</v>
      </c>
      <c r="O228" s="365">
        <f>IFERROR(Summary[[#This Row],[سود]]/Summary[[#This Row],[ارزش کالای فروخته شده]], "")</f>
        <v>0.82121971595655807</v>
      </c>
    </row>
    <row r="229" spans="2:15" x14ac:dyDescent="0.8">
      <c r="B229" s="191" t="str">
        <v>ست 4PS</v>
      </c>
      <c r="C229" s="141">
        <f>SUMIFS(T[تعداد], T[کالا], B229, T[نوع عملیات], "خرید")</f>
        <v>4</v>
      </c>
      <c r="D229" s="141">
        <f t="shared" si="12"/>
        <v>997500</v>
      </c>
      <c r="E229" s="141">
        <f>SUMIFS(T[قیمت کل], T[کالا], B229, T[نوع عملیات], "خرید")</f>
        <v>3990000</v>
      </c>
      <c r="F229" s="141">
        <f>SUMIFS(T[تعداد], T[کالا], B229, T[نوع عملیات], "فروش") + SUMIFS(T[تعداد], T[کالا], B229, T[نوع عملیات], "استفاده خودم")</f>
        <v>3</v>
      </c>
      <c r="G229" s="141">
        <f>SUMIFS(T[قیمت کل], T[کالا], B229, T[نوع عملیات], "فروش")</f>
        <v>7500000</v>
      </c>
      <c r="H229" s="141">
        <f>Summary[[#This Row],[فروش]]*Summary[[#This Row],[قیمت تمام شده]]</f>
        <v>2992500</v>
      </c>
      <c r="I229" s="141">
        <f>Summary[[#This Row],[خرید]]-Summary[[#This Row],[فروش]]</f>
        <v>1</v>
      </c>
      <c r="J229" s="141">
        <f>Summary[[#This Row],[موجودی]]*Summary[[#This Row],[قیمت تمام شده]]</f>
        <v>997500</v>
      </c>
      <c r="K229" s="152" t="str">
        <f>IF(B229="", "", _xlfn.XLOOKUP(B229, T[کالا], T[نحوه تسویه], ""))</f>
        <v>کارت هنگامه</v>
      </c>
      <c r="L229" s="152" t="str">
        <f>IF(B229="", "", _xlfn.XLOOKUP(B229, T[کالا], T[شماره فاکتور], ""))</f>
        <v>پ 403</v>
      </c>
      <c r="M229" s="152" t="str">
        <f>IF(B229="", "", _xlfn.XLOOKUP(Summary[[#This Row],[فاکتور]], T[شماره فاکتور], T[فروشنده / مشتری], "نامشخص"))</f>
        <v>بازار پارسیان</v>
      </c>
      <c r="N229" s="141">
        <f>Summary[[#This Row],[ارزش فروش]] - (Summary[[#This Row],[قیمت تمام شده]]*Summary[[#This Row],[فروش]])</f>
        <v>4507500</v>
      </c>
      <c r="O229" s="365">
        <f>IFERROR(Summary[[#This Row],[سود]]/Summary[[#This Row],[ارزش کالای فروخته شده]], "")</f>
        <v>1.5062656641604011</v>
      </c>
    </row>
    <row r="230" spans="2:15" x14ac:dyDescent="0.8">
      <c r="B230" s="152" t="str">
        <v>پانچ اورال</v>
      </c>
      <c r="C230" s="141">
        <f>SUMIFS(T[تعداد], T[کالا], B230, T[نوع عملیات], "خرید")</f>
        <v>4</v>
      </c>
      <c r="D230" s="141">
        <f t="shared" si="12"/>
        <v>897500</v>
      </c>
      <c r="E230" s="141">
        <f>SUMIFS(T[قیمت کل], T[کالا], B230, T[نوع عملیات], "خرید")</f>
        <v>3590000</v>
      </c>
      <c r="F230" s="141">
        <f>SUMIFS(T[تعداد], T[کالا], B230, T[نوع عملیات], "فروش") + SUMIFS(T[تعداد], T[کالا], B230, T[نوع عملیات], "استفاده خودم")</f>
        <v>1</v>
      </c>
      <c r="G230" s="141">
        <f>SUMIFS(T[قیمت کل], T[کالا], B230, T[نوع عملیات], "فروش")</f>
        <v>1200000</v>
      </c>
      <c r="H230" s="141">
        <f>Summary[[#This Row],[فروش]]*Summary[[#This Row],[قیمت تمام شده]]</f>
        <v>897500</v>
      </c>
      <c r="I230" s="141">
        <f>Summary[[#This Row],[خرید]]-Summary[[#This Row],[فروش]]</f>
        <v>3</v>
      </c>
      <c r="J230" s="141">
        <f>Summary[[#This Row],[موجودی]]*Summary[[#This Row],[قیمت تمام شده]]</f>
        <v>2692500</v>
      </c>
      <c r="K230" s="152" t="str">
        <f>IF(B230="", "", _xlfn.XLOOKUP(B230, T[کالا], T[نحوه تسویه], ""))</f>
        <v>کارت هنگامه</v>
      </c>
      <c r="L230" s="152" t="str">
        <f>IF(B230="", "", _xlfn.XLOOKUP(B230, T[کالا], T[شماره فاکتور], ""))</f>
        <v>پ 403</v>
      </c>
      <c r="M230" s="152" t="str">
        <f>IF(B230="", "", _xlfn.XLOOKUP(Summary[[#This Row],[فاکتور]], T[شماره فاکتور], T[فروشنده / مشتری], "نامشخص"))</f>
        <v>بازار پارسیان</v>
      </c>
      <c r="N230" s="141">
        <f>Summary[[#This Row],[ارزش فروش]] - (Summary[[#This Row],[قیمت تمام شده]]*Summary[[#This Row],[فروش]])</f>
        <v>302500</v>
      </c>
      <c r="O230" s="365">
        <f>IFERROR(Summary[[#This Row],[سود]]/Summary[[#This Row],[ارزش کالای فروخته شده]], "")</f>
        <v>0.3370473537604457</v>
      </c>
    </row>
    <row r="231" spans="2:15" x14ac:dyDescent="0.8">
      <c r="B231" s="191" t="str">
        <v>پیراهن جین</v>
      </c>
      <c r="C231" s="141">
        <f>SUMIFS(T[تعداد], T[کالا], B231, T[نوع عملیات], "خرید")</f>
        <v>4</v>
      </c>
      <c r="D231" s="141">
        <f t="shared" si="12"/>
        <v>1100000</v>
      </c>
      <c r="E231" s="141">
        <f>SUMIFS(T[قیمت کل], T[کالا], B231, T[نوع عملیات], "خرید")</f>
        <v>4400000</v>
      </c>
      <c r="F231" s="141">
        <f>SUMIFS(T[تعداد], T[کالا], B231, T[نوع عملیات], "فروش") + SUMIFS(T[تعداد], T[کالا], B231, T[نوع عملیات], "استفاده خودم")</f>
        <v>3</v>
      </c>
      <c r="G231" s="141">
        <f>SUMIFS(T[قیمت کل], T[کالا], B231, T[نوع عملیات], "فروش")</f>
        <v>5150000</v>
      </c>
      <c r="H231" s="141">
        <f>Summary[[#This Row],[فروش]]*Summary[[#This Row],[قیمت تمام شده]]</f>
        <v>3300000</v>
      </c>
      <c r="I231" s="141">
        <f>Summary[[#This Row],[خرید]]-Summary[[#This Row],[فروش]]</f>
        <v>1</v>
      </c>
      <c r="J231" s="141">
        <f>Summary[[#This Row],[موجودی]]*Summary[[#This Row],[قیمت تمام شده]]</f>
        <v>1100000</v>
      </c>
      <c r="K231" s="152" t="str">
        <f>IF(B231="", "", _xlfn.XLOOKUP(B231, T[کالا], T[نحوه تسویه], ""))</f>
        <v>کارت هنگامه</v>
      </c>
      <c r="L231" s="152" t="str">
        <f>IF(B231="", "", _xlfn.XLOOKUP(B231, T[کالا], T[شماره فاکتور], ""))</f>
        <v>پ 403</v>
      </c>
      <c r="M231" s="152" t="str">
        <f>IF(B231="", "", _xlfn.XLOOKUP(Summary[[#This Row],[فاکتور]], T[شماره فاکتور], T[فروشنده / مشتری], "نامشخص"))</f>
        <v>بازار پارسیان</v>
      </c>
      <c r="N231" s="141">
        <f>Summary[[#This Row],[ارزش فروش]] - (Summary[[#This Row],[قیمت تمام شده]]*Summary[[#This Row],[فروش]])</f>
        <v>1850000</v>
      </c>
      <c r="O231" s="365">
        <f>IFERROR(Summary[[#This Row],[سود]]/Summary[[#This Row],[ارزش کالای فروخته شده]], "")</f>
        <v>0.56060606060606055</v>
      </c>
    </row>
    <row r="232" spans="2:15" x14ac:dyDescent="0.8">
      <c r="B232" s="152" t="str">
        <v>بادی توری طرح دار</v>
      </c>
      <c r="C232" s="141">
        <f>SUMIFS(T[تعداد], T[کالا], B232, T[نوع عملیات], "خرید")</f>
        <v>5</v>
      </c>
      <c r="D232" s="141">
        <f t="shared" si="12"/>
        <v>390000</v>
      </c>
      <c r="E232" s="141">
        <f>SUMIFS(T[قیمت کل], T[کالا], B232, T[نوع عملیات], "خرید")</f>
        <v>1950000</v>
      </c>
      <c r="F232" s="141">
        <f>SUMIFS(T[تعداد], T[کالا], B232, T[نوع عملیات], "فروش") + SUMIFS(T[تعداد], T[کالا], B232, T[نوع عملیات], "استفاده خودم")</f>
        <v>2</v>
      </c>
      <c r="G232" s="141">
        <f>SUMIFS(T[قیمت کل], T[کالا], B232, T[نوع عملیات], "فروش")</f>
        <v>1650000</v>
      </c>
      <c r="H232" s="141">
        <f>Summary[[#This Row],[فروش]]*Summary[[#This Row],[قیمت تمام شده]]</f>
        <v>780000</v>
      </c>
      <c r="I232" s="141">
        <f>Summary[[#This Row],[خرید]]-Summary[[#This Row],[فروش]]</f>
        <v>3</v>
      </c>
      <c r="J232" s="141">
        <f>Summary[[#This Row],[موجودی]]*Summary[[#This Row],[قیمت تمام شده]]</f>
        <v>1170000</v>
      </c>
      <c r="K232" s="152" t="str">
        <f>IF(B232="", "", _xlfn.XLOOKUP(B232, T[کالا], T[نحوه تسویه], ""))</f>
        <v>کارت هنگامه</v>
      </c>
      <c r="L232" s="152" t="str">
        <f>IF(B232="", "", _xlfn.XLOOKUP(B232, T[کالا], T[شماره فاکتور], ""))</f>
        <v>پ 403</v>
      </c>
      <c r="M232" s="152" t="str">
        <f>IF(B232="", "", _xlfn.XLOOKUP(Summary[[#This Row],[فاکتور]], T[شماره فاکتور], T[فروشنده / مشتری], "نامشخص"))</f>
        <v>بازار پارسیان</v>
      </c>
      <c r="N232" s="141">
        <f>Summary[[#This Row],[ارزش فروش]] - (Summary[[#This Row],[قیمت تمام شده]]*Summary[[#This Row],[فروش]])</f>
        <v>870000</v>
      </c>
      <c r="O232" s="365">
        <f>IFERROR(Summary[[#This Row],[سود]]/Summary[[#This Row],[ارزش کالای فروخته شده]], "")</f>
        <v>1.1153846153846154</v>
      </c>
    </row>
    <row r="233" spans="2:15" x14ac:dyDescent="0.8">
      <c r="B233" s="191" t="str">
        <v>کت و شلوار Ozel</v>
      </c>
      <c r="C233" s="141">
        <f>SUMIFS(T[تعداد], T[کالا], B233, T[نوع عملیات], "خرید")</f>
        <v>2</v>
      </c>
      <c r="D233" s="141">
        <f t="shared" si="12"/>
        <v>2470000</v>
      </c>
      <c r="E233" s="141">
        <f>SUMIFS(T[قیمت کل], T[کالا], B233, T[نوع عملیات], "خرید")</f>
        <v>4940000</v>
      </c>
      <c r="F233" s="141">
        <f>SUMIFS(T[تعداد], T[کالا], B233, T[نوع عملیات], "فروش") + SUMIFS(T[تعداد], T[کالا], B233, T[نوع عملیات], "استفاده خودم")</f>
        <v>1</v>
      </c>
      <c r="G233" s="141">
        <f>SUMIFS(T[قیمت کل], T[کالا], B233, T[نوع عملیات], "فروش")</f>
        <v>4500000</v>
      </c>
      <c r="H233" s="141">
        <f>Summary[[#This Row],[فروش]]*Summary[[#This Row],[قیمت تمام شده]]</f>
        <v>2470000</v>
      </c>
      <c r="I233" s="141">
        <f>Summary[[#This Row],[خرید]]-Summary[[#This Row],[فروش]]</f>
        <v>1</v>
      </c>
      <c r="J233" s="141">
        <f>Summary[[#This Row],[موجودی]]*Summary[[#This Row],[قیمت تمام شده]]</f>
        <v>2470000</v>
      </c>
      <c r="K233" s="152" t="str">
        <f>IF(B233="", "", _xlfn.XLOOKUP(B233, T[کالا], T[نحوه تسویه], ""))</f>
        <v>کارت هنگامه</v>
      </c>
      <c r="L233" s="152" t="str">
        <f>IF(B233="", "", _xlfn.XLOOKUP(B233, T[کالا], T[شماره فاکتور], ""))</f>
        <v>پ 403</v>
      </c>
      <c r="M233" s="152" t="str">
        <f>IF(B233="", "", _xlfn.XLOOKUP(Summary[[#This Row],[فاکتور]], T[شماره فاکتور], T[فروشنده / مشتری], "نامشخص"))</f>
        <v>بازار پارسیان</v>
      </c>
      <c r="N233" s="141">
        <f>Summary[[#This Row],[ارزش فروش]] - (Summary[[#This Row],[قیمت تمام شده]]*Summary[[#This Row],[فروش]])</f>
        <v>2030000</v>
      </c>
      <c r="O233" s="365">
        <f>IFERROR(Summary[[#This Row],[سود]]/Summary[[#This Row],[ارزش کالای فروخته شده]], "")</f>
        <v>0.82186234817813764</v>
      </c>
    </row>
    <row r="234" spans="2:15" x14ac:dyDescent="0.8">
      <c r="B234" s="152" t="str">
        <v>ست لینن صدفی</v>
      </c>
      <c r="C234" s="141">
        <f>SUMIFS(T[تعداد], T[کالا], B234, T[نوع عملیات], "خرید")</f>
        <v>3</v>
      </c>
      <c r="D234" s="141">
        <f t="shared" si="12"/>
        <v>500000</v>
      </c>
      <c r="E234" s="141">
        <f>SUMIFS(T[قیمت کل], T[کالا], B234, T[نوع عملیات], "خرید")</f>
        <v>1500000</v>
      </c>
      <c r="F234" s="141">
        <f>SUMIFS(T[تعداد], T[کالا], B234, T[نوع عملیات], "فروش") + SUMIFS(T[تعداد], T[کالا], B234, T[نوع عملیات], "استفاده خودم")</f>
        <v>3</v>
      </c>
      <c r="G234" s="141">
        <f>SUMIFS(T[قیمت کل], T[کالا], B234, T[نوع عملیات], "فروش")</f>
        <v>3300000</v>
      </c>
      <c r="H234" s="141">
        <f>Summary[[#This Row],[فروش]]*Summary[[#This Row],[قیمت تمام شده]]</f>
        <v>1500000</v>
      </c>
      <c r="I234" s="141">
        <f>Summary[[#This Row],[خرید]]-Summary[[#This Row],[فروش]]</f>
        <v>0</v>
      </c>
      <c r="J234" s="141">
        <f>Summary[[#This Row],[موجودی]]*Summary[[#This Row],[قیمت تمام شده]]</f>
        <v>0</v>
      </c>
      <c r="K234" s="152" t="str">
        <f>IF(B234="", "", _xlfn.XLOOKUP(B234, T[کالا], T[نحوه تسویه], ""))</f>
        <v>کارت هنگامه</v>
      </c>
      <c r="L234" s="152" t="str">
        <f>IF(B234="", "", _xlfn.XLOOKUP(B234, T[کالا], T[شماره فاکتور], ""))</f>
        <v>س 403</v>
      </c>
      <c r="M234" s="152" t="str">
        <f>IF(B234="", "", _xlfn.XLOOKUP(Summary[[#This Row],[فاکتور]], T[شماره فاکتور], T[فروشنده / مشتری], "نامشخص"))</f>
        <v>سرای ملی</v>
      </c>
      <c r="N234" s="141">
        <f>Summary[[#This Row],[ارزش فروش]] - (Summary[[#This Row],[قیمت تمام شده]]*Summary[[#This Row],[فروش]])</f>
        <v>1800000</v>
      </c>
      <c r="O234" s="365">
        <f>IFERROR(Summary[[#This Row],[سود]]/Summary[[#This Row],[ارزش کالای فروخته شده]], "")</f>
        <v>1.2</v>
      </c>
    </row>
    <row r="235" spans="2:15" x14ac:dyDescent="0.8">
      <c r="B235" s="191" t="str">
        <v>تاپ مجلسی مشکی</v>
      </c>
      <c r="C235" s="141">
        <f>SUMIFS(T[تعداد], T[کالا], B235, T[نوع عملیات], "خرید")</f>
        <v>10</v>
      </c>
      <c r="D235" s="141">
        <f t="shared" si="12"/>
        <v>175000</v>
      </c>
      <c r="E235" s="141">
        <f>SUMIFS(T[قیمت کل], T[کالا], B235, T[نوع عملیات], "خرید")</f>
        <v>1750000</v>
      </c>
      <c r="F235" s="141">
        <f>SUMIFS(T[تعداد], T[کالا], B235, T[نوع عملیات], "فروش") + SUMIFS(T[تعداد], T[کالا], B235, T[نوع عملیات], "استفاده خودم")</f>
        <v>2</v>
      </c>
      <c r="G235" s="141">
        <f>SUMIFS(T[قیمت کل], T[کالا], B235, T[نوع عملیات], "فروش")</f>
        <v>960000</v>
      </c>
      <c r="H235" s="141">
        <f>Summary[[#This Row],[فروش]]*Summary[[#This Row],[قیمت تمام شده]]</f>
        <v>350000</v>
      </c>
      <c r="I235" s="141">
        <f>Summary[[#This Row],[خرید]]-Summary[[#This Row],[فروش]]</f>
        <v>8</v>
      </c>
      <c r="J235" s="141">
        <f>Summary[[#This Row],[موجودی]]*Summary[[#This Row],[قیمت تمام شده]]</f>
        <v>1400000</v>
      </c>
      <c r="K235" s="152" t="str">
        <f>IF(B235="", "", _xlfn.XLOOKUP(B235, T[کالا], T[نحوه تسویه], ""))</f>
        <v>کارت هنگامه</v>
      </c>
      <c r="L235" s="152" t="str">
        <f>IF(B235="", "", _xlfn.XLOOKUP(B235, T[کالا], T[شماره فاکتور], ""))</f>
        <v>س 403</v>
      </c>
      <c r="M235" s="152" t="str">
        <f>IF(B235="", "", _xlfn.XLOOKUP(Summary[[#This Row],[فاکتور]], T[شماره فاکتور], T[فروشنده / مشتری], "نامشخص"))</f>
        <v>سرای ملی</v>
      </c>
      <c r="N235" s="141">
        <f>Summary[[#This Row],[ارزش فروش]] - (Summary[[#This Row],[قیمت تمام شده]]*Summary[[#This Row],[فروش]])</f>
        <v>610000</v>
      </c>
      <c r="O235" s="365">
        <f>IFERROR(Summary[[#This Row],[سود]]/Summary[[#This Row],[ارزش کالای فروخته شده]], "")</f>
        <v>1.7428571428571429</v>
      </c>
    </row>
    <row r="236" spans="2:15" x14ac:dyDescent="0.8">
      <c r="B236" s="152" t="str">
        <v>شومیز تور کوتاه</v>
      </c>
      <c r="C236" s="141">
        <f>SUMIFS(T[تعداد], T[کالا], B236, T[نوع عملیات], "خرید")</f>
        <v>3</v>
      </c>
      <c r="D236" s="141">
        <f t="shared" si="12"/>
        <v>356000</v>
      </c>
      <c r="E236" s="141">
        <f>SUMIFS(T[قیمت کل], T[کالا], B236, T[نوع عملیات], "خرید")</f>
        <v>1068000</v>
      </c>
      <c r="F236" s="141">
        <f>SUMIFS(T[تعداد], T[کالا], B236, T[نوع عملیات], "فروش") + SUMIFS(T[تعداد], T[کالا], B236, T[نوع عملیات], "استفاده خودم")</f>
        <v>5</v>
      </c>
      <c r="G236" s="141">
        <f>SUMIFS(T[قیمت کل], T[کالا], B236, T[نوع عملیات], "فروش")</f>
        <v>4000000</v>
      </c>
      <c r="H236" s="141">
        <f>Summary[[#This Row],[فروش]]*Summary[[#This Row],[قیمت تمام شده]]</f>
        <v>1780000</v>
      </c>
      <c r="I236" s="141">
        <f>Summary[[#This Row],[خرید]]-Summary[[#This Row],[فروش]]</f>
        <v>-2</v>
      </c>
      <c r="J236" s="141">
        <f>Summary[[#This Row],[موجودی]]*Summary[[#This Row],[قیمت تمام شده]]</f>
        <v>-712000</v>
      </c>
      <c r="K236" s="152" t="str">
        <f>IF(B236="", "", _xlfn.XLOOKUP(B236, T[کالا], T[نحوه تسویه], ""))</f>
        <v>کارت هنگامه</v>
      </c>
      <c r="L236" s="152" t="str">
        <f>IF(B236="", "", _xlfn.XLOOKUP(B236, T[کالا], T[شماره فاکتور], ""))</f>
        <v>س 403</v>
      </c>
      <c r="M236" s="152" t="str">
        <f>IF(B236="", "", _xlfn.XLOOKUP(Summary[[#This Row],[فاکتور]], T[شماره فاکتور], T[فروشنده / مشتری], "نامشخص"))</f>
        <v>سرای ملی</v>
      </c>
      <c r="N236" s="141">
        <f>Summary[[#This Row],[ارزش فروش]] - (Summary[[#This Row],[قیمت تمام شده]]*Summary[[#This Row],[فروش]])</f>
        <v>2220000</v>
      </c>
      <c r="O236" s="365">
        <f>IFERROR(Summary[[#This Row],[سود]]/Summary[[#This Row],[ارزش کالای فروخته شده]], "")</f>
        <v>1.247191011235955</v>
      </c>
    </row>
    <row r="237" spans="2:15" x14ac:dyDescent="0.8">
      <c r="B237" s="191" t="str">
        <v>شومیز تور آستین بلند</v>
      </c>
      <c r="C237" s="141">
        <f>SUMIFS(T[تعداد], T[کالا], B237, T[نوع عملیات], "خرید")</f>
        <v>3</v>
      </c>
      <c r="D237" s="141">
        <f t="shared" si="12"/>
        <v>394000</v>
      </c>
      <c r="E237" s="141">
        <f>SUMIFS(T[قیمت کل], T[کالا], B237, T[نوع عملیات], "خرید")</f>
        <v>1182000</v>
      </c>
      <c r="F237" s="141">
        <f>SUMIFS(T[تعداد], T[کالا], B237, T[نوع عملیات], "فروش") + SUMIFS(T[تعداد], T[کالا], B237, T[نوع عملیات], "استفاده خودم")</f>
        <v>1</v>
      </c>
      <c r="G237" s="141">
        <f>SUMIFS(T[قیمت کل], T[کالا], B237, T[نوع عملیات], "فروش")</f>
        <v>800000</v>
      </c>
      <c r="H237" s="141">
        <f>Summary[[#This Row],[فروش]]*Summary[[#This Row],[قیمت تمام شده]]</f>
        <v>394000</v>
      </c>
      <c r="I237" s="141">
        <f>Summary[[#This Row],[خرید]]-Summary[[#This Row],[فروش]]</f>
        <v>2</v>
      </c>
      <c r="J237" s="141">
        <f>Summary[[#This Row],[موجودی]]*Summary[[#This Row],[قیمت تمام شده]]</f>
        <v>788000</v>
      </c>
      <c r="K237" s="152" t="str">
        <f>IF(B237="", "", _xlfn.XLOOKUP(B237, T[کالا], T[نحوه تسویه], ""))</f>
        <v>کارت هنگامه</v>
      </c>
      <c r="L237" s="152" t="str">
        <f>IF(B237="", "", _xlfn.XLOOKUP(B237, T[کالا], T[شماره فاکتور], ""))</f>
        <v>س 403</v>
      </c>
      <c r="M237" s="152" t="str">
        <f>IF(B237="", "", _xlfn.XLOOKUP(Summary[[#This Row],[فاکتور]], T[شماره فاکتور], T[فروشنده / مشتری], "نامشخص"))</f>
        <v>سرای ملی</v>
      </c>
      <c r="N237" s="141">
        <f>Summary[[#This Row],[ارزش فروش]] - (Summary[[#This Row],[قیمت تمام شده]]*Summary[[#This Row],[فروش]])</f>
        <v>406000</v>
      </c>
      <c r="O237" s="365">
        <f>IFERROR(Summary[[#This Row],[سود]]/Summary[[#This Row],[ارزش کالای فروخته شده]], "")</f>
        <v>1.0304568527918783</v>
      </c>
    </row>
    <row r="238" spans="2:15" x14ac:dyDescent="0.8">
      <c r="B238" s="152" t="str">
        <v>کمربند سفید</v>
      </c>
      <c r="C238" s="141">
        <f>SUMIFS(T[تعداد], T[کالا], B238, T[نوع عملیات], "خرید")</f>
        <v>2</v>
      </c>
      <c r="D238" s="141">
        <f t="shared" si="12"/>
        <v>40000</v>
      </c>
      <c r="E238" s="141">
        <f>SUMIFS(T[قیمت کل], T[کالا], B238, T[نوع عملیات], "خرید")</f>
        <v>80000</v>
      </c>
      <c r="F238" s="141">
        <f>SUMIFS(T[تعداد], T[کالا], B238, T[نوع عملیات], "فروش") + SUMIFS(T[تعداد], T[کالا], B238, T[نوع عملیات], "استفاده خودم")</f>
        <v>0</v>
      </c>
      <c r="G238" s="141">
        <f>SUMIFS(T[قیمت کل], T[کالا], B238, T[نوع عملیات], "فروش")</f>
        <v>0</v>
      </c>
      <c r="H238" s="141">
        <f>Summary[[#This Row],[فروش]]*Summary[[#This Row],[قیمت تمام شده]]</f>
        <v>0</v>
      </c>
      <c r="I238" s="141">
        <f>Summary[[#This Row],[خرید]]-Summary[[#This Row],[فروش]]</f>
        <v>2</v>
      </c>
      <c r="J238" s="141">
        <f>Summary[[#This Row],[موجودی]]*Summary[[#This Row],[قیمت تمام شده]]</f>
        <v>80000</v>
      </c>
      <c r="K238" s="152" t="str">
        <f>IF(B238="", "", _xlfn.XLOOKUP(B238, T[کالا], T[نحوه تسویه], ""))</f>
        <v>کارت هنگامه</v>
      </c>
      <c r="L238" s="152" t="str">
        <f>IF(B238="", "", _xlfn.XLOOKUP(B238, T[کالا], T[شماره فاکتور], ""))</f>
        <v>س 403</v>
      </c>
      <c r="M238" s="152" t="str">
        <f>IF(B238="", "", _xlfn.XLOOKUP(Summary[[#This Row],[فاکتور]], T[شماره فاکتور], T[فروشنده / مشتری], "نامشخص"))</f>
        <v>سرای ملی</v>
      </c>
      <c r="N238" s="141">
        <f>Summary[[#This Row],[ارزش فروش]] - (Summary[[#This Row],[قیمت تمام شده]]*Summary[[#This Row],[فروش]])</f>
        <v>0</v>
      </c>
      <c r="O238" s="365" t="str">
        <f>IFERROR(Summary[[#This Row],[سود]]/Summary[[#This Row],[ارزش کالای فروخته شده]], "")</f>
        <v/>
      </c>
    </row>
    <row r="239" spans="2:15" x14ac:dyDescent="0.8">
      <c r="B239" s="191" t="str">
        <v>کمربند کنفی</v>
      </c>
      <c r="C239" s="141">
        <f>SUMIFS(T[تعداد], T[کالا], B239, T[نوع عملیات], "خرید")</f>
        <v>6</v>
      </c>
      <c r="D239" s="141">
        <f t="shared" si="12"/>
        <v>89000</v>
      </c>
      <c r="E239" s="141">
        <f>SUMIFS(T[قیمت کل], T[کالا], B239, T[نوع عملیات], "خرید")</f>
        <v>534000</v>
      </c>
      <c r="F239" s="141">
        <f>SUMIFS(T[تعداد], T[کالا], B239, T[نوع عملیات], "فروش") + SUMIFS(T[تعداد], T[کالا], B239, T[نوع عملیات], "استفاده خودم")</f>
        <v>0</v>
      </c>
      <c r="G239" s="141">
        <f>SUMIFS(T[قیمت کل], T[کالا], B239, T[نوع عملیات], "فروش")</f>
        <v>0</v>
      </c>
      <c r="H239" s="141">
        <f>Summary[[#This Row],[فروش]]*Summary[[#This Row],[قیمت تمام شده]]</f>
        <v>0</v>
      </c>
      <c r="I239" s="141">
        <f>Summary[[#This Row],[خرید]]-Summary[[#This Row],[فروش]]</f>
        <v>6</v>
      </c>
      <c r="J239" s="141">
        <f>Summary[[#This Row],[موجودی]]*Summary[[#This Row],[قیمت تمام شده]]</f>
        <v>534000</v>
      </c>
      <c r="K239" s="152" t="str">
        <f>IF(B239="", "", _xlfn.XLOOKUP(B239, T[کالا], T[نحوه تسویه], ""))</f>
        <v>کارت هنگامه</v>
      </c>
      <c r="L239" s="152" t="str">
        <f>IF(B239="", "", _xlfn.XLOOKUP(B239, T[کالا], T[شماره فاکتور], ""))</f>
        <v>س 403</v>
      </c>
      <c r="M239" s="152" t="str">
        <f>IF(B239="", "", _xlfn.XLOOKUP(Summary[[#This Row],[فاکتور]], T[شماره فاکتور], T[فروشنده / مشتری], "نامشخص"))</f>
        <v>سرای ملی</v>
      </c>
      <c r="N239" s="141">
        <f>Summary[[#This Row],[ارزش فروش]] - (Summary[[#This Row],[قیمت تمام شده]]*Summary[[#This Row],[فروش]])</f>
        <v>0</v>
      </c>
      <c r="O239" s="365" t="str">
        <f>IFERROR(Summary[[#This Row],[سود]]/Summary[[#This Row],[ارزش کالای فروخته شده]], "")</f>
        <v/>
      </c>
    </row>
    <row r="240" spans="2:15" x14ac:dyDescent="0.8">
      <c r="B240" s="152" t="str">
        <v>کمربند سگک دار</v>
      </c>
      <c r="C240" s="141">
        <f>SUMIFS(T[تعداد], T[کالا], B240, T[نوع عملیات], "خرید")</f>
        <v>4</v>
      </c>
      <c r="D240" s="141">
        <f t="shared" si="12"/>
        <v>59000</v>
      </c>
      <c r="E240" s="141">
        <f>SUMIFS(T[قیمت کل], T[کالا], B240, T[نوع عملیات], "خرید")</f>
        <v>236000</v>
      </c>
      <c r="F240" s="141">
        <f>SUMIFS(T[تعداد], T[کالا], B240, T[نوع عملیات], "فروش") + SUMIFS(T[تعداد], T[کالا], B240, T[نوع عملیات], "استفاده خودم")</f>
        <v>0</v>
      </c>
      <c r="G240" s="141">
        <f>SUMIFS(T[قیمت کل], T[کالا], B240, T[نوع عملیات], "فروش")</f>
        <v>0</v>
      </c>
      <c r="H240" s="141">
        <f>Summary[[#This Row],[فروش]]*Summary[[#This Row],[قیمت تمام شده]]</f>
        <v>0</v>
      </c>
      <c r="I240" s="141">
        <f>Summary[[#This Row],[خرید]]-Summary[[#This Row],[فروش]]</f>
        <v>4</v>
      </c>
      <c r="J240" s="141">
        <f>Summary[[#This Row],[موجودی]]*Summary[[#This Row],[قیمت تمام شده]]</f>
        <v>236000</v>
      </c>
      <c r="K240" s="152" t="str">
        <f>IF(B240="", "", _xlfn.XLOOKUP(B240, T[کالا], T[نحوه تسویه], ""))</f>
        <v>کارت هنگامه</v>
      </c>
      <c r="L240" s="152" t="str">
        <f>IF(B240="", "", _xlfn.XLOOKUP(B240, T[کالا], T[شماره فاکتور], ""))</f>
        <v>س 403</v>
      </c>
      <c r="M240" s="152" t="str">
        <f>IF(B240="", "", _xlfn.XLOOKUP(Summary[[#This Row],[فاکتور]], T[شماره فاکتور], T[فروشنده / مشتری], "نامشخص"))</f>
        <v>سرای ملی</v>
      </c>
      <c r="N240" s="141">
        <f>Summary[[#This Row],[ارزش فروش]] - (Summary[[#This Row],[قیمت تمام شده]]*Summary[[#This Row],[فروش]])</f>
        <v>0</v>
      </c>
      <c r="O240" s="365" t="str">
        <f>IFERROR(Summary[[#This Row],[سود]]/Summary[[#This Row],[ارزش کالای فروخته شده]], "")</f>
        <v/>
      </c>
    </row>
    <row r="241" spans="2:15" x14ac:dyDescent="0.8">
      <c r="B241" s="191" t="str">
        <v>شلوار قهوه ای Bisu</v>
      </c>
      <c r="C241" s="141">
        <f>SUMIFS(T[تعداد], T[کالا], B241, T[نوع عملیات], "خرید")</f>
        <v>1</v>
      </c>
      <c r="D241" s="141">
        <f t="shared" si="12"/>
        <v>1380000</v>
      </c>
      <c r="E241" s="141">
        <f>SUMIFS(T[قیمت کل], T[کالا], B241, T[نوع عملیات], "خرید")</f>
        <v>1380000</v>
      </c>
      <c r="F241" s="141">
        <f>SUMIFS(T[تعداد], T[کالا], B241, T[نوع عملیات], "فروش") + SUMIFS(T[تعداد], T[کالا], B241, T[نوع عملیات], "استفاده خودم")</f>
        <v>1</v>
      </c>
      <c r="G241" s="141">
        <f>SUMIFS(T[قیمت کل], T[کالا], B241, T[نوع عملیات], "فروش")</f>
        <v>1500000</v>
      </c>
      <c r="H241" s="141">
        <f>Summary[[#This Row],[فروش]]*Summary[[#This Row],[قیمت تمام شده]]</f>
        <v>1380000</v>
      </c>
      <c r="I241" s="141">
        <f>Summary[[#This Row],[خرید]]-Summary[[#This Row],[فروش]]</f>
        <v>0</v>
      </c>
      <c r="J241" s="141">
        <f>Summary[[#This Row],[موجودی]]*Summary[[#This Row],[قیمت تمام شده]]</f>
        <v>0</v>
      </c>
      <c r="K241" s="152" t="str">
        <f>IF(B241="", "", _xlfn.XLOOKUP(B241, T[کالا], T[نحوه تسویه], ""))</f>
        <v>کارت هنگامه</v>
      </c>
      <c r="L241" s="152" t="str">
        <f>IF(B241="", "", _xlfn.XLOOKUP(B241, T[کالا], T[شماره فاکتور], ""))</f>
        <v>ع 403</v>
      </c>
      <c r="M241" s="152" t="str">
        <f>IF(B241="", "", _xlfn.XLOOKUP(Summary[[#This Row],[فاکتور]], T[شماره فاکتور], T[فروشنده / مشتری], "نامشخص"))</f>
        <v>عبدل آباد</v>
      </c>
      <c r="N241" s="141">
        <f>Summary[[#This Row],[ارزش فروش]] - (Summary[[#This Row],[قیمت تمام شده]]*Summary[[#This Row],[فروش]])</f>
        <v>120000</v>
      </c>
      <c r="O241" s="365">
        <f>IFERROR(Summary[[#This Row],[سود]]/Summary[[#This Row],[ارزش کالای فروخته شده]], "")</f>
        <v>8.6956521739130432E-2</v>
      </c>
    </row>
    <row r="242" spans="2:15" x14ac:dyDescent="0.8">
      <c r="B242" s="152" t="str">
        <v>شلوارک عبدو</v>
      </c>
      <c r="C242" s="141">
        <f>SUMIFS(T[تعداد], T[کالا], B242, T[نوع عملیات], "خرید")</f>
        <v>2</v>
      </c>
      <c r="D242" s="141">
        <f t="shared" ref="D242:D279" si="13">IFERROR(E242/C242, 0)</f>
        <v>845000</v>
      </c>
      <c r="E242" s="141">
        <f>SUMIFS(T[قیمت کل], T[کالا], B242, T[نوع عملیات], "خرید")</f>
        <v>1690000</v>
      </c>
      <c r="F242" s="141">
        <f>SUMIFS(T[تعداد], T[کالا], B242, T[نوع عملیات], "فروش") + SUMIFS(T[تعداد], T[کالا], B242, T[نوع عملیات], "استفاده خودم")</f>
        <v>2</v>
      </c>
      <c r="G242" s="141">
        <f>SUMIFS(T[قیمت کل], T[کالا], B242, T[نوع عملیات], "فروش")</f>
        <v>2800000</v>
      </c>
      <c r="H242" s="141">
        <f>Summary[[#This Row],[فروش]]*Summary[[#This Row],[قیمت تمام شده]]</f>
        <v>1690000</v>
      </c>
      <c r="I242" s="141">
        <f>Summary[[#This Row],[خرید]]-Summary[[#This Row],[فروش]]</f>
        <v>0</v>
      </c>
      <c r="J242" s="141">
        <f>Summary[[#This Row],[موجودی]]*Summary[[#This Row],[قیمت تمام شده]]</f>
        <v>0</v>
      </c>
      <c r="K242" s="152" t="str">
        <f>IF(B242="", "", _xlfn.XLOOKUP(B242, T[کالا], T[نحوه تسویه], ""))</f>
        <v>کارت هنگامه</v>
      </c>
      <c r="L242" s="152" t="str">
        <f>IF(B242="", "", _xlfn.XLOOKUP(B242, T[کالا], T[شماره فاکتور], ""))</f>
        <v>ع 403</v>
      </c>
      <c r="M242" s="152" t="str">
        <f>IF(B242="", "", _xlfn.XLOOKUP(Summary[[#This Row],[فاکتور]], T[شماره فاکتور], T[فروشنده / مشتری], "نامشخص"))</f>
        <v>عبدل آباد</v>
      </c>
      <c r="N242" s="141">
        <f>Summary[[#This Row],[ارزش فروش]] - (Summary[[#This Row],[قیمت تمام شده]]*Summary[[#This Row],[فروش]])</f>
        <v>1110000</v>
      </c>
      <c r="O242" s="365">
        <f>IFERROR(Summary[[#This Row],[سود]]/Summary[[#This Row],[ارزش کالای فروخته شده]], "")</f>
        <v>0.65680473372781067</v>
      </c>
    </row>
    <row r="243" spans="2:15" x14ac:dyDescent="0.8">
      <c r="B243" s="191" t="str">
        <v>شومیز زارا</v>
      </c>
      <c r="C243" s="141">
        <f>SUMIFS(T[تعداد], T[کالا], B243, T[نوع عملیات], "خرید")</f>
        <v>6</v>
      </c>
      <c r="D243" s="141">
        <f t="shared" si="13"/>
        <v>591666.66666666663</v>
      </c>
      <c r="E243" s="141">
        <f>SUMIFS(T[قیمت کل], T[کالا], B243, T[نوع عملیات], "خرید")</f>
        <v>3550000</v>
      </c>
      <c r="F243" s="141">
        <f>SUMIFS(T[تعداد], T[کالا], B243, T[نوع عملیات], "فروش") + SUMIFS(T[تعداد], T[کالا], B243, T[نوع عملیات], "استفاده خودم")</f>
        <v>5</v>
      </c>
      <c r="G243" s="141">
        <f>SUMIFS(T[قیمت کل], T[کالا], B243, T[نوع عملیات], "فروش")</f>
        <v>5600000</v>
      </c>
      <c r="H243" s="141">
        <f>Summary[[#This Row],[فروش]]*Summary[[#This Row],[قیمت تمام شده]]</f>
        <v>2958333.333333333</v>
      </c>
      <c r="I243" s="141">
        <f>Summary[[#This Row],[خرید]]-Summary[[#This Row],[فروش]]</f>
        <v>1</v>
      </c>
      <c r="J243" s="141">
        <f>Summary[[#This Row],[موجودی]]*Summary[[#This Row],[قیمت تمام شده]]</f>
        <v>591666.66666666663</v>
      </c>
      <c r="K243" s="152" t="str">
        <f>IF(B243="", "", _xlfn.XLOOKUP(B243, T[کالا], T[نحوه تسویه], ""))</f>
        <v>کارت هنگامه</v>
      </c>
      <c r="L243" s="152" t="str">
        <f>IF(B243="", "", _xlfn.XLOOKUP(B243, T[کالا], T[شماره فاکتور], ""))</f>
        <v>پ 403</v>
      </c>
      <c r="M243" s="152" t="str">
        <f>IF(B243="", "", _xlfn.XLOOKUP(Summary[[#This Row],[فاکتور]], T[شماره فاکتور], T[فروشنده / مشتری], "نامشخص"))</f>
        <v>بازار پارسیان</v>
      </c>
      <c r="N243" s="141">
        <f>Summary[[#This Row],[ارزش فروش]] - (Summary[[#This Row],[قیمت تمام شده]]*Summary[[#This Row],[فروش]])</f>
        <v>2641666.666666667</v>
      </c>
      <c r="O243" s="365">
        <f>IFERROR(Summary[[#This Row],[سود]]/Summary[[#This Row],[ارزش کالای فروخته شده]], "")</f>
        <v>0.89295774647887349</v>
      </c>
    </row>
    <row r="244" spans="2:15" x14ac:dyDescent="0.8">
      <c r="B244" s="152" t="str">
        <v>پیراهن بلند وارداتی</v>
      </c>
      <c r="C244" s="141">
        <f>SUMIFS(T[تعداد], T[کالا], B244, T[نوع عملیات], "خرید")</f>
        <v>5</v>
      </c>
      <c r="D244" s="141">
        <f t="shared" si="13"/>
        <v>300000</v>
      </c>
      <c r="E244" s="141">
        <f>SUMIFS(T[قیمت کل], T[کالا], B244, T[نوع عملیات], "خرید")</f>
        <v>1500000</v>
      </c>
      <c r="F244" s="141">
        <f>SUMIFS(T[تعداد], T[کالا], B244, T[نوع عملیات], "فروش") + SUMIFS(T[تعداد], T[کالا], B244, T[نوع عملیات], "استفاده خودم")</f>
        <v>2</v>
      </c>
      <c r="G244" s="141">
        <f>SUMIFS(T[قیمت کل], T[کالا], B244, T[نوع عملیات], "فروش")</f>
        <v>1300000</v>
      </c>
      <c r="H244" s="141">
        <f>Summary[[#This Row],[فروش]]*Summary[[#This Row],[قیمت تمام شده]]</f>
        <v>600000</v>
      </c>
      <c r="I244" s="141">
        <f>Summary[[#This Row],[خرید]]-Summary[[#This Row],[فروش]]</f>
        <v>3</v>
      </c>
      <c r="J244" s="141">
        <f>Summary[[#This Row],[موجودی]]*Summary[[#This Row],[قیمت تمام شده]]</f>
        <v>900000</v>
      </c>
      <c r="K244" s="152" t="str">
        <f>IF(B244="", "", _xlfn.XLOOKUP(B244, T[کالا], T[نحوه تسویه], ""))</f>
        <v>کارت هنگامه</v>
      </c>
      <c r="L244" s="152" t="str">
        <f>IF(B244="", "", _xlfn.XLOOKUP(B244, T[کالا], T[شماره فاکتور], ""))</f>
        <v>ع 403</v>
      </c>
      <c r="M244" s="152" t="str">
        <f>IF(B244="", "", _xlfn.XLOOKUP(Summary[[#This Row],[فاکتور]], T[شماره فاکتور], T[فروشنده / مشتری], "نامشخص"))</f>
        <v>عبدل آباد</v>
      </c>
      <c r="N244" s="141">
        <f>Summary[[#This Row],[ارزش فروش]] - (Summary[[#This Row],[قیمت تمام شده]]*Summary[[#This Row],[فروش]])</f>
        <v>700000</v>
      </c>
      <c r="O244" s="365">
        <f>IFERROR(Summary[[#This Row],[سود]]/Summary[[#This Row],[ارزش کالای فروخته شده]], "")</f>
        <v>1.1666666666666667</v>
      </c>
    </row>
    <row r="245" spans="2:15" x14ac:dyDescent="0.8">
      <c r="B245" s="191" t="str">
        <v>دامن پاستلی</v>
      </c>
      <c r="C245" s="141">
        <f>SUMIFS(T[تعداد], T[کالا], B245, T[نوع عملیات], "خرید")</f>
        <v>14</v>
      </c>
      <c r="D245" s="141">
        <f t="shared" si="13"/>
        <v>495714.28571428574</v>
      </c>
      <c r="E245" s="141">
        <f>SUMIFS(T[قیمت کل], T[کالا], B245, T[نوع عملیات], "خرید")</f>
        <v>6940000</v>
      </c>
      <c r="F245" s="141">
        <f>SUMIFS(T[تعداد], T[کالا], B245, T[نوع عملیات], "فروش") + SUMIFS(T[تعداد], T[کالا], B245, T[نوع عملیات], "استفاده خودم")</f>
        <v>10</v>
      </c>
      <c r="G245" s="141">
        <f>SUMIFS(T[قیمت کل], T[کالا], B245, T[نوع عملیات], "فروش")</f>
        <v>10400000</v>
      </c>
      <c r="H245" s="141">
        <f>Summary[[#This Row],[فروش]]*Summary[[#This Row],[قیمت تمام شده]]</f>
        <v>4957142.8571428573</v>
      </c>
      <c r="I245" s="141">
        <f>Summary[[#This Row],[خرید]]-Summary[[#This Row],[فروش]]</f>
        <v>4</v>
      </c>
      <c r="J245" s="141">
        <f>Summary[[#This Row],[موجودی]]*Summary[[#This Row],[قیمت تمام شده]]</f>
        <v>1982857.142857143</v>
      </c>
      <c r="K245" s="152" t="str">
        <f>IF(B245="", "", _xlfn.XLOOKUP(B245, T[کالا], T[نحوه تسویه], ""))</f>
        <v>کارت هنگامه</v>
      </c>
      <c r="L245" s="152" t="str">
        <f>IF(B245="", "", _xlfn.XLOOKUP(B245, T[کالا], T[شماره فاکتور], ""))</f>
        <v>پ 403</v>
      </c>
      <c r="M245" s="152" t="str">
        <f>IF(B245="", "", _xlfn.XLOOKUP(Summary[[#This Row],[فاکتور]], T[شماره فاکتور], T[فروشنده / مشتری], "نامشخص"))</f>
        <v>بازار پارسیان</v>
      </c>
      <c r="N245" s="141">
        <f>Summary[[#This Row],[ارزش فروش]] - (Summary[[#This Row],[قیمت تمام شده]]*Summary[[#This Row],[فروش]])</f>
        <v>5442857.1428571427</v>
      </c>
      <c r="O245" s="365">
        <f>IFERROR(Summary[[#This Row],[سود]]/Summary[[#This Row],[ارزش کالای فروخته شده]], "")</f>
        <v>1.0979827089337175</v>
      </c>
    </row>
    <row r="246" spans="2:15" x14ac:dyDescent="0.8">
      <c r="B246" s="152" t="str">
        <v>کت دامن لینن چین دار</v>
      </c>
      <c r="C246" s="141">
        <f>SUMIFS(T[تعداد], T[کالا], B246, T[نوع عملیات], "خرید")</f>
        <v>2</v>
      </c>
      <c r="D246" s="141">
        <f t="shared" si="13"/>
        <v>1092000</v>
      </c>
      <c r="E246" s="141">
        <f>SUMIFS(T[قیمت کل], T[کالا], B246, T[نوع عملیات], "خرید")</f>
        <v>2184000</v>
      </c>
      <c r="F246" s="141">
        <f>SUMIFS(T[تعداد], T[کالا], B246, T[نوع عملیات], "فروش") + SUMIFS(T[تعداد], T[کالا], B246, T[نوع عملیات], "استفاده خودم")</f>
        <v>0</v>
      </c>
      <c r="G246" s="141">
        <f>SUMIFS(T[قیمت کل], T[کالا], B246, T[نوع عملیات], "فروش")</f>
        <v>0</v>
      </c>
      <c r="H246" s="141">
        <f>Summary[[#This Row],[فروش]]*Summary[[#This Row],[قیمت تمام شده]]</f>
        <v>0</v>
      </c>
      <c r="I246" s="141">
        <f>Summary[[#This Row],[خرید]]-Summary[[#This Row],[فروش]]</f>
        <v>2</v>
      </c>
      <c r="J246" s="141">
        <f>Summary[[#This Row],[موجودی]]*Summary[[#This Row],[قیمت تمام شده]]</f>
        <v>2184000</v>
      </c>
      <c r="K246" s="152" t="str">
        <f>IF(B246="", "", _xlfn.XLOOKUP(B246, T[کالا], T[نحوه تسویه], ""))</f>
        <v>کارت هنگامه</v>
      </c>
      <c r="L246" s="152" t="str">
        <f>IF(B246="", "", _xlfn.XLOOKUP(B246, T[کالا], T[شماره فاکتور], ""))</f>
        <v>پ 403</v>
      </c>
      <c r="M246" s="152" t="str">
        <f>IF(B246="", "", _xlfn.XLOOKUP(Summary[[#This Row],[فاکتور]], T[شماره فاکتور], T[فروشنده / مشتری], "نامشخص"))</f>
        <v>بازار پارسیان</v>
      </c>
      <c r="N246" s="141">
        <f>Summary[[#This Row],[ارزش فروش]] - (Summary[[#This Row],[قیمت تمام شده]]*Summary[[#This Row],[فروش]])</f>
        <v>0</v>
      </c>
      <c r="O246" s="365" t="str">
        <f>IFERROR(Summary[[#This Row],[سود]]/Summary[[#This Row],[ارزش کالای فروخته شده]], "")</f>
        <v/>
      </c>
    </row>
    <row r="247" spans="2:15" x14ac:dyDescent="0.8">
      <c r="B247" s="191" t="str">
        <v>دامن ساتن پیلی</v>
      </c>
      <c r="C247" s="141">
        <f>SUMIFS(T[تعداد], T[کالا], B247, T[نوع عملیات], "خرید")</f>
        <v>2</v>
      </c>
      <c r="D247" s="141">
        <f t="shared" si="13"/>
        <v>398000</v>
      </c>
      <c r="E247" s="141">
        <f>SUMIFS(T[قیمت کل], T[کالا], B247, T[نوع عملیات], "خرید")</f>
        <v>796000</v>
      </c>
      <c r="F247" s="141">
        <f>SUMIFS(T[تعداد], T[کالا], B247, T[نوع عملیات], "فروش") + SUMIFS(T[تعداد], T[کالا], B247, T[نوع عملیات], "استفاده خودم")</f>
        <v>0</v>
      </c>
      <c r="G247" s="141">
        <f>SUMIFS(T[قیمت کل], T[کالا], B247, T[نوع عملیات], "فروش")</f>
        <v>0</v>
      </c>
      <c r="H247" s="141">
        <f>Summary[[#This Row],[فروش]]*Summary[[#This Row],[قیمت تمام شده]]</f>
        <v>0</v>
      </c>
      <c r="I247" s="141">
        <f>Summary[[#This Row],[خرید]]-Summary[[#This Row],[فروش]]</f>
        <v>2</v>
      </c>
      <c r="J247" s="141">
        <f>Summary[[#This Row],[موجودی]]*Summary[[#This Row],[قیمت تمام شده]]</f>
        <v>796000</v>
      </c>
      <c r="K247" s="152" t="str">
        <f>IF(B247="", "", _xlfn.XLOOKUP(B247, T[کالا], T[نحوه تسویه], ""))</f>
        <v>کارت هنگامه</v>
      </c>
      <c r="L247" s="152" t="str">
        <f>IF(B247="", "", _xlfn.XLOOKUP(B247, T[کالا], T[شماره فاکتور], ""))</f>
        <v>پ 403</v>
      </c>
      <c r="M247" s="152" t="str">
        <f>IF(B247="", "", _xlfn.XLOOKUP(Summary[[#This Row],[فاکتور]], T[شماره فاکتور], T[فروشنده / مشتری], "نامشخص"))</f>
        <v>بازار پارسیان</v>
      </c>
      <c r="N247" s="141">
        <f>Summary[[#This Row],[ارزش فروش]] - (Summary[[#This Row],[قیمت تمام شده]]*Summary[[#This Row],[فروش]])</f>
        <v>0</v>
      </c>
      <c r="O247" s="365" t="str">
        <f>IFERROR(Summary[[#This Row],[سود]]/Summary[[#This Row],[ارزش کالای فروخته شده]], "")</f>
        <v/>
      </c>
    </row>
    <row r="248" spans="2:15" x14ac:dyDescent="0.8">
      <c r="B248" s="152" t="str">
        <v>کت سارافون لینن</v>
      </c>
      <c r="C248" s="141">
        <f>SUMIFS(T[تعداد], T[کالا], B248, T[نوع عملیات], "خرید")</f>
        <v>2</v>
      </c>
      <c r="D248" s="141">
        <f t="shared" si="13"/>
        <v>990000</v>
      </c>
      <c r="E248" s="141">
        <f>SUMIFS(T[قیمت کل], T[کالا], B248, T[نوع عملیات], "خرید")</f>
        <v>1980000</v>
      </c>
      <c r="F248" s="141">
        <f>SUMIFS(T[تعداد], T[کالا], B248, T[نوع عملیات], "فروش") + SUMIFS(T[تعداد], T[کالا], B248, T[نوع عملیات], "استفاده خودم")</f>
        <v>0</v>
      </c>
      <c r="G248" s="141">
        <f>SUMIFS(T[قیمت کل], T[کالا], B248, T[نوع عملیات], "فروش")</f>
        <v>0</v>
      </c>
      <c r="H248" s="141">
        <f>Summary[[#This Row],[فروش]]*Summary[[#This Row],[قیمت تمام شده]]</f>
        <v>0</v>
      </c>
      <c r="I248" s="141">
        <f>Summary[[#This Row],[خرید]]-Summary[[#This Row],[فروش]]</f>
        <v>2</v>
      </c>
      <c r="J248" s="141">
        <f>Summary[[#This Row],[موجودی]]*Summary[[#This Row],[قیمت تمام شده]]</f>
        <v>1980000</v>
      </c>
      <c r="K248" s="152" t="str">
        <f>IF(B248="", "", _xlfn.XLOOKUP(B248, T[کالا], T[نحوه تسویه], ""))</f>
        <v>کارت هنگامه</v>
      </c>
      <c r="L248" s="152" t="str">
        <f>IF(B248="", "", _xlfn.XLOOKUP(B248, T[کالا], T[شماره فاکتور], ""))</f>
        <v>پ 403</v>
      </c>
      <c r="M248" s="152" t="str">
        <f>IF(B248="", "", _xlfn.XLOOKUP(Summary[[#This Row],[فاکتور]], T[شماره فاکتور], T[فروشنده / مشتری], "نامشخص"))</f>
        <v>بازار پارسیان</v>
      </c>
      <c r="N248" s="141">
        <f>Summary[[#This Row],[ارزش فروش]] - (Summary[[#This Row],[قیمت تمام شده]]*Summary[[#This Row],[فروش]])</f>
        <v>0</v>
      </c>
      <c r="O248" s="365" t="str">
        <f>IFERROR(Summary[[#This Row],[سود]]/Summary[[#This Row],[ارزش کالای فروخته شده]], "")</f>
        <v/>
      </c>
    </row>
    <row r="249" spans="2:15" x14ac:dyDescent="0.8">
      <c r="B249" s="191" t="str">
        <v>پیراهن بند ماکارون کوتاه</v>
      </c>
      <c r="C249" s="141">
        <f>SUMIFS(T[تعداد], T[کالا], B249, T[نوع عملیات], "خرید")</f>
        <v>4</v>
      </c>
      <c r="D249" s="141">
        <f t="shared" si="13"/>
        <v>388000</v>
      </c>
      <c r="E249" s="141">
        <f>SUMIFS(T[قیمت کل], T[کالا], B249, T[نوع عملیات], "خرید")</f>
        <v>1552000</v>
      </c>
      <c r="F249" s="141">
        <f>SUMIFS(T[تعداد], T[کالا], B249, T[نوع عملیات], "فروش") + SUMIFS(T[تعداد], T[کالا], B249, T[نوع عملیات], "استفاده خودم")</f>
        <v>3</v>
      </c>
      <c r="G249" s="141">
        <f>SUMIFS(T[قیمت کل], T[کالا], B249, T[نوع عملیات], "فروش")</f>
        <v>1850000</v>
      </c>
      <c r="H249" s="141">
        <f>Summary[[#This Row],[فروش]]*Summary[[#This Row],[قیمت تمام شده]]</f>
        <v>1164000</v>
      </c>
      <c r="I249" s="141">
        <f>Summary[[#This Row],[خرید]]-Summary[[#This Row],[فروش]]</f>
        <v>1</v>
      </c>
      <c r="J249" s="141">
        <f>Summary[[#This Row],[موجودی]]*Summary[[#This Row],[قیمت تمام شده]]</f>
        <v>388000</v>
      </c>
      <c r="K249" s="152" t="str">
        <f>IF(B249="", "", _xlfn.XLOOKUP(B249, T[کالا], T[نحوه تسویه], ""))</f>
        <v>کارت هنگامه</v>
      </c>
      <c r="L249" s="152" t="str">
        <f>IF(B249="", "", _xlfn.XLOOKUP(B249, T[کالا], T[شماره فاکتور], ""))</f>
        <v>ع 403</v>
      </c>
      <c r="M249" s="152" t="str">
        <f>IF(B249="", "", _xlfn.XLOOKUP(Summary[[#This Row],[فاکتور]], T[شماره فاکتور], T[فروشنده / مشتری], "نامشخص"))</f>
        <v>عبدل آباد</v>
      </c>
      <c r="N249" s="141">
        <f>Summary[[#This Row],[ارزش فروش]] - (Summary[[#This Row],[قیمت تمام شده]]*Summary[[#This Row],[فروش]])</f>
        <v>686000</v>
      </c>
      <c r="O249" s="365">
        <f>IFERROR(Summary[[#This Row],[سود]]/Summary[[#This Row],[ارزش کالای فروخته شده]], "")</f>
        <v>0.5893470790378007</v>
      </c>
    </row>
    <row r="250" spans="2:15" x14ac:dyDescent="0.8">
      <c r="B250" s="152" t="str">
        <v>تاپ ساده کبریتی</v>
      </c>
      <c r="C250" s="141">
        <f>SUMIFS(T[تعداد], T[کالا], B250, T[نوع عملیات], "خرید")</f>
        <v>8</v>
      </c>
      <c r="D250" s="141">
        <f t="shared" si="13"/>
        <v>168000</v>
      </c>
      <c r="E250" s="141">
        <f>SUMIFS(T[قیمت کل], T[کالا], B250, T[نوع عملیات], "خرید")</f>
        <v>1344000</v>
      </c>
      <c r="F250" s="141">
        <f>SUMIFS(T[تعداد], T[کالا], B250, T[نوع عملیات], "فروش") + SUMIFS(T[تعداد], T[کالا], B250, T[نوع عملیات], "استفاده خودم")</f>
        <v>12</v>
      </c>
      <c r="G250" s="141">
        <f>SUMIFS(T[قیمت کل], T[کالا], B250, T[نوع عملیات], "فروش")</f>
        <v>3400000</v>
      </c>
      <c r="H250" s="141">
        <f>Summary[[#This Row],[فروش]]*Summary[[#This Row],[قیمت تمام شده]]</f>
        <v>2016000</v>
      </c>
      <c r="I250" s="141">
        <f>Summary[[#This Row],[خرید]]-Summary[[#This Row],[فروش]]</f>
        <v>-4</v>
      </c>
      <c r="J250" s="141">
        <f>Summary[[#This Row],[موجودی]]*Summary[[#This Row],[قیمت تمام شده]]</f>
        <v>-672000</v>
      </c>
      <c r="K250" s="152" t="str">
        <f>IF(B250="", "", _xlfn.XLOOKUP(B250, T[کالا], T[نحوه تسویه], ""))</f>
        <v>کارت هنگامه</v>
      </c>
      <c r="L250" s="152" t="str">
        <f>IF(B250="", "", _xlfn.XLOOKUP(B250, T[کالا], T[شماره فاکتور], ""))</f>
        <v>ع 403</v>
      </c>
      <c r="M250" s="152" t="str">
        <f>IF(B250="", "", _xlfn.XLOOKUP(Summary[[#This Row],[فاکتور]], T[شماره فاکتور], T[فروشنده / مشتری], "نامشخص"))</f>
        <v>عبدل آباد</v>
      </c>
      <c r="N250" s="141">
        <f>Summary[[#This Row],[ارزش فروش]] - (Summary[[#This Row],[قیمت تمام شده]]*Summary[[#This Row],[فروش]])</f>
        <v>1384000</v>
      </c>
      <c r="O250" s="365">
        <f>IFERROR(Summary[[#This Row],[سود]]/Summary[[#This Row],[ارزش کالای فروخته شده]], "")</f>
        <v>0.68650793650793651</v>
      </c>
    </row>
    <row r="251" spans="2:15" x14ac:dyDescent="0.8">
      <c r="B251" s="191" t="str">
        <v>پیراهن یقه خشتی</v>
      </c>
      <c r="C251" s="141">
        <f>SUMIFS(T[تعداد], T[کالا], B251, T[نوع عملیات], "خرید")</f>
        <v>4</v>
      </c>
      <c r="D251" s="141">
        <f t="shared" si="13"/>
        <v>368000</v>
      </c>
      <c r="E251" s="141">
        <f>SUMIFS(T[قیمت کل], T[کالا], B251, T[نوع عملیات], "خرید")</f>
        <v>1472000</v>
      </c>
      <c r="F251" s="141">
        <f>SUMIFS(T[تعداد], T[کالا], B251, T[نوع عملیات], "فروش") + SUMIFS(T[تعداد], T[کالا], B251, T[نوع عملیات], "استفاده خودم")</f>
        <v>2</v>
      </c>
      <c r="G251" s="141">
        <f>SUMIFS(T[قیمت کل], T[کالا], B251, T[نوع عملیات], "فروش")</f>
        <v>1300000</v>
      </c>
      <c r="H251" s="141">
        <f>Summary[[#This Row],[فروش]]*Summary[[#This Row],[قیمت تمام شده]]</f>
        <v>736000</v>
      </c>
      <c r="I251" s="141">
        <f>Summary[[#This Row],[خرید]]-Summary[[#This Row],[فروش]]</f>
        <v>2</v>
      </c>
      <c r="J251" s="141">
        <f>Summary[[#This Row],[موجودی]]*Summary[[#This Row],[قیمت تمام شده]]</f>
        <v>736000</v>
      </c>
      <c r="K251" s="152" t="str">
        <f>IF(B251="", "", _xlfn.XLOOKUP(B251, T[کالا], T[نحوه تسویه], ""))</f>
        <v>کارت هنگامه</v>
      </c>
      <c r="L251" s="152" t="str">
        <f>IF(B251="", "", _xlfn.XLOOKUP(B251, T[کالا], T[شماره فاکتور], ""))</f>
        <v>ع 403</v>
      </c>
      <c r="M251" s="152" t="str">
        <f>IF(B251="", "", _xlfn.XLOOKUP(Summary[[#This Row],[فاکتور]], T[شماره فاکتور], T[فروشنده / مشتری], "نامشخص"))</f>
        <v>عبدل آباد</v>
      </c>
      <c r="N251" s="141">
        <f>Summary[[#This Row],[ارزش فروش]] - (Summary[[#This Row],[قیمت تمام شده]]*Summary[[#This Row],[فروش]])</f>
        <v>564000</v>
      </c>
      <c r="O251" s="365">
        <f>IFERROR(Summary[[#This Row],[سود]]/Summary[[#This Row],[ارزش کالای فروخته شده]], "")</f>
        <v>0.76630434782608692</v>
      </c>
    </row>
    <row r="252" spans="2:15" x14ac:dyDescent="0.8">
      <c r="B252" s="152" t="str">
        <v>کراپ یقه دلبری</v>
      </c>
      <c r="C252" s="141">
        <f>SUMIFS(T[تعداد], T[کالا], B252, T[نوع عملیات], "خرید")</f>
        <v>8</v>
      </c>
      <c r="D252" s="141">
        <f t="shared" si="13"/>
        <v>228000</v>
      </c>
      <c r="E252" s="141">
        <f>SUMIFS(T[قیمت کل], T[کالا], B252, T[نوع عملیات], "خرید")</f>
        <v>1824000</v>
      </c>
      <c r="F252" s="141">
        <f>SUMIFS(T[تعداد], T[کالا], B252, T[نوع عملیات], "فروش") + SUMIFS(T[تعداد], T[کالا], B252, T[نوع عملیات], "استفاده خودم")</f>
        <v>14</v>
      </c>
      <c r="G252" s="141">
        <f>SUMIFS(T[قیمت کل], T[کالا], B252, T[نوع عملیات], "فروش")</f>
        <v>5290000</v>
      </c>
      <c r="H252" s="141">
        <f>Summary[[#This Row],[فروش]]*Summary[[#This Row],[قیمت تمام شده]]</f>
        <v>3192000</v>
      </c>
      <c r="I252" s="141">
        <f>Summary[[#This Row],[خرید]]-Summary[[#This Row],[فروش]]</f>
        <v>-6</v>
      </c>
      <c r="J252" s="141">
        <f>Summary[[#This Row],[موجودی]]*Summary[[#This Row],[قیمت تمام شده]]</f>
        <v>-1368000</v>
      </c>
      <c r="K252" s="152" t="str">
        <f>IF(B252="", "", _xlfn.XLOOKUP(B252, T[کالا], T[نحوه تسویه], ""))</f>
        <v>کارت هنگامه</v>
      </c>
      <c r="L252" s="152" t="str">
        <f>IF(B252="", "", _xlfn.XLOOKUP(B252, T[کالا], T[شماره فاکتور], ""))</f>
        <v>ع 403</v>
      </c>
      <c r="M252" s="152" t="str">
        <f>IF(B252="", "", _xlfn.XLOOKUP(Summary[[#This Row],[فاکتور]], T[شماره فاکتور], T[فروشنده / مشتری], "نامشخص"))</f>
        <v>عبدل آباد</v>
      </c>
      <c r="N252" s="141">
        <f>Summary[[#This Row],[ارزش فروش]] - (Summary[[#This Row],[قیمت تمام شده]]*Summary[[#This Row],[فروش]])</f>
        <v>2098000</v>
      </c>
      <c r="O252" s="365">
        <f>IFERROR(Summary[[#This Row],[سود]]/Summary[[#This Row],[ارزش کالای فروخته شده]], "")</f>
        <v>0.65726817042606511</v>
      </c>
    </row>
    <row r="253" spans="2:15" x14ac:dyDescent="0.8">
      <c r="B253" s="191" t="str">
        <v>تاپ خشتی بلند</v>
      </c>
      <c r="C253" s="141">
        <f>SUMIFS(T[تعداد], T[کالا], B253, T[نوع عملیات], "خرید")</f>
        <v>16</v>
      </c>
      <c r="D253" s="141">
        <f t="shared" si="13"/>
        <v>198000</v>
      </c>
      <c r="E253" s="141">
        <f>SUMIFS(T[قیمت کل], T[کالا], B253, T[نوع عملیات], "خرید")</f>
        <v>3168000</v>
      </c>
      <c r="F253" s="141">
        <f>SUMIFS(T[تعداد], T[کالا], B253, T[نوع عملیات], "فروش") + SUMIFS(T[تعداد], T[کالا], B253, T[نوع عملیات], "استفاده خودم")</f>
        <v>14</v>
      </c>
      <c r="G253" s="141">
        <f>SUMIFS(T[قیمت کل], T[کالا], B253, T[نوع عملیات], "فروش")</f>
        <v>4070000</v>
      </c>
      <c r="H253" s="141">
        <f>Summary[[#This Row],[فروش]]*Summary[[#This Row],[قیمت تمام شده]]</f>
        <v>2772000</v>
      </c>
      <c r="I253" s="141">
        <f>Summary[[#This Row],[خرید]]-Summary[[#This Row],[فروش]]</f>
        <v>2</v>
      </c>
      <c r="J253" s="141">
        <f>Summary[[#This Row],[موجودی]]*Summary[[#This Row],[قیمت تمام شده]]</f>
        <v>396000</v>
      </c>
      <c r="K253" s="152" t="str">
        <f>IF(B253="", "", _xlfn.XLOOKUP(B253, T[کالا], T[نحوه تسویه], ""))</f>
        <v>کارت هنگامه</v>
      </c>
      <c r="L253" s="152" t="str">
        <f>IF(B253="", "", _xlfn.XLOOKUP(B253, T[کالا], T[شماره فاکتور], ""))</f>
        <v>ع 403</v>
      </c>
      <c r="M253" s="152" t="str">
        <f>IF(B253="", "", _xlfn.XLOOKUP(Summary[[#This Row],[فاکتور]], T[شماره فاکتور], T[فروشنده / مشتری], "نامشخص"))</f>
        <v>عبدل آباد</v>
      </c>
      <c r="N253" s="141">
        <f>Summary[[#This Row],[ارزش فروش]] - (Summary[[#This Row],[قیمت تمام شده]]*Summary[[#This Row],[فروش]])</f>
        <v>1298000</v>
      </c>
      <c r="O253" s="365">
        <f>IFERROR(Summary[[#This Row],[سود]]/Summary[[#This Row],[ارزش کالای فروخته شده]], "")</f>
        <v>0.46825396825396826</v>
      </c>
    </row>
    <row r="254" spans="2:15" x14ac:dyDescent="0.8">
      <c r="B254" s="152" t="str">
        <v>تیشرت لویی</v>
      </c>
      <c r="C254" s="141">
        <f>SUMIFS(T[تعداد], T[کالا], B254, T[نوع عملیات], "خرید")</f>
        <v>8</v>
      </c>
      <c r="D254" s="141">
        <f t="shared" si="13"/>
        <v>228000</v>
      </c>
      <c r="E254" s="141">
        <f>SUMIFS(T[قیمت کل], T[کالا], B254, T[نوع عملیات], "خرید")</f>
        <v>1824000</v>
      </c>
      <c r="F254" s="141">
        <f>SUMIFS(T[تعداد], T[کالا], B254, T[نوع عملیات], "فروش") + SUMIFS(T[تعداد], T[کالا], B254, T[نوع عملیات], "استفاده خودم")</f>
        <v>6</v>
      </c>
      <c r="G254" s="141">
        <f>SUMIFS(T[قیمت کل], T[کالا], B254, T[نوع عملیات], "فروش")</f>
        <v>2900000</v>
      </c>
      <c r="H254" s="141">
        <f>Summary[[#This Row],[فروش]]*Summary[[#This Row],[قیمت تمام شده]]</f>
        <v>1368000</v>
      </c>
      <c r="I254" s="141">
        <f>Summary[[#This Row],[خرید]]-Summary[[#This Row],[فروش]]</f>
        <v>2</v>
      </c>
      <c r="J254" s="141">
        <f>Summary[[#This Row],[موجودی]]*Summary[[#This Row],[قیمت تمام شده]]</f>
        <v>456000</v>
      </c>
      <c r="K254" s="152" t="str">
        <f>IF(B254="", "", _xlfn.XLOOKUP(B254, T[کالا], T[نحوه تسویه], ""))</f>
        <v>کارت هنگامه</v>
      </c>
      <c r="L254" s="152" t="str">
        <f>IF(B254="", "", _xlfn.XLOOKUP(B254, T[کالا], T[شماره فاکتور], ""))</f>
        <v>ع 403</v>
      </c>
      <c r="M254" s="152" t="str">
        <f>IF(B254="", "", _xlfn.XLOOKUP(Summary[[#This Row],[فاکتور]], T[شماره فاکتور], T[فروشنده / مشتری], "نامشخص"))</f>
        <v>عبدل آباد</v>
      </c>
      <c r="N254" s="141">
        <f>Summary[[#This Row],[ارزش فروش]] - (Summary[[#This Row],[قیمت تمام شده]]*Summary[[#This Row],[فروش]])</f>
        <v>1532000</v>
      </c>
      <c r="O254" s="365">
        <f>IFERROR(Summary[[#This Row],[سود]]/Summary[[#This Row],[ارزش کالای فروخته شده]], "")</f>
        <v>1.1198830409356726</v>
      </c>
    </row>
    <row r="255" spans="2:15" x14ac:dyDescent="0.8">
      <c r="B255" s="191" t="str">
        <v>تاپ دکلته</v>
      </c>
      <c r="C255" s="141">
        <f>SUMIFS(T[تعداد], T[کالا], B255, T[نوع عملیات], "خرید")</f>
        <v>8</v>
      </c>
      <c r="D255" s="141">
        <f t="shared" si="13"/>
        <v>118000</v>
      </c>
      <c r="E255" s="141">
        <f>SUMIFS(T[قیمت کل], T[کالا], B255, T[نوع عملیات], "خرید")</f>
        <v>944000</v>
      </c>
      <c r="F255" s="141">
        <f>SUMIFS(T[تعداد], T[کالا], B255, T[نوع عملیات], "فروش") + SUMIFS(T[تعداد], T[کالا], B255, T[نوع عملیات], "استفاده خودم")</f>
        <v>11</v>
      </c>
      <c r="G255" s="141">
        <f>SUMIFS(T[قیمت کل], T[کالا], B255, T[نوع عملیات], "فروش")</f>
        <v>2800000</v>
      </c>
      <c r="H255" s="141">
        <f>Summary[[#This Row],[فروش]]*Summary[[#This Row],[قیمت تمام شده]]</f>
        <v>1298000</v>
      </c>
      <c r="I255" s="141">
        <f>Summary[[#This Row],[خرید]]-Summary[[#This Row],[فروش]]</f>
        <v>-3</v>
      </c>
      <c r="J255" s="141">
        <f>Summary[[#This Row],[موجودی]]*Summary[[#This Row],[قیمت تمام شده]]</f>
        <v>-354000</v>
      </c>
      <c r="K255" s="152" t="str">
        <f>IF(B255="", "", _xlfn.XLOOKUP(B255, T[کالا], T[نحوه تسویه], ""))</f>
        <v>کارت هنگامه</v>
      </c>
      <c r="L255" s="152" t="str">
        <f>IF(B255="", "", _xlfn.XLOOKUP(B255, T[کالا], T[شماره فاکتور], ""))</f>
        <v>ع 403</v>
      </c>
      <c r="M255" s="152" t="str">
        <f>IF(B255="", "", _xlfn.XLOOKUP(Summary[[#This Row],[فاکتور]], T[شماره فاکتور], T[فروشنده / مشتری], "نامشخص"))</f>
        <v>عبدل آباد</v>
      </c>
      <c r="N255" s="141">
        <f>Summary[[#This Row],[ارزش فروش]] - (Summary[[#This Row],[قیمت تمام شده]]*Summary[[#This Row],[فروش]])</f>
        <v>1502000</v>
      </c>
      <c r="O255" s="365">
        <f>IFERROR(Summary[[#This Row],[سود]]/Summary[[#This Row],[ارزش کالای فروخته شده]], "")</f>
        <v>1.1571648690292757</v>
      </c>
    </row>
    <row r="256" spans="2:15" x14ac:dyDescent="0.8">
      <c r="B256" s="152" t="str">
        <v>شال ایرانی هستی</v>
      </c>
      <c r="C256" s="141">
        <f>SUMIFS(T[تعداد], T[کالا], B256, T[نوع عملیات], "خرید")</f>
        <v>9</v>
      </c>
      <c r="D256" s="141">
        <f t="shared" si="13"/>
        <v>350000</v>
      </c>
      <c r="E256" s="141">
        <f>SUMIFS(T[قیمت کل], T[کالا], B256, T[نوع عملیات], "خرید")</f>
        <v>3150000</v>
      </c>
      <c r="F256" s="141">
        <f>SUMIFS(T[تعداد], T[کالا], B256, T[نوع عملیات], "فروش") + SUMIFS(T[تعداد], T[کالا], B256, T[نوع عملیات], "استفاده خودم")</f>
        <v>5</v>
      </c>
      <c r="G256" s="141">
        <f>SUMIFS(T[قیمت کل], T[کالا], B256, T[نوع عملیات], "فروش")</f>
        <v>1700000</v>
      </c>
      <c r="H256" s="141">
        <f>Summary[[#This Row],[فروش]]*Summary[[#This Row],[قیمت تمام شده]]</f>
        <v>1750000</v>
      </c>
      <c r="I256" s="141">
        <f>Summary[[#This Row],[خرید]]-Summary[[#This Row],[فروش]]</f>
        <v>4</v>
      </c>
      <c r="J256" s="141">
        <f>Summary[[#This Row],[موجودی]]*Summary[[#This Row],[قیمت تمام شده]]</f>
        <v>1400000</v>
      </c>
      <c r="K256" s="152" t="str">
        <f>IF(B256="", "", _xlfn.XLOOKUP(B256, T[کالا], T[نحوه تسویه], ""))</f>
        <v>اعتباری</v>
      </c>
      <c r="L256" s="152" t="str">
        <f>IF(B256="", "", _xlfn.XLOOKUP(B256, T[کالا], T[شماره فاکتور], ""))</f>
        <v>ه 403</v>
      </c>
      <c r="M256" s="152" t="str">
        <f>IF(B256="", "", _xlfn.XLOOKUP(Summary[[#This Row],[فاکتور]], T[شماره فاکتور], T[فروشنده / مشتری], "نامشخص"))</f>
        <v>هستی هنگامه</v>
      </c>
      <c r="N256" s="141">
        <f>Summary[[#This Row],[ارزش فروش]] - (Summary[[#This Row],[قیمت تمام شده]]*Summary[[#This Row],[فروش]])</f>
        <v>-50000</v>
      </c>
      <c r="O256" s="365">
        <f>IFERROR(Summary[[#This Row],[سود]]/Summary[[#This Row],[ارزش کالای فروخته شده]], "")</f>
        <v>-2.8571428571428571E-2</v>
      </c>
    </row>
    <row r="257" spans="2:15" x14ac:dyDescent="0.8">
      <c r="B257" s="191" t="str">
        <v>شال وارداتی هستی</v>
      </c>
      <c r="C257" s="141">
        <f>SUMIFS(T[تعداد], T[کالا], B257, T[نوع عملیات], "خرید")</f>
        <v>12</v>
      </c>
      <c r="D257" s="141">
        <f t="shared" si="13"/>
        <v>650000</v>
      </c>
      <c r="E257" s="141">
        <f>SUMIFS(T[قیمت کل], T[کالا], B257, T[نوع عملیات], "خرید")</f>
        <v>7800000</v>
      </c>
      <c r="F257" s="141">
        <f>SUMIFS(T[تعداد], T[کالا], B257, T[نوع عملیات], "فروش") + SUMIFS(T[تعداد], T[کالا], B257, T[نوع عملیات], "استفاده خودم")</f>
        <v>3</v>
      </c>
      <c r="G257" s="141">
        <f>SUMIFS(T[قیمت کل], T[کالا], B257, T[نوع عملیات], "فروش")</f>
        <v>1750000</v>
      </c>
      <c r="H257" s="141">
        <f>Summary[[#This Row],[فروش]]*Summary[[#This Row],[قیمت تمام شده]]</f>
        <v>1950000</v>
      </c>
      <c r="I257" s="141">
        <f>Summary[[#This Row],[خرید]]-Summary[[#This Row],[فروش]]</f>
        <v>9</v>
      </c>
      <c r="J257" s="141">
        <f>Summary[[#This Row],[موجودی]]*Summary[[#This Row],[قیمت تمام شده]]</f>
        <v>5850000</v>
      </c>
      <c r="K257" s="152" t="str">
        <f>IF(B257="", "", _xlfn.XLOOKUP(B257, T[کالا], T[نحوه تسویه], ""))</f>
        <v>اعتباری</v>
      </c>
      <c r="L257" s="152" t="str">
        <f>IF(B257="", "", _xlfn.XLOOKUP(B257, T[کالا], T[شماره فاکتور], ""))</f>
        <v>ه 403</v>
      </c>
      <c r="M257" s="152" t="str">
        <f>IF(B257="", "", _xlfn.XLOOKUP(Summary[[#This Row],[فاکتور]], T[شماره فاکتور], T[فروشنده / مشتری], "نامشخص"))</f>
        <v>هستی هنگامه</v>
      </c>
      <c r="N257" s="141">
        <f>Summary[[#This Row],[ارزش فروش]] - (Summary[[#This Row],[قیمت تمام شده]]*Summary[[#This Row],[فروش]])</f>
        <v>-200000</v>
      </c>
      <c r="O257" s="365">
        <f>IFERROR(Summary[[#This Row],[سود]]/Summary[[#This Row],[ارزش کالای فروخته شده]], "")</f>
        <v>-0.10256410256410256</v>
      </c>
    </row>
    <row r="258" spans="2:15" x14ac:dyDescent="0.8">
      <c r="B258" s="152" t="str">
        <v>لباس خواب نگین دار</v>
      </c>
      <c r="C258" s="141">
        <f>SUMIFS(T[تعداد], T[کالا], B258, T[نوع عملیات], "خرید")</f>
        <v>2</v>
      </c>
      <c r="D258" s="141">
        <f t="shared" si="13"/>
        <v>250000</v>
      </c>
      <c r="E258" s="141">
        <f>SUMIFS(T[قیمت کل], T[کالا], B258, T[نوع عملیات], "خرید")</f>
        <v>500000</v>
      </c>
      <c r="F258" s="141">
        <f>SUMIFS(T[تعداد], T[کالا], B258, T[نوع عملیات], "فروش") + SUMIFS(T[تعداد], T[کالا], B258, T[نوع عملیات], "استفاده خودم")</f>
        <v>0</v>
      </c>
      <c r="G258" s="141">
        <f>SUMIFS(T[قیمت کل], T[کالا], B258, T[نوع عملیات], "فروش")</f>
        <v>0</v>
      </c>
      <c r="H258" s="141">
        <f>Summary[[#This Row],[فروش]]*Summary[[#This Row],[قیمت تمام شده]]</f>
        <v>0</v>
      </c>
      <c r="I258" s="141">
        <f>Summary[[#This Row],[خرید]]-Summary[[#This Row],[فروش]]</f>
        <v>2</v>
      </c>
      <c r="J258" s="141">
        <f>Summary[[#This Row],[موجودی]]*Summary[[#This Row],[قیمت تمام شده]]</f>
        <v>500000</v>
      </c>
      <c r="K258" s="152">
        <f>IF(B258="", "", _xlfn.XLOOKUP(B258, T[کالا], T[نحوه تسویه], ""))</f>
        <v>0</v>
      </c>
      <c r="L258" s="152" t="str">
        <f>IF(B258="", "", _xlfn.XLOOKUP(B258, T[کالا], T[شماره فاکتور], ""))</f>
        <v>رونیا 403</v>
      </c>
      <c r="M258" s="152" t="str">
        <f>IF(B258="", "", _xlfn.XLOOKUP(Summary[[#This Row],[فاکتور]], T[شماره فاکتور], T[فروشنده / مشتری], "نامشخص"))</f>
        <v>تولیدی رونیا</v>
      </c>
      <c r="N258" s="141">
        <f>Summary[[#This Row],[ارزش فروش]] - (Summary[[#This Row],[قیمت تمام شده]]*Summary[[#This Row],[فروش]])</f>
        <v>0</v>
      </c>
      <c r="O258" s="365" t="str">
        <f>IFERROR(Summary[[#This Row],[سود]]/Summary[[#This Row],[ارزش کالای فروخته شده]], "")</f>
        <v/>
      </c>
    </row>
    <row r="259" spans="2:15" x14ac:dyDescent="0.8">
      <c r="B259" s="191" t="str">
        <v>مایو یه تیکه</v>
      </c>
      <c r="C259" s="141">
        <f>SUMIFS(T[تعداد], T[کالا], B259, T[نوع عملیات], "خرید")</f>
        <v>1</v>
      </c>
      <c r="D259" s="141">
        <f t="shared" si="13"/>
        <v>650000</v>
      </c>
      <c r="E259" s="141">
        <f>SUMIFS(T[قیمت کل], T[کالا], B259, T[نوع عملیات], "خرید")</f>
        <v>650000</v>
      </c>
      <c r="F259" s="141">
        <f>SUMIFS(T[تعداد], T[کالا], B259, T[نوع عملیات], "فروش") + SUMIFS(T[تعداد], T[کالا], B259, T[نوع عملیات], "استفاده خودم")</f>
        <v>1</v>
      </c>
      <c r="G259" s="141">
        <f>SUMIFS(T[قیمت کل], T[کالا], B259, T[نوع عملیات], "فروش")</f>
        <v>650000</v>
      </c>
      <c r="H259" s="141">
        <f>Summary[[#This Row],[فروش]]*Summary[[#This Row],[قیمت تمام شده]]</f>
        <v>650000</v>
      </c>
      <c r="I259" s="141">
        <f>Summary[[#This Row],[خرید]]-Summary[[#This Row],[فروش]]</f>
        <v>0</v>
      </c>
      <c r="J259" s="141">
        <f>Summary[[#This Row],[موجودی]]*Summary[[#This Row],[قیمت تمام شده]]</f>
        <v>0</v>
      </c>
      <c r="K259" s="152">
        <f>IF(B259="", "", _xlfn.XLOOKUP(B259, T[کالا], T[نحوه تسویه], ""))</f>
        <v>0</v>
      </c>
      <c r="L259" s="152">
        <f>IF(B259="", "", _xlfn.XLOOKUP(B259, T[کالا], T[شماره فاکتور], ""))</f>
        <v>0</v>
      </c>
      <c r="M259" s="152" t="str">
        <f>IF(B259="", "", _xlfn.XLOOKUP(Summary[[#This Row],[فاکتور]], T[شماره فاکتور], T[فروشنده / مشتری], "نامشخص"))</f>
        <v>نامشخص</v>
      </c>
      <c r="N259" s="141">
        <f>Summary[[#This Row],[ارزش فروش]] - (Summary[[#This Row],[قیمت تمام شده]]*Summary[[#This Row],[فروش]])</f>
        <v>0</v>
      </c>
      <c r="O259" s="365">
        <f>IFERROR(Summary[[#This Row],[سود]]/Summary[[#This Row],[ارزش کالای فروخته شده]], "")</f>
        <v>0</v>
      </c>
    </row>
    <row r="260" spans="2:15" x14ac:dyDescent="0.8">
      <c r="B260" s="152" t="str">
        <v>شورت فانتزی</v>
      </c>
      <c r="C260" s="141">
        <f>SUMIFS(T[تعداد], T[کالا], B260, T[نوع عملیات], "خرید")</f>
        <v>2</v>
      </c>
      <c r="D260" s="141">
        <f t="shared" si="13"/>
        <v>250000</v>
      </c>
      <c r="E260" s="141">
        <f>SUMIFS(T[قیمت کل], T[کالا], B260, T[نوع عملیات], "خرید")</f>
        <v>500000</v>
      </c>
      <c r="F260" s="141">
        <f>SUMIFS(T[تعداد], T[کالا], B260, T[نوع عملیات], "فروش") + SUMIFS(T[تعداد], T[کالا], B260, T[نوع عملیات], "استفاده خودم")</f>
        <v>2</v>
      </c>
      <c r="G260" s="141">
        <f>SUMIFS(T[قیمت کل], T[کالا], B260, T[نوع عملیات], "فروش")</f>
        <v>500000</v>
      </c>
      <c r="H260" s="141">
        <f>Summary[[#This Row],[فروش]]*Summary[[#This Row],[قیمت تمام شده]]</f>
        <v>500000</v>
      </c>
      <c r="I260" s="141">
        <f>Summary[[#This Row],[خرید]]-Summary[[#This Row],[فروش]]</f>
        <v>0</v>
      </c>
      <c r="J260" s="141">
        <f>Summary[[#This Row],[موجودی]]*Summary[[#This Row],[قیمت تمام شده]]</f>
        <v>0</v>
      </c>
      <c r="K260" s="152">
        <f>IF(B260="", "", _xlfn.XLOOKUP(B260, T[کالا], T[نحوه تسویه], ""))</f>
        <v>0</v>
      </c>
      <c r="L260" s="152">
        <f>IF(B260="", "", _xlfn.XLOOKUP(B260, T[کالا], T[شماره فاکتور], ""))</f>
        <v>0</v>
      </c>
      <c r="M260" s="152" t="str">
        <f>IF(B260="", "", _xlfn.XLOOKUP(Summary[[#This Row],[فاکتور]], T[شماره فاکتور], T[فروشنده / مشتری], "نامشخص"))</f>
        <v>نامشخص</v>
      </c>
      <c r="N260" s="141">
        <f>Summary[[#This Row],[ارزش فروش]] - (Summary[[#This Row],[قیمت تمام شده]]*Summary[[#This Row],[فروش]])</f>
        <v>0</v>
      </c>
      <c r="O260" s="365">
        <f>IFERROR(Summary[[#This Row],[سود]]/Summary[[#This Row],[ارزش کالای فروخته شده]], "")</f>
        <v>0</v>
      </c>
    </row>
    <row r="261" spans="2:15" x14ac:dyDescent="0.8">
      <c r="B261" s="191" t="str">
        <v>پیراهن کوتاه عبدو</v>
      </c>
      <c r="C261" s="141">
        <f>SUMIFS(T[تعداد], T[کالا], B261, T[نوع عملیات], "خرید")</f>
        <v>2</v>
      </c>
      <c r="D261" s="141">
        <f t="shared" si="13"/>
        <v>300000</v>
      </c>
      <c r="E261" s="141">
        <f>SUMIFS(T[قیمت کل], T[کالا], B261, T[نوع عملیات], "خرید")</f>
        <v>600000</v>
      </c>
      <c r="F261" s="141">
        <f>SUMIFS(T[تعداد], T[کالا], B261, T[نوع عملیات], "فروش") + SUMIFS(T[تعداد], T[کالا], B261, T[نوع عملیات], "استفاده خودم")</f>
        <v>2</v>
      </c>
      <c r="G261" s="141">
        <f>SUMIFS(T[قیمت کل], T[کالا], B261, T[نوع عملیات], "فروش")</f>
        <v>1200000</v>
      </c>
      <c r="H261" s="141">
        <f>Summary[[#This Row],[فروش]]*Summary[[#This Row],[قیمت تمام شده]]</f>
        <v>600000</v>
      </c>
      <c r="I261" s="141">
        <f>Summary[[#This Row],[خرید]]-Summary[[#This Row],[فروش]]</f>
        <v>0</v>
      </c>
      <c r="J261" s="141">
        <f>Summary[[#This Row],[موجودی]]*Summary[[#This Row],[قیمت تمام شده]]</f>
        <v>0</v>
      </c>
      <c r="K261" s="152" t="str">
        <f>IF(B261="", "", _xlfn.XLOOKUP(B261, T[کالا], T[نحوه تسویه], ""))</f>
        <v>حساب 5802</v>
      </c>
      <c r="L261" s="152" t="str">
        <f>IF(B261="", "", _xlfn.XLOOKUP(B261, T[کالا], T[شماره فاکتور], ""))</f>
        <v>ع 403</v>
      </c>
      <c r="M261" s="152" t="str">
        <f>IF(B261="", "", _xlfn.XLOOKUP(Summary[[#This Row],[فاکتور]], T[شماره فاکتور], T[فروشنده / مشتری], "نامشخص"))</f>
        <v>عبدل آباد</v>
      </c>
      <c r="N261" s="141">
        <f>Summary[[#This Row],[ارزش فروش]] - (Summary[[#This Row],[قیمت تمام شده]]*Summary[[#This Row],[فروش]])</f>
        <v>600000</v>
      </c>
      <c r="O261" s="365">
        <f>IFERROR(Summary[[#This Row],[سود]]/Summary[[#This Row],[ارزش کالای فروخته شده]], "")</f>
        <v>1</v>
      </c>
    </row>
    <row r="262" spans="2:15" x14ac:dyDescent="0.8">
      <c r="B262" s="152" t="str">
        <v>کراپ کوتاه عبدو</v>
      </c>
      <c r="C262" s="141">
        <f>SUMIFS(T[تعداد], T[کالا], B262, T[نوع عملیات], "خرید")</f>
        <v>4</v>
      </c>
      <c r="D262" s="141">
        <f t="shared" si="13"/>
        <v>320000</v>
      </c>
      <c r="E262" s="141">
        <f>SUMIFS(T[قیمت کل], T[کالا], B262, T[نوع عملیات], "خرید")</f>
        <v>1280000</v>
      </c>
      <c r="F262" s="141">
        <f>SUMIFS(T[تعداد], T[کالا], B262, T[نوع عملیات], "فروش") + SUMIFS(T[تعداد], T[کالا], B262, T[نوع عملیات], "استفاده خودم")</f>
        <v>2</v>
      </c>
      <c r="G262" s="141">
        <f>SUMIFS(T[قیمت کل], T[کالا], B262, T[نوع عملیات], "فروش")</f>
        <v>1000000</v>
      </c>
      <c r="H262" s="141">
        <f>Summary[[#This Row],[فروش]]*Summary[[#This Row],[قیمت تمام شده]]</f>
        <v>640000</v>
      </c>
      <c r="I262" s="141">
        <f>Summary[[#This Row],[خرید]]-Summary[[#This Row],[فروش]]</f>
        <v>2</v>
      </c>
      <c r="J262" s="141">
        <f>Summary[[#This Row],[موجودی]]*Summary[[#This Row],[قیمت تمام شده]]</f>
        <v>640000</v>
      </c>
      <c r="K262" s="152" t="str">
        <f>IF(B262="", "", _xlfn.XLOOKUP(B262, T[کالا], T[نحوه تسویه], ""))</f>
        <v>حساب 5802</v>
      </c>
      <c r="L262" s="152" t="str">
        <f>IF(B262="", "", _xlfn.XLOOKUP(B262, T[کالا], T[شماره فاکتور], ""))</f>
        <v>ع 403</v>
      </c>
      <c r="M262" s="152" t="str">
        <f>IF(B262="", "", _xlfn.XLOOKUP(Summary[[#This Row],[فاکتور]], T[شماره فاکتور], T[فروشنده / مشتری], "نامشخص"))</f>
        <v>عبدل آباد</v>
      </c>
      <c r="N262" s="141">
        <f>Summary[[#This Row],[ارزش فروش]] - (Summary[[#This Row],[قیمت تمام شده]]*Summary[[#This Row],[فروش]])</f>
        <v>360000</v>
      </c>
      <c r="O262" s="365">
        <f>IFERROR(Summary[[#This Row],[سود]]/Summary[[#This Row],[ارزش کالای فروخته شده]], "")</f>
        <v>0.5625</v>
      </c>
    </row>
    <row r="263" spans="2:15" x14ac:dyDescent="0.8">
      <c r="B263" s="191" t="str">
        <v>ست چوبی Bisu</v>
      </c>
      <c r="C263" s="141">
        <f>SUMIFS(T[تعداد], T[کالا], B263, T[نوع عملیات], "خرید")</f>
        <v>2</v>
      </c>
      <c r="D263" s="141">
        <f t="shared" si="13"/>
        <v>1650000</v>
      </c>
      <c r="E263" s="141">
        <f>SUMIFS(T[قیمت کل], T[کالا], B263, T[نوع عملیات], "خرید")</f>
        <v>3300000</v>
      </c>
      <c r="F263" s="141">
        <f>SUMIFS(T[تعداد], T[کالا], B263, T[نوع عملیات], "فروش") + SUMIFS(T[تعداد], T[کالا], B263, T[نوع عملیات], "استفاده خودم")</f>
        <v>0</v>
      </c>
      <c r="G263" s="141">
        <f>SUMIFS(T[قیمت کل], T[کالا], B263, T[نوع عملیات], "فروش")</f>
        <v>0</v>
      </c>
      <c r="H263" s="141">
        <f>Summary[[#This Row],[فروش]]*Summary[[#This Row],[قیمت تمام شده]]</f>
        <v>0</v>
      </c>
      <c r="I263" s="141">
        <f>Summary[[#This Row],[خرید]]-Summary[[#This Row],[فروش]]</f>
        <v>2</v>
      </c>
      <c r="J263" s="141">
        <f>Summary[[#This Row],[موجودی]]*Summary[[#This Row],[قیمت تمام شده]]</f>
        <v>3300000</v>
      </c>
      <c r="K263" s="152">
        <f>IF(B263="", "", _xlfn.XLOOKUP(B263, T[کالا], T[نحوه تسویه], ""))</f>
        <v>0</v>
      </c>
      <c r="L263" s="152" t="str">
        <f>IF(B263="", "", _xlfn.XLOOKUP(B263, T[کالا], T[شماره فاکتور], ""))</f>
        <v>ع 403</v>
      </c>
      <c r="M263" s="152" t="str">
        <f>IF(B263="", "", _xlfn.XLOOKUP(Summary[[#This Row],[فاکتور]], T[شماره فاکتور], T[فروشنده / مشتری], "نامشخص"))</f>
        <v>عبدل آباد</v>
      </c>
      <c r="N263" s="141">
        <f>Summary[[#This Row],[ارزش فروش]] - (Summary[[#This Row],[قیمت تمام شده]]*Summary[[#This Row],[فروش]])</f>
        <v>0</v>
      </c>
      <c r="O263" s="365" t="str">
        <f>IFERROR(Summary[[#This Row],[سود]]/Summary[[#This Row],[ارزش کالای فروخته شده]], "")</f>
        <v/>
      </c>
    </row>
    <row r="264" spans="2:15" x14ac:dyDescent="0.8">
      <c r="B264" s="152" t="str">
        <v>شلوار کمر کنفی</v>
      </c>
      <c r="C264" s="141">
        <f>SUMIFS(T[تعداد], T[کالا], B264, T[نوع عملیات], "خرید")</f>
        <v>2</v>
      </c>
      <c r="D264" s="141">
        <f t="shared" si="13"/>
        <v>1350000</v>
      </c>
      <c r="E264" s="141">
        <f>SUMIFS(T[قیمت کل], T[کالا], B264, T[نوع عملیات], "خرید")</f>
        <v>2700000</v>
      </c>
      <c r="F264" s="141">
        <f>SUMIFS(T[تعداد], T[کالا], B264, T[نوع عملیات], "فروش") + SUMIFS(T[تعداد], T[کالا], B264, T[نوع عملیات], "استفاده خودم")</f>
        <v>5</v>
      </c>
      <c r="G264" s="141">
        <f>SUMIFS(T[قیمت کل], T[کالا], B264, T[نوع عملیات], "فروش")</f>
        <v>10250000</v>
      </c>
      <c r="H264" s="141">
        <f>Summary[[#This Row],[فروش]]*Summary[[#This Row],[قیمت تمام شده]]</f>
        <v>6750000</v>
      </c>
      <c r="I264" s="141">
        <f>Summary[[#This Row],[خرید]]-Summary[[#This Row],[فروش]]</f>
        <v>-3</v>
      </c>
      <c r="J264" s="141">
        <f>Summary[[#This Row],[موجودی]]*Summary[[#This Row],[قیمت تمام شده]]</f>
        <v>-4050000</v>
      </c>
      <c r="K264" s="152">
        <f>IF(B264="", "", _xlfn.XLOOKUP(B264, T[کالا], T[نحوه تسویه], ""))</f>
        <v>0</v>
      </c>
      <c r="L264" s="152" t="str">
        <f>IF(B264="", "", _xlfn.XLOOKUP(B264, T[کالا], T[شماره فاکتور], ""))</f>
        <v>ع 403</v>
      </c>
      <c r="M264" s="152" t="str">
        <f>IF(B264="", "", _xlfn.XLOOKUP(Summary[[#This Row],[فاکتور]], T[شماره فاکتور], T[فروشنده / مشتری], "نامشخص"))</f>
        <v>عبدل آباد</v>
      </c>
      <c r="N264" s="141">
        <f>Summary[[#This Row],[ارزش فروش]] - (Summary[[#This Row],[قیمت تمام شده]]*Summary[[#This Row],[فروش]])</f>
        <v>3500000</v>
      </c>
      <c r="O264" s="365">
        <f>IFERROR(Summary[[#This Row],[سود]]/Summary[[#This Row],[ارزش کالای فروخته شده]], "")</f>
        <v>0.51851851851851849</v>
      </c>
    </row>
    <row r="265" spans="2:15" x14ac:dyDescent="0.8">
      <c r="B265" s="191" t="str">
        <v>شلوار سرخ پوستی</v>
      </c>
      <c r="C265" s="141">
        <f>SUMIFS(T[تعداد], T[کالا], B265, T[نوع عملیات], "خرید")</f>
        <v>3</v>
      </c>
      <c r="D265" s="141">
        <f t="shared" si="13"/>
        <v>1550000</v>
      </c>
      <c r="E265" s="141">
        <f>SUMIFS(T[قیمت کل], T[کالا], B265, T[نوع عملیات], "خرید")</f>
        <v>4650000</v>
      </c>
      <c r="F265" s="141">
        <f>SUMIFS(T[تعداد], T[کالا], B265, T[نوع عملیات], "فروش") + SUMIFS(T[تعداد], T[کالا], B265, T[نوع عملیات], "استفاده خودم")</f>
        <v>3</v>
      </c>
      <c r="G265" s="141">
        <f>SUMIFS(T[قیمت کل], T[کالا], B265, T[نوع عملیات], "فروش")</f>
        <v>4400000</v>
      </c>
      <c r="H265" s="141">
        <f>Summary[[#This Row],[فروش]]*Summary[[#This Row],[قیمت تمام شده]]</f>
        <v>4650000</v>
      </c>
      <c r="I265" s="141">
        <f>Summary[[#This Row],[خرید]]-Summary[[#This Row],[فروش]]</f>
        <v>0</v>
      </c>
      <c r="J265" s="141">
        <f>Summary[[#This Row],[موجودی]]*Summary[[#This Row],[قیمت تمام شده]]</f>
        <v>0</v>
      </c>
      <c r="K265" s="152">
        <f>IF(B265="", "", _xlfn.XLOOKUP(B265, T[کالا], T[نحوه تسویه], ""))</f>
        <v>0</v>
      </c>
      <c r="L265" s="152" t="str">
        <f>IF(B265="", "", _xlfn.XLOOKUP(B265, T[کالا], T[شماره فاکتور], ""))</f>
        <v>ع 403</v>
      </c>
      <c r="M265" s="152" t="str">
        <f>IF(B265="", "", _xlfn.XLOOKUP(Summary[[#This Row],[فاکتور]], T[شماره فاکتور], T[فروشنده / مشتری], "نامشخص"))</f>
        <v>عبدل آباد</v>
      </c>
      <c r="N265" s="141">
        <f>Summary[[#This Row],[ارزش فروش]] - (Summary[[#This Row],[قیمت تمام شده]]*Summary[[#This Row],[فروش]])</f>
        <v>-250000</v>
      </c>
      <c r="O265" s="365">
        <f>IFERROR(Summary[[#This Row],[سود]]/Summary[[#This Row],[ارزش کالای فروخته شده]], "")</f>
        <v>-5.3763440860215055E-2</v>
      </c>
    </row>
    <row r="266" spans="2:15" x14ac:dyDescent="0.8">
      <c r="B266" s="152" t="str">
        <v>دامن کمر کنفی</v>
      </c>
      <c r="C266" s="141">
        <f>SUMIFS(T[تعداد], T[کالا], B266, T[نوع عملیات], "خرید")</f>
        <v>1</v>
      </c>
      <c r="D266" s="141">
        <f t="shared" si="13"/>
        <v>1150000</v>
      </c>
      <c r="E266" s="141">
        <f>SUMIFS(T[قیمت کل], T[کالا], B266, T[نوع عملیات], "خرید")</f>
        <v>1150000</v>
      </c>
      <c r="F266" s="141">
        <f>SUMIFS(T[تعداد], T[کالا], B266, T[نوع عملیات], "فروش") + SUMIFS(T[تعداد], T[کالا], B266, T[نوع عملیات], "استفاده خودم")</f>
        <v>2</v>
      </c>
      <c r="G266" s="141">
        <f>SUMIFS(T[قیمت کل], T[کالا], B266, T[نوع عملیات], "فروش")</f>
        <v>1800000</v>
      </c>
      <c r="H266" s="141">
        <f>Summary[[#This Row],[فروش]]*Summary[[#This Row],[قیمت تمام شده]]</f>
        <v>2300000</v>
      </c>
      <c r="I266" s="141">
        <f>Summary[[#This Row],[خرید]]-Summary[[#This Row],[فروش]]</f>
        <v>-1</v>
      </c>
      <c r="J266" s="141">
        <f>Summary[[#This Row],[موجودی]]*Summary[[#This Row],[قیمت تمام شده]]</f>
        <v>-1150000</v>
      </c>
      <c r="K266" s="152">
        <f>IF(B266="", "", _xlfn.XLOOKUP(B266, T[کالا], T[نحوه تسویه], ""))</f>
        <v>0</v>
      </c>
      <c r="L266" s="152" t="str">
        <f>IF(B266="", "", _xlfn.XLOOKUP(B266, T[کالا], T[شماره فاکتور], ""))</f>
        <v>ع 403</v>
      </c>
      <c r="M266" s="152" t="str">
        <f>IF(B266="", "", _xlfn.XLOOKUP(Summary[[#This Row],[فاکتور]], T[شماره فاکتور], T[فروشنده / مشتری], "نامشخص"))</f>
        <v>عبدل آباد</v>
      </c>
      <c r="N266" s="141">
        <f>Summary[[#This Row],[ارزش فروش]] - (Summary[[#This Row],[قیمت تمام شده]]*Summary[[#This Row],[فروش]])</f>
        <v>-500000</v>
      </c>
      <c r="O266" s="365">
        <f>IFERROR(Summary[[#This Row],[سود]]/Summary[[#This Row],[ارزش کالای فروخته شده]], "")</f>
        <v>-0.21739130434782608</v>
      </c>
    </row>
    <row r="267" spans="2:15" x14ac:dyDescent="0.8">
      <c r="B267" s="191" t="str">
        <v>ست اوشو</v>
      </c>
      <c r="C267" s="141">
        <f>SUMIFS(T[تعداد], T[کالا], B267, T[نوع عملیات], "خرید")</f>
        <v>1</v>
      </c>
      <c r="D267" s="141">
        <f t="shared" si="13"/>
        <v>2100000</v>
      </c>
      <c r="E267" s="141">
        <f>SUMIFS(T[قیمت کل], T[کالا], B267, T[نوع عملیات], "خرید")</f>
        <v>2100000</v>
      </c>
      <c r="F267" s="141">
        <f>SUMIFS(T[تعداد], T[کالا], B267, T[نوع عملیات], "فروش") + SUMIFS(T[تعداد], T[کالا], B267, T[نوع عملیات], "استفاده خودم")</f>
        <v>1</v>
      </c>
      <c r="G267" s="141">
        <f>SUMIFS(T[قیمت کل], T[کالا], B267, T[نوع عملیات], "فروش")</f>
        <v>3500000</v>
      </c>
      <c r="H267" s="141">
        <f>Summary[[#This Row],[فروش]]*Summary[[#This Row],[قیمت تمام شده]]</f>
        <v>2100000</v>
      </c>
      <c r="I267" s="141">
        <f>Summary[[#This Row],[خرید]]-Summary[[#This Row],[فروش]]</f>
        <v>0</v>
      </c>
      <c r="J267" s="141">
        <f>Summary[[#This Row],[موجودی]]*Summary[[#This Row],[قیمت تمام شده]]</f>
        <v>0</v>
      </c>
      <c r="K267" s="152">
        <f>IF(B267="", "", _xlfn.XLOOKUP(B267, T[کالا], T[نحوه تسویه], ""))</f>
        <v>0</v>
      </c>
      <c r="L267" s="152" t="str">
        <f>IF(B267="", "", _xlfn.XLOOKUP(B267, T[کالا], T[شماره فاکتور], ""))</f>
        <v>ع 403</v>
      </c>
      <c r="M267" s="152" t="str">
        <f>IF(B267="", "", _xlfn.XLOOKUP(Summary[[#This Row],[فاکتور]], T[شماره فاکتور], T[فروشنده / مشتری], "نامشخص"))</f>
        <v>عبدل آباد</v>
      </c>
      <c r="N267" s="141">
        <f>Summary[[#This Row],[ارزش فروش]] - (Summary[[#This Row],[قیمت تمام شده]]*Summary[[#This Row],[فروش]])</f>
        <v>1400000</v>
      </c>
      <c r="O267" s="365">
        <f>IFERROR(Summary[[#This Row],[سود]]/Summary[[#This Row],[ارزش کالای فروخته شده]], "")</f>
        <v>0.66666666666666663</v>
      </c>
    </row>
    <row r="268" spans="2:15" x14ac:dyDescent="0.8">
      <c r="B268" s="152" t="str">
        <v>شلوار مشکی گرل</v>
      </c>
      <c r="C268" s="141">
        <f>SUMIFS(T[تعداد], T[کالا], B268, T[نوع عملیات], "خرید")</f>
        <v>4</v>
      </c>
      <c r="D268" s="141">
        <f t="shared" si="13"/>
        <v>1550000</v>
      </c>
      <c r="E268" s="141">
        <f>SUMIFS(T[قیمت کل], T[کالا], B268, T[نوع عملیات], "خرید")</f>
        <v>6200000</v>
      </c>
      <c r="F268" s="141">
        <f>SUMIFS(T[تعداد], T[کالا], B268, T[نوع عملیات], "فروش") + SUMIFS(T[تعداد], T[کالا], B268, T[نوع عملیات], "استفاده خودم")</f>
        <v>3</v>
      </c>
      <c r="G268" s="141">
        <f>SUMIFS(T[قیمت کل], T[کالا], B268, T[نوع عملیات], "فروش")</f>
        <v>6600000</v>
      </c>
      <c r="H268" s="141">
        <f>Summary[[#This Row],[فروش]]*Summary[[#This Row],[قیمت تمام شده]]</f>
        <v>4650000</v>
      </c>
      <c r="I268" s="141">
        <f>Summary[[#This Row],[خرید]]-Summary[[#This Row],[فروش]]</f>
        <v>1</v>
      </c>
      <c r="J268" s="141">
        <f>Summary[[#This Row],[موجودی]]*Summary[[#This Row],[قیمت تمام شده]]</f>
        <v>1550000</v>
      </c>
      <c r="K268" s="152">
        <f>IF(B268="", "", _xlfn.XLOOKUP(B268, T[کالا], T[نحوه تسویه], ""))</f>
        <v>0</v>
      </c>
      <c r="L268" s="152" t="str">
        <f>IF(B268="", "", _xlfn.XLOOKUP(B268, T[کالا], T[شماره فاکتور], ""))</f>
        <v>ع 403</v>
      </c>
      <c r="M268" s="152" t="str">
        <f>IF(B268="", "", _xlfn.XLOOKUP(Summary[[#This Row],[فاکتور]], T[شماره فاکتور], T[فروشنده / مشتری], "نامشخص"))</f>
        <v>عبدل آباد</v>
      </c>
      <c r="N268" s="141">
        <f>Summary[[#This Row],[ارزش فروش]] - (Summary[[#This Row],[قیمت تمام شده]]*Summary[[#This Row],[فروش]])</f>
        <v>1950000</v>
      </c>
      <c r="O268" s="365">
        <f>IFERROR(Summary[[#This Row],[سود]]/Summary[[#This Row],[ارزش کالای فروخته شده]], "")</f>
        <v>0.41935483870967744</v>
      </c>
    </row>
    <row r="269" spans="2:15" x14ac:dyDescent="0.8">
      <c r="B269" s="191" t="str">
        <v>شومیز Perry سفید</v>
      </c>
      <c r="C269" s="141">
        <f>SUMIFS(T[تعداد], T[کالا], B269, T[نوع عملیات], "خرید")</f>
        <v>1</v>
      </c>
      <c r="D269" s="141">
        <f t="shared" si="13"/>
        <v>800000</v>
      </c>
      <c r="E269" s="141">
        <f>SUMIFS(T[قیمت کل], T[کالا], B269, T[نوع عملیات], "خرید")</f>
        <v>800000</v>
      </c>
      <c r="F269" s="141">
        <f>SUMIFS(T[تعداد], T[کالا], B269, T[نوع عملیات], "فروش") + SUMIFS(T[تعداد], T[کالا], B269, T[نوع عملیات], "استفاده خودم")</f>
        <v>1</v>
      </c>
      <c r="G269" s="141">
        <f>SUMIFS(T[قیمت کل], T[کالا], B269, T[نوع عملیات], "فروش")</f>
        <v>0</v>
      </c>
      <c r="H269" s="141">
        <f>Summary[[#This Row],[فروش]]*Summary[[#This Row],[قیمت تمام شده]]</f>
        <v>800000</v>
      </c>
      <c r="I269" s="141">
        <f>Summary[[#This Row],[خرید]]-Summary[[#This Row],[فروش]]</f>
        <v>0</v>
      </c>
      <c r="J269" s="141">
        <f>Summary[[#This Row],[موجودی]]*Summary[[#This Row],[قیمت تمام شده]]</f>
        <v>0</v>
      </c>
      <c r="K269" s="152" t="str">
        <f>IF(B269="", "", _xlfn.XLOOKUP(B269, T[کالا], T[نحوه تسویه], ""))</f>
        <v>حساب 5802</v>
      </c>
      <c r="L269" s="152" t="str">
        <f>IF(B269="", "", _xlfn.XLOOKUP(B269, T[کالا], T[شماره فاکتور], ""))</f>
        <v>ع 403</v>
      </c>
      <c r="M269" s="152" t="str">
        <f>IF(B269="", "", _xlfn.XLOOKUP(Summary[[#This Row],[فاکتور]], T[شماره فاکتور], T[فروشنده / مشتری], "نامشخص"))</f>
        <v>عبدل آباد</v>
      </c>
      <c r="N269" s="141">
        <f>Summary[[#This Row],[ارزش فروش]] - (Summary[[#This Row],[قیمت تمام شده]]*Summary[[#This Row],[فروش]])</f>
        <v>-800000</v>
      </c>
      <c r="O269" s="365">
        <f>IFERROR(Summary[[#This Row],[سود]]/Summary[[#This Row],[ارزش کالای فروخته شده]], "")</f>
        <v>-1</v>
      </c>
    </row>
    <row r="270" spans="2:15" x14ac:dyDescent="0.8">
      <c r="B270" s="152" t="str">
        <v>ست اورال و کت کرم</v>
      </c>
      <c r="C270" s="141">
        <f>SUMIFS(T[تعداد], T[کالا], B270, T[نوع عملیات], "خرید")</f>
        <v>1</v>
      </c>
      <c r="D270" s="141">
        <f t="shared" si="13"/>
        <v>2000000</v>
      </c>
      <c r="E270" s="141">
        <f>SUMIFS(T[قیمت کل], T[کالا], B270, T[نوع عملیات], "خرید")</f>
        <v>2000000</v>
      </c>
      <c r="F270" s="141">
        <f>SUMIFS(T[تعداد], T[کالا], B270, T[نوع عملیات], "فروش") + SUMIFS(T[تعداد], T[کالا], B270, T[نوع عملیات], "استفاده خودم")</f>
        <v>0</v>
      </c>
      <c r="G270" s="141">
        <f>SUMIFS(T[قیمت کل], T[کالا], B270, T[نوع عملیات], "فروش")</f>
        <v>0</v>
      </c>
      <c r="H270" s="141">
        <f>Summary[[#This Row],[فروش]]*Summary[[#This Row],[قیمت تمام شده]]</f>
        <v>0</v>
      </c>
      <c r="I270" s="141">
        <f>Summary[[#This Row],[خرید]]-Summary[[#This Row],[فروش]]</f>
        <v>1</v>
      </c>
      <c r="J270" s="141">
        <f>Summary[[#This Row],[موجودی]]*Summary[[#This Row],[قیمت تمام شده]]</f>
        <v>2000000</v>
      </c>
      <c r="K270" s="152">
        <f>IF(B270="", "", _xlfn.XLOOKUP(B270, T[کالا], T[نحوه تسویه], ""))</f>
        <v>0</v>
      </c>
      <c r="L270" s="152" t="str">
        <f>IF(B270="", "", _xlfn.XLOOKUP(B270, T[کالا], T[شماره فاکتور], ""))</f>
        <v>ع 404</v>
      </c>
      <c r="M270" s="152" t="str">
        <f>IF(B270="", "", _xlfn.XLOOKUP(Summary[[#This Row],[فاکتور]], T[شماره فاکتور], T[فروشنده / مشتری], "نامشخص"))</f>
        <v>عبدل آباد</v>
      </c>
      <c r="N270" s="141">
        <f>Summary[[#This Row],[ارزش فروش]] - (Summary[[#This Row],[قیمت تمام شده]]*Summary[[#This Row],[فروش]])</f>
        <v>0</v>
      </c>
      <c r="O270" s="365" t="str">
        <f>IFERROR(Summary[[#This Row],[سود]]/Summary[[#This Row],[ارزش کالای فروخته شده]], "")</f>
        <v/>
      </c>
    </row>
    <row r="271" spans="2:15" x14ac:dyDescent="0.8">
      <c r="B271" s="191" t="str">
        <v>ست کرم کت و شلوار</v>
      </c>
      <c r="C271" s="141">
        <f>SUMIFS(T[تعداد], T[کالا], B271, T[نوع عملیات], "خرید")</f>
        <v>1</v>
      </c>
      <c r="D271" s="141">
        <f t="shared" si="13"/>
        <v>2600000</v>
      </c>
      <c r="E271" s="141">
        <f>SUMIFS(T[قیمت کل], T[کالا], B271, T[نوع عملیات], "خرید")</f>
        <v>2600000</v>
      </c>
      <c r="F271" s="141">
        <f>SUMIFS(T[تعداد], T[کالا], B271, T[نوع عملیات], "فروش") + SUMIFS(T[تعداد], T[کالا], B271, T[نوع عملیات], "استفاده خودم")</f>
        <v>0</v>
      </c>
      <c r="G271" s="141">
        <f>SUMIFS(T[قیمت کل], T[کالا], B271, T[نوع عملیات], "فروش")</f>
        <v>0</v>
      </c>
      <c r="H271" s="141">
        <f>Summary[[#This Row],[فروش]]*Summary[[#This Row],[قیمت تمام شده]]</f>
        <v>0</v>
      </c>
      <c r="I271" s="141">
        <f>Summary[[#This Row],[خرید]]-Summary[[#This Row],[فروش]]</f>
        <v>1</v>
      </c>
      <c r="J271" s="141">
        <f>Summary[[#This Row],[موجودی]]*Summary[[#This Row],[قیمت تمام شده]]</f>
        <v>2600000</v>
      </c>
      <c r="K271" s="152" t="str">
        <f>IF(B271="", "", _xlfn.XLOOKUP(B271, T[کالا], T[نحوه تسویه], ""))</f>
        <v>حساب بلو</v>
      </c>
      <c r="L271" s="152" t="str">
        <f>IF(B271="", "", _xlfn.XLOOKUP(B271, T[کالا], T[شماره فاکتور], ""))</f>
        <v>ع 404</v>
      </c>
      <c r="M271" s="152" t="str">
        <f>IF(B271="", "", _xlfn.XLOOKUP(Summary[[#This Row],[فاکتور]], T[شماره فاکتور], T[فروشنده / مشتری], "نامشخص"))</f>
        <v>عبدل آباد</v>
      </c>
      <c r="N271" s="141">
        <f>Summary[[#This Row],[ارزش فروش]] - (Summary[[#This Row],[قیمت تمام شده]]*Summary[[#This Row],[فروش]])</f>
        <v>0</v>
      </c>
      <c r="O271" s="365" t="str">
        <f>IFERROR(Summary[[#This Row],[سود]]/Summary[[#This Row],[ارزش کالای فروخته شده]], "")</f>
        <v/>
      </c>
    </row>
    <row r="272" spans="2:15" x14ac:dyDescent="0.8">
      <c r="B272" s="152" t="str">
        <v>شومیز گلدار گره ای</v>
      </c>
      <c r="C272" s="141">
        <f>SUMIFS(T[تعداد], T[کالا], B272, T[نوع عملیات], "خرید")</f>
        <v>5</v>
      </c>
      <c r="D272" s="141">
        <f t="shared" si="13"/>
        <v>722000</v>
      </c>
      <c r="E272" s="141">
        <f>SUMIFS(T[قیمت کل], T[کالا], B272, T[نوع عملیات], "خرید")</f>
        <v>3610000</v>
      </c>
      <c r="F272" s="141">
        <f>SUMIFS(T[تعداد], T[کالا], B272, T[نوع عملیات], "فروش") + SUMIFS(T[تعداد], T[کالا], B272, T[نوع عملیات], "استفاده خودم")</f>
        <v>4</v>
      </c>
      <c r="G272" s="141">
        <f>SUMIFS(T[قیمت کل], T[کالا], B272, T[نوع عملیات], "فروش")</f>
        <v>3000000</v>
      </c>
      <c r="H272" s="141">
        <f>Summary[[#This Row],[فروش]]*Summary[[#This Row],[قیمت تمام شده]]</f>
        <v>2888000</v>
      </c>
      <c r="I272" s="141">
        <f>Summary[[#This Row],[خرید]]-Summary[[#This Row],[فروش]]</f>
        <v>1</v>
      </c>
      <c r="J272" s="141">
        <f>Summary[[#This Row],[موجودی]]*Summary[[#This Row],[قیمت تمام شده]]</f>
        <v>722000</v>
      </c>
      <c r="K272" s="152">
        <f>IF(B272="", "", _xlfn.XLOOKUP(B272, T[کالا], T[نحوه تسویه], ""))</f>
        <v>0</v>
      </c>
      <c r="L272" s="152" t="str">
        <f>IF(B272="", "", _xlfn.XLOOKUP(B272, T[کالا], T[شماره فاکتور], ""))</f>
        <v>ع 404</v>
      </c>
      <c r="M272" s="152" t="str">
        <f>IF(B272="", "", _xlfn.XLOOKUP(Summary[[#This Row],[فاکتور]], T[شماره فاکتور], T[فروشنده / مشتری], "نامشخص"))</f>
        <v>عبدل آباد</v>
      </c>
      <c r="N272" s="141">
        <f>Summary[[#This Row],[ارزش فروش]] - (Summary[[#This Row],[قیمت تمام شده]]*Summary[[#This Row],[فروش]])</f>
        <v>112000</v>
      </c>
      <c r="O272" s="365">
        <f>IFERROR(Summary[[#This Row],[سود]]/Summary[[#This Row],[ارزش کالای فروخته شده]], "")</f>
        <v>3.8781163434903045E-2</v>
      </c>
    </row>
    <row r="273" spans="2:15" x14ac:dyDescent="0.8">
      <c r="B273" s="191" t="str">
        <v>زیر و رو زنجیردار</v>
      </c>
      <c r="C273" s="141">
        <f>SUMIFS(T[تعداد], T[کالا], B273, T[نوع عملیات], "خرید")</f>
        <v>3</v>
      </c>
      <c r="D273" s="141">
        <f t="shared" si="13"/>
        <v>780000</v>
      </c>
      <c r="E273" s="141">
        <f>SUMIFS(T[قیمت کل], T[کالا], B273, T[نوع عملیات], "خرید")</f>
        <v>2340000</v>
      </c>
      <c r="F273" s="141">
        <f>SUMIFS(T[تعداد], T[کالا], B273, T[نوع عملیات], "فروش") + SUMIFS(T[تعداد], T[کالا], B273, T[نوع عملیات], "استفاده خودم")</f>
        <v>4</v>
      </c>
      <c r="G273" s="141">
        <f>SUMIFS(T[قیمت کل], T[کالا], B273, T[نوع عملیات], "فروش")</f>
        <v>4900000</v>
      </c>
      <c r="H273" s="141">
        <f>Summary[[#This Row],[فروش]]*Summary[[#This Row],[قیمت تمام شده]]</f>
        <v>3120000</v>
      </c>
      <c r="I273" s="141">
        <f>Summary[[#This Row],[خرید]]-Summary[[#This Row],[فروش]]</f>
        <v>-1</v>
      </c>
      <c r="J273" s="141">
        <f>Summary[[#This Row],[موجودی]]*Summary[[#This Row],[قیمت تمام شده]]</f>
        <v>-780000</v>
      </c>
      <c r="K273" s="152" t="str">
        <f>IF(B273="", "", _xlfn.XLOOKUP(B273, T[کالا], T[نحوه تسویه], ""))</f>
        <v>حساب بلو</v>
      </c>
      <c r="L273" s="152" t="str">
        <f>IF(B273="", "", _xlfn.XLOOKUP(B273, T[کالا], T[شماره فاکتور], ""))</f>
        <v>ع 404</v>
      </c>
      <c r="M273" s="152" t="str">
        <f>IF(B273="", "", _xlfn.XLOOKUP(Summary[[#This Row],[فاکتور]], T[شماره فاکتور], T[فروشنده / مشتری], "نامشخص"))</f>
        <v>عبدل آباد</v>
      </c>
      <c r="N273" s="141">
        <f>Summary[[#This Row],[ارزش فروش]] - (Summary[[#This Row],[قیمت تمام شده]]*Summary[[#This Row],[فروش]])</f>
        <v>1780000</v>
      </c>
      <c r="O273" s="365">
        <f>IFERROR(Summary[[#This Row],[سود]]/Summary[[#This Row],[ارزش کالای فروخته شده]], "")</f>
        <v>0.57051282051282048</v>
      </c>
    </row>
    <row r="274" spans="2:15" x14ac:dyDescent="0.8">
      <c r="B274" s="152" t="str">
        <v>شومیز جدید کوتاه</v>
      </c>
      <c r="C274" s="141">
        <f>SUMIFS(T[تعداد], T[کالا], B274, T[نوع عملیات], "خرید")</f>
        <v>3</v>
      </c>
      <c r="D274" s="141">
        <f t="shared" si="13"/>
        <v>390000</v>
      </c>
      <c r="E274" s="141">
        <f>SUMIFS(T[قیمت کل], T[کالا], B274, T[نوع عملیات], "خرید")</f>
        <v>1170000</v>
      </c>
      <c r="F274" s="141">
        <f>SUMIFS(T[تعداد], T[کالا], B274, T[نوع عملیات], "فروش") + SUMIFS(T[تعداد], T[کالا], B274, T[نوع عملیات], "استفاده خودم")</f>
        <v>0</v>
      </c>
      <c r="G274" s="141">
        <f>SUMIFS(T[قیمت کل], T[کالا], B274, T[نوع عملیات], "فروش")</f>
        <v>0</v>
      </c>
      <c r="H274" s="141">
        <f>Summary[[#This Row],[فروش]]*Summary[[#This Row],[قیمت تمام شده]]</f>
        <v>0</v>
      </c>
      <c r="I274" s="141">
        <f>Summary[[#This Row],[خرید]]-Summary[[#This Row],[فروش]]</f>
        <v>3</v>
      </c>
      <c r="J274" s="141">
        <f>Summary[[#This Row],[موجودی]]*Summary[[#This Row],[قیمت تمام شده]]</f>
        <v>1170000</v>
      </c>
      <c r="K274" s="152" t="str">
        <f>IF(B274="", "", _xlfn.XLOOKUP(B274, T[کالا], T[نحوه تسویه], ""))</f>
        <v>حساب بلو</v>
      </c>
      <c r="L274" s="152" t="str">
        <f>IF(B274="", "", _xlfn.XLOOKUP(B274, T[کالا], T[شماره فاکتور], ""))</f>
        <v>ع 404</v>
      </c>
      <c r="M274" s="152" t="str">
        <f>IF(B274="", "", _xlfn.XLOOKUP(Summary[[#This Row],[فاکتور]], T[شماره فاکتور], T[فروشنده / مشتری], "نامشخص"))</f>
        <v>عبدل آباد</v>
      </c>
      <c r="N274" s="141">
        <f>Summary[[#This Row],[ارزش فروش]] - (Summary[[#This Row],[قیمت تمام شده]]*Summary[[#This Row],[فروش]])</f>
        <v>0</v>
      </c>
      <c r="O274" s="365" t="str">
        <f>IFERROR(Summary[[#This Row],[سود]]/Summary[[#This Row],[ارزش کالای فروخته شده]], "")</f>
        <v/>
      </c>
    </row>
    <row r="275" spans="2:15" x14ac:dyDescent="0.8">
      <c r="B275" s="191" t="str">
        <v>شال گیپور عبدو</v>
      </c>
      <c r="C275" s="141">
        <f>SUMIFS(T[تعداد], T[کالا], B275, T[نوع عملیات], "خرید")</f>
        <v>2</v>
      </c>
      <c r="D275" s="141">
        <f t="shared" si="13"/>
        <v>200000</v>
      </c>
      <c r="E275" s="141">
        <f>SUMIFS(T[قیمت کل], T[کالا], B275, T[نوع عملیات], "خرید")</f>
        <v>400000</v>
      </c>
      <c r="F275" s="141">
        <f>SUMIFS(T[تعداد], T[کالا], B275, T[نوع عملیات], "فروش") + SUMIFS(T[تعداد], T[کالا], B275, T[نوع عملیات], "استفاده خودم")</f>
        <v>1</v>
      </c>
      <c r="G275" s="141">
        <f>SUMIFS(T[قیمت کل], T[کالا], B275, T[نوع عملیات], "فروش")</f>
        <v>500000</v>
      </c>
      <c r="H275" s="141">
        <f>Summary[[#This Row],[فروش]]*Summary[[#This Row],[قیمت تمام شده]]</f>
        <v>200000</v>
      </c>
      <c r="I275" s="141">
        <f>Summary[[#This Row],[خرید]]-Summary[[#This Row],[فروش]]</f>
        <v>1</v>
      </c>
      <c r="J275" s="141">
        <f>Summary[[#This Row],[موجودی]]*Summary[[#This Row],[قیمت تمام شده]]</f>
        <v>200000</v>
      </c>
      <c r="K275" s="152" t="str">
        <f>IF(B275="", "", _xlfn.XLOOKUP(B275, T[کالا], T[نحوه تسویه], ""))</f>
        <v>حساب هستی</v>
      </c>
      <c r="L275" s="152" t="str">
        <f>IF(B275="", "", _xlfn.XLOOKUP(B275, T[کالا], T[شماره فاکتور], ""))</f>
        <v>ع 404</v>
      </c>
      <c r="M275" s="152" t="str">
        <f>IF(B275="", "", _xlfn.XLOOKUP(Summary[[#This Row],[فاکتور]], T[شماره فاکتور], T[فروشنده / مشتری], "نامشخص"))</f>
        <v>عبدل آباد</v>
      </c>
      <c r="N275" s="141">
        <f>Summary[[#This Row],[ارزش فروش]] - (Summary[[#This Row],[قیمت تمام شده]]*Summary[[#This Row],[فروش]])</f>
        <v>300000</v>
      </c>
      <c r="O275" s="365">
        <f>IFERROR(Summary[[#This Row],[سود]]/Summary[[#This Row],[ارزش کالای فروخته شده]], "")</f>
        <v>1.5</v>
      </c>
    </row>
    <row r="276" spans="2:15" x14ac:dyDescent="0.8">
      <c r="B276" s="152" t="str">
        <v>ست دانتل</v>
      </c>
      <c r="C276" s="141">
        <f>SUMIFS(T[تعداد], T[کالا], B276, T[نوع عملیات], "خرید")</f>
        <v>4</v>
      </c>
      <c r="D276" s="141">
        <f t="shared" si="13"/>
        <v>521250</v>
      </c>
      <c r="E276" s="141">
        <f>SUMIFS(T[قیمت کل], T[کالا], B276, T[نوع عملیات], "خرید")</f>
        <v>2085000</v>
      </c>
      <c r="F276" s="141">
        <f>SUMIFS(T[تعداد], T[کالا], B276, T[نوع عملیات], "فروش") + SUMIFS(T[تعداد], T[کالا], B276, T[نوع عملیات], "استفاده خودم")</f>
        <v>2</v>
      </c>
      <c r="G276" s="141">
        <f>SUMIFS(T[قیمت کل], T[کالا], B276, T[نوع عملیات], "فروش")</f>
        <v>1250000</v>
      </c>
      <c r="H276" s="141">
        <f>Summary[[#This Row],[فروش]]*Summary[[#This Row],[قیمت تمام شده]]</f>
        <v>1042500</v>
      </c>
      <c r="I276" s="141">
        <f>Summary[[#This Row],[خرید]]-Summary[[#This Row],[فروش]]</f>
        <v>2</v>
      </c>
      <c r="J276" s="141">
        <f>Summary[[#This Row],[موجودی]]*Summary[[#This Row],[قیمت تمام شده]]</f>
        <v>1042500</v>
      </c>
      <c r="K276" s="152" t="str">
        <f>IF(B276="", "", _xlfn.XLOOKUP(B276, T[کالا], T[نحوه تسویه], ""))</f>
        <v>حساب بلو</v>
      </c>
      <c r="L276" s="152" t="str">
        <f>IF(B276="", "", _xlfn.XLOOKUP(B276, T[کالا], T[شماره فاکتور], ""))</f>
        <v>د 404</v>
      </c>
      <c r="M276" s="152" t="str">
        <f>IF(B276="", "", _xlfn.XLOOKUP(Summary[[#This Row],[فاکتور]], T[شماره فاکتور], T[فروشنده / مشتری], "نامشخص"))</f>
        <v>مزون دانتل</v>
      </c>
      <c r="N276" s="141">
        <f>Summary[[#This Row],[ارزش فروش]] - (Summary[[#This Row],[قیمت تمام شده]]*Summary[[#This Row],[فروش]])</f>
        <v>207500</v>
      </c>
      <c r="O276" s="365">
        <f>IFERROR(Summary[[#This Row],[سود]]/Summary[[#This Row],[ارزش کالای فروخته شده]], "")</f>
        <v>0.19904076738609114</v>
      </c>
    </row>
    <row r="277" spans="2:15" x14ac:dyDescent="0.8">
      <c r="B277" s="191" t="str">
        <v>شورت</v>
      </c>
      <c r="C277" s="141">
        <f>SUMIFS(T[تعداد], T[کالا], B277, T[نوع عملیات], "خرید")</f>
        <v>8</v>
      </c>
      <c r="D277" s="141">
        <f t="shared" si="13"/>
        <v>250000</v>
      </c>
      <c r="E277" s="141">
        <f>SUMIFS(T[قیمت کل], T[کالا], B277, T[نوع عملیات], "خرید")</f>
        <v>2000000</v>
      </c>
      <c r="F277" s="141">
        <f>SUMIFS(T[تعداد], T[کالا], B277, T[نوع عملیات], "فروش") + SUMIFS(T[تعداد], T[کالا], B277, T[نوع عملیات], "استفاده خودم")</f>
        <v>7</v>
      </c>
      <c r="G277" s="141">
        <f>SUMIFS(T[قیمت کل], T[کالا], B277, T[نوع عملیات], "فروش")</f>
        <v>1750000</v>
      </c>
      <c r="H277" s="141">
        <f>Summary[[#This Row],[فروش]]*Summary[[#This Row],[قیمت تمام شده]]</f>
        <v>1750000</v>
      </c>
      <c r="I277" s="141">
        <f>Summary[[#This Row],[خرید]]-Summary[[#This Row],[فروش]]</f>
        <v>1</v>
      </c>
      <c r="J277" s="141">
        <f>Summary[[#This Row],[موجودی]]*Summary[[#This Row],[قیمت تمام شده]]</f>
        <v>250000</v>
      </c>
      <c r="K277" s="152">
        <f>IF(B277="", "", _xlfn.XLOOKUP(B277, T[کالا], T[نحوه تسویه], ""))</f>
        <v>0</v>
      </c>
      <c r="L277" s="152">
        <f>IF(B277="", "", _xlfn.XLOOKUP(B277, T[کالا], T[شماره فاکتور], ""))</f>
        <v>0</v>
      </c>
      <c r="M277" s="152" t="str">
        <f>IF(B277="", "", _xlfn.XLOOKUP(Summary[[#This Row],[فاکتور]], T[شماره فاکتور], T[فروشنده / مشتری], "نامشخص"))</f>
        <v>نامشخص</v>
      </c>
      <c r="N277" s="141">
        <f>Summary[[#This Row],[ارزش فروش]] - (Summary[[#This Row],[قیمت تمام شده]]*Summary[[#This Row],[فروش]])</f>
        <v>0</v>
      </c>
      <c r="O277" s="365">
        <f>IFERROR(Summary[[#This Row],[سود]]/Summary[[#This Row],[ارزش کالای فروخته شده]], "")</f>
        <v>0</v>
      </c>
    </row>
    <row r="278" spans="2:15" x14ac:dyDescent="0.8">
      <c r="B278" s="152" t="str">
        <v>مایو دو تکه</v>
      </c>
      <c r="C278" s="141">
        <f>SUMIFS(T[تعداد], T[کالا], B278, T[نوع عملیات], "خرید")</f>
        <v>20</v>
      </c>
      <c r="D278" s="141">
        <f t="shared" si="13"/>
        <v>650000</v>
      </c>
      <c r="E278" s="141">
        <f>SUMIFS(T[قیمت کل], T[کالا], B278, T[نوع عملیات], "خرید")</f>
        <v>13000000</v>
      </c>
      <c r="F278" s="141">
        <f>SUMIFS(T[تعداد], T[کالا], B278, T[نوع عملیات], "فروش") + SUMIFS(T[تعداد], T[کالا], B278, T[نوع عملیات], "استفاده خودم")</f>
        <v>5</v>
      </c>
      <c r="G278" s="141">
        <f>SUMIFS(T[قیمت کل], T[کالا], B278, T[نوع عملیات], "فروش")</f>
        <v>3150000</v>
      </c>
      <c r="H278" s="141">
        <f>Summary[[#This Row],[فروش]]*Summary[[#This Row],[قیمت تمام شده]]</f>
        <v>3250000</v>
      </c>
      <c r="I278" s="141">
        <f>Summary[[#This Row],[خرید]]-Summary[[#This Row],[فروش]]</f>
        <v>15</v>
      </c>
      <c r="J278" s="141">
        <f>Summary[[#This Row],[موجودی]]*Summary[[#This Row],[قیمت تمام شده]]</f>
        <v>9750000</v>
      </c>
      <c r="K278" s="152">
        <f>IF(B278="", "", _xlfn.XLOOKUP(B278, T[کالا], T[نحوه تسویه], ""))</f>
        <v>0</v>
      </c>
      <c r="L278" s="152">
        <f>IF(B278="", "", _xlfn.XLOOKUP(B278, T[کالا], T[شماره فاکتور], ""))</f>
        <v>0</v>
      </c>
      <c r="M278" s="152" t="str">
        <f>IF(B278="", "", _xlfn.XLOOKUP(Summary[[#This Row],[فاکتور]], T[شماره فاکتور], T[فروشنده / مشتری], "نامشخص"))</f>
        <v>نامشخص</v>
      </c>
      <c r="N278" s="141">
        <f>Summary[[#This Row],[ارزش فروش]] - (Summary[[#This Row],[قیمت تمام شده]]*Summary[[#This Row],[فروش]])</f>
        <v>-100000</v>
      </c>
      <c r="O278" s="365">
        <f>IFERROR(Summary[[#This Row],[سود]]/Summary[[#This Row],[ارزش کالای فروخته شده]], "")</f>
        <v>-3.0769230769230771E-2</v>
      </c>
    </row>
    <row r="279" spans="2:15" x14ac:dyDescent="0.8">
      <c r="B279" s="191" t="str">
        <v>دکلته رینگ</v>
      </c>
      <c r="C279" s="141">
        <f>SUMIFS(T[تعداد], T[کالا], B279, T[نوع عملیات], "خرید")</f>
        <v>4</v>
      </c>
      <c r="D279" s="141">
        <f t="shared" si="13"/>
        <v>98000</v>
      </c>
      <c r="E279" s="141">
        <f>SUMIFS(T[قیمت کل], T[کالا], B279, T[نوع عملیات], "خرید")</f>
        <v>392000</v>
      </c>
      <c r="F279" s="141">
        <f>SUMIFS(T[تعداد], T[کالا], B279, T[نوع عملیات], "فروش") + SUMIFS(T[تعداد], T[کالا], B279, T[نوع عملیات], "استفاده خودم")</f>
        <v>2</v>
      </c>
      <c r="G279" s="141">
        <f>SUMIFS(T[قیمت کل], T[کالا], B279, T[نوع عملیات], "فروش")</f>
        <v>450000</v>
      </c>
      <c r="H279" s="141">
        <f>Summary[[#This Row],[فروش]]*Summary[[#This Row],[قیمت تمام شده]]</f>
        <v>196000</v>
      </c>
      <c r="I279" s="141">
        <f>Summary[[#This Row],[خرید]]-Summary[[#This Row],[فروش]]</f>
        <v>2</v>
      </c>
      <c r="J279" s="141">
        <f>Summary[[#This Row],[موجودی]]*Summary[[#This Row],[قیمت تمام شده]]</f>
        <v>196000</v>
      </c>
      <c r="K279" s="152">
        <f>IF(B279="", "", _xlfn.XLOOKUP(B279, T[کالا], T[نحوه تسویه], ""))</f>
        <v>0</v>
      </c>
      <c r="L279" s="152" t="str">
        <f>IF(B279="", "", _xlfn.XLOOKUP(B279, T[کالا], T[شماره فاکتور], ""))</f>
        <v>ع 405</v>
      </c>
      <c r="M279" s="152" t="str">
        <f>IF(B279="", "", _xlfn.XLOOKUP(Summary[[#This Row],[فاکتور]], T[شماره فاکتور], T[فروشنده / مشتری], "نامشخص"))</f>
        <v>عبدل آباد</v>
      </c>
      <c r="N279" s="141">
        <f>Summary[[#This Row],[ارزش فروش]] - (Summary[[#This Row],[قیمت تمام شده]]*Summary[[#This Row],[فروش]])</f>
        <v>254000</v>
      </c>
      <c r="O279" s="365">
        <f>IFERROR(Summary[[#This Row],[سود]]/Summary[[#This Row],[ارزش کالای فروخته شده]], "")</f>
        <v>1.2959183673469388</v>
      </c>
    </row>
    <row r="280" spans="2:15" x14ac:dyDescent="0.8">
      <c r="B280" s="152" t="str">
        <v>کراپ رینگ</v>
      </c>
      <c r="C280" t="s">
        <v>432</v>
      </c>
      <c r="D280"/>
      <c r="E280" s="141">
        <f>SUBTOTAL(109,Summary[ارزش کالا])</f>
        <v>592182500</v>
      </c>
      <c r="F280"/>
      <c r="G280" s="141">
        <f>SUBTOTAL(109,Summary[ارزش فروش])</f>
        <v>642914000</v>
      </c>
      <c r="H280" s="141">
        <f>SUBTOTAL(109,Summary[ارزش کالای فروخته شده])</f>
        <v>407364634.31917387</v>
      </c>
      <c r="I280"/>
      <c r="J280" s="141">
        <f>SUBTOTAL(109,Summary[ارزش موجودی])</f>
        <v>184817865.68082607</v>
      </c>
      <c r="N280" s="141">
        <f>SUBTOTAL(109,Summary[سود])</f>
        <v>235549365.6808261</v>
      </c>
      <c r="O280" s="152"/>
    </row>
    <row r="281" spans="2:15" x14ac:dyDescent="0.8">
      <c r="B281" s="152" t="str">
        <v>دکلته alo</v>
      </c>
    </row>
    <row r="282" spans="2:15" x14ac:dyDescent="0.8">
      <c r="B282" s="152" t="str">
        <v>تاپ ساده کوتاه کبریتی</v>
      </c>
    </row>
    <row r="283" spans="2:15" x14ac:dyDescent="0.8">
      <c r="B283" s="152" t="str">
        <v>بند ماکارون سفید و مشکی</v>
      </c>
    </row>
    <row r="284" spans="2:15" x14ac:dyDescent="0.8">
      <c r="B284" s="152" t="str">
        <v>یقه دلبری</v>
      </c>
    </row>
    <row r="285" spans="2:15" x14ac:dyDescent="0.8">
      <c r="B285" s="152" t="str">
        <v>شلوار طرح دار قهوه ای</v>
      </c>
    </row>
    <row r="286" spans="2:15" x14ac:dyDescent="0.8">
      <c r="B286" s="152" t="str">
        <v>شومیز Bisu</v>
      </c>
    </row>
    <row r="287" spans="2:15" x14ac:dyDescent="0.8">
      <c r="B287" s="152" t="str">
        <v>شلوار مام سفید</v>
      </c>
    </row>
    <row r="288" spans="2:15" x14ac:dyDescent="0.8">
      <c r="B288" s="152" t="str">
        <v>پیراهن Perry</v>
      </c>
    </row>
    <row r="289" spans="2:2" x14ac:dyDescent="0.8">
      <c r="B289" s="152" t="str">
        <v>شومیز Bisu کوتاه</v>
      </c>
    </row>
    <row r="290" spans="2:2" x14ac:dyDescent="0.8">
      <c r="B290" s="152" t="str">
        <v>شلوار سیلک</v>
      </c>
    </row>
    <row r="291" spans="2:2" x14ac:dyDescent="0.8">
      <c r="B291" s="152" t="str">
        <v>ست مروا</v>
      </c>
    </row>
    <row r="292" spans="2:2" x14ac:dyDescent="0.8">
      <c r="B292" s="152" t="str">
        <v>شومیز کوتاه میو میو</v>
      </c>
    </row>
    <row r="293" spans="2:2" x14ac:dyDescent="0.8">
      <c r="B293" s="152" t="str">
        <v>شومیز کوتاه شنل</v>
      </c>
    </row>
    <row r="294" spans="2:2" x14ac:dyDescent="0.8">
      <c r="B294" s="152" t="str">
        <v>تاپ و دامن Dior</v>
      </c>
    </row>
    <row r="295" spans="2:2" x14ac:dyDescent="0.8">
      <c r="B295" s="152" t="str">
        <v>کراپ میو میو</v>
      </c>
    </row>
    <row r="296" spans="2:2" x14ac:dyDescent="0.8">
      <c r="B296" s="152" t="str">
        <v>تیشرت زنانه پروانه</v>
      </c>
    </row>
    <row r="297" spans="2:2" x14ac:dyDescent="0.8">
      <c r="B297" s="152" t="str">
        <v>تیشرت نگین دار</v>
      </c>
    </row>
    <row r="298" spans="2:2" x14ac:dyDescent="0.8">
      <c r="B298" s="152" t="str">
        <v>ست مروارید</v>
      </c>
    </row>
    <row r="299" spans="2:2" x14ac:dyDescent="0.8">
      <c r="B299" s="152" t="str">
        <v>پیراهن راه راه بلند</v>
      </c>
    </row>
    <row r="300" spans="2:2" x14ac:dyDescent="0.8">
      <c r="B300" s="152" t="str">
        <v>ست خرسی</v>
      </c>
    </row>
    <row r="301" spans="2:2" x14ac:dyDescent="0.8">
      <c r="B301" s="152" t="str">
        <v>شومیز خامه دوزی</v>
      </c>
    </row>
    <row r="302" spans="2:2" x14ac:dyDescent="0.8">
      <c r="B302" s="152" t="str">
        <v>گل سر هستی</v>
      </c>
    </row>
    <row r="303" spans="2:2" x14ac:dyDescent="0.8">
      <c r="B303" s="152" t="str">
        <v>شلوار مشکی واید</v>
      </c>
    </row>
    <row r="304" spans="2:2" x14ac:dyDescent="0.8">
      <c r="B304" s="152" t="str">
        <v>کراپ آستین حریر</v>
      </c>
    </row>
    <row r="305" spans="2:2" x14ac:dyDescent="0.8">
      <c r="B305" s="152" t="str">
        <v>ست گلدار</v>
      </c>
    </row>
    <row r="306" spans="2:2" x14ac:dyDescent="0.8">
      <c r="B306" s="152" t="str">
        <v>شلوار کمر کنفی 2</v>
      </c>
    </row>
    <row r="307" spans="2:2" x14ac:dyDescent="0.8">
      <c r="B307" s="152" t="str">
        <v>شلوار مام قهوه ای</v>
      </c>
    </row>
    <row r="308" spans="2:2" x14ac:dyDescent="0.8">
      <c r="B308" s="152" t="str">
        <v>کمر گیپور</v>
      </c>
    </row>
    <row r="309" spans="2:2" x14ac:dyDescent="0.8">
      <c r="B309" s="152" t="str">
        <v>شومیز آبی Bisu</v>
      </c>
    </row>
    <row r="310" spans="2:2" x14ac:dyDescent="0.8">
      <c r="B310" s="152" t="str">
        <v>شومیز Bisu دوتیکه</v>
      </c>
    </row>
    <row r="311" spans="2:2" x14ac:dyDescent="0.8">
      <c r="B311" s="152" t="str">
        <v>تیشرت LCW</v>
      </c>
    </row>
    <row r="312" spans="2:2" x14ac:dyDescent="0.8">
      <c r="B312" s="152" t="str">
        <v>دامن پفکی</v>
      </c>
    </row>
    <row r="313" spans="2:2" x14ac:dyDescent="0.8">
      <c r="B313" s="152" t="str">
        <v>تاپ اعلا</v>
      </c>
    </row>
    <row r="314" spans="2:2" x14ac:dyDescent="0.8">
      <c r="B314" s="152" t="str">
        <v>دامن صابونی</v>
      </c>
    </row>
    <row r="315" spans="2:2" x14ac:dyDescent="0.8">
      <c r="B315" s="152" t="str">
        <v>دامن کنفی</v>
      </c>
    </row>
    <row r="316" spans="2:2" x14ac:dyDescent="0.8">
      <c r="B316" s="152" t="str">
        <v>شومیز طرح Perry</v>
      </c>
    </row>
    <row r="317" spans="2:2" x14ac:dyDescent="0.8">
      <c r="B317" s="152" t="str">
        <v>دامن شلواری</v>
      </c>
    </row>
    <row r="318" spans="2:2" x14ac:dyDescent="0.8">
      <c r="B318" s="152" t="str">
        <v>شلوار ایتالیایی</v>
      </c>
    </row>
  </sheetData>
  <conditionalFormatting sqref="I281:I464 I3:I279">
    <cfRule type="expression" dxfId="120" priority="9">
      <formula>($I3 &lt; 0)</formula>
    </cfRule>
  </conditionalFormatting>
  <conditionalFormatting sqref="I191">
    <cfRule type="expression" dxfId="119" priority="4">
      <formula>($I191 &lt; 0)</formula>
    </cfRule>
  </conditionalFormatting>
  <conditionalFormatting sqref="I194">
    <cfRule type="expression" dxfId="118" priority="3">
      <formula>($I194 &lt; 0)</formula>
    </cfRule>
  </conditionalFormatting>
  <conditionalFormatting sqref="I195:I199">
    <cfRule type="expression" dxfId="117" priority="2">
      <formula>($I195 &lt; 0)</formula>
    </cfRule>
  </conditionalFormatting>
  <conditionalFormatting sqref="I183:I184">
    <cfRule type="expression" dxfId="116" priority="1">
      <formula>($I183 &lt; 0)</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313E6-6ECA-4791-B755-054119A6ECA2}">
  <sheetPr codeName="Sheet312"/>
  <dimension ref="B1:S1227"/>
  <sheetViews>
    <sheetView showGridLines="0" rightToLeft="1" tabSelected="1" topLeftCell="B623" zoomScale="110" zoomScaleNormal="110" workbookViewId="0">
      <selection activeCell="L844" sqref="L844"/>
    </sheetView>
  </sheetViews>
  <sheetFormatPr defaultRowHeight="14.25" x14ac:dyDescent="0.45"/>
  <cols>
    <col min="1" max="1" width="1.73046875" customWidth="1"/>
    <col min="2" max="2" width="5" customWidth="1"/>
    <col min="3" max="3" width="4.265625" customWidth="1"/>
    <col min="4" max="4" width="4.33203125" customWidth="1"/>
    <col min="5" max="5" width="5" hidden="1" customWidth="1"/>
    <col min="6" max="6" width="7.33203125" customWidth="1"/>
    <col min="7" max="7" width="17.73046875" customWidth="1"/>
    <col min="8" max="8" width="15.53125" customWidth="1"/>
    <col min="9" max="9" width="8.33203125" customWidth="1"/>
    <col min="10" max="10" width="5.1328125" customWidth="1"/>
    <col min="11" max="11" width="12.86328125" bestFit="1" customWidth="1"/>
    <col min="12" max="12" width="12.59765625" bestFit="1" customWidth="1"/>
    <col min="13" max="13" width="12.6640625" bestFit="1" customWidth="1"/>
    <col min="14" max="14" width="10.6640625" customWidth="1"/>
    <col min="15" max="15" width="12.265625" style="265" customWidth="1"/>
    <col min="16" max="16" width="5.9296875" customWidth="1"/>
    <col min="17" max="17" width="12.265625" style="265" customWidth="1"/>
  </cols>
  <sheetData>
    <row r="1" spans="2:17" ht="10.15" customHeight="1" x14ac:dyDescent="0.45">
      <c r="O1"/>
      <c r="Q1"/>
    </row>
    <row r="2" spans="2:17" ht="24.75" x14ac:dyDescent="1.1499999999999999">
      <c r="B2" s="387" t="s">
        <v>156</v>
      </c>
      <c r="C2" s="388"/>
      <c r="D2" s="389"/>
      <c r="E2" s="234"/>
      <c r="F2" s="157"/>
      <c r="G2" s="157"/>
      <c r="H2" s="157"/>
      <c r="I2" s="159"/>
      <c r="J2" s="154"/>
      <c r="K2" s="155"/>
      <c r="L2" s="156"/>
      <c r="M2" s="156"/>
      <c r="N2" s="158"/>
      <c r="O2" s="158"/>
      <c r="P2" s="158"/>
      <c r="Q2" s="158"/>
    </row>
    <row r="3" spans="2:17" ht="34.15" thickBot="1" x14ac:dyDescent="0.5">
      <c r="B3" s="301" t="s">
        <v>164</v>
      </c>
      <c r="C3" s="301" t="s">
        <v>165</v>
      </c>
      <c r="D3" s="302" t="s">
        <v>166</v>
      </c>
      <c r="E3" s="235" t="s">
        <v>329</v>
      </c>
      <c r="F3" s="229" t="s">
        <v>157</v>
      </c>
      <c r="G3" s="230" t="s">
        <v>159</v>
      </c>
      <c r="H3" s="229" t="s">
        <v>386</v>
      </c>
      <c r="I3" s="231" t="s">
        <v>160</v>
      </c>
      <c r="J3" s="231" t="s">
        <v>161</v>
      </c>
      <c r="K3" s="232" t="s">
        <v>162</v>
      </c>
      <c r="L3" s="233" t="s">
        <v>163</v>
      </c>
      <c r="M3" s="233" t="s">
        <v>215</v>
      </c>
      <c r="N3" s="233" t="s">
        <v>293</v>
      </c>
      <c r="O3" s="233" t="s">
        <v>289</v>
      </c>
      <c r="P3" s="233" t="s">
        <v>191</v>
      </c>
      <c r="Q3" s="233" t="s">
        <v>384</v>
      </c>
    </row>
    <row r="4" spans="2:17" ht="16.5" hidden="1" x14ac:dyDescent="0.75">
      <c r="B4" s="227">
        <v>3</v>
      </c>
      <c r="C4" s="150">
        <v>12</v>
      </c>
      <c r="D4" s="150">
        <v>18</v>
      </c>
      <c r="E4" s="148" t="str">
        <f t="shared" ref="E4:E35" si="0">CHOOSE(C4, "فروردین", "اردیبهشت", "خرداد", "تیر", "مرداد", "شهریور", "مهر", "آبان", "آذر", "دی", "بهمن", "اسفند")</f>
        <v>اسفند</v>
      </c>
      <c r="F4" s="149" t="s">
        <v>168</v>
      </c>
      <c r="G4" s="243" t="s">
        <v>437</v>
      </c>
      <c r="H4" s="247" t="s">
        <v>433</v>
      </c>
      <c r="I4" s="162" t="s">
        <v>496</v>
      </c>
      <c r="J4" s="251">
        <v>1</v>
      </c>
      <c r="K4" s="255">
        <v>200000</v>
      </c>
      <c r="L4" s="255">
        <f t="shared" ref="L4:L44" si="1">J4*K4</f>
        <v>200000</v>
      </c>
      <c r="M4" s="257"/>
      <c r="N4" s="258" t="s">
        <v>216</v>
      </c>
      <c r="O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 s="258"/>
      <c r="Q4" s="259" t="str" cm="1">
        <f t="array" ref="Q4">IF(T[[#This Row],[نوع عملیات]]="فروش", _xlfn.XLOOKUP(T[[#This Row],[کالا]], _xlfn._xlws.FILTER(T[کالا], T[نوع عملیات]="خرید"), _xlfn._xlws.FILTER(T[فروشنده / مشتری], T[نوع عملیات]="خرید")), "")</f>
        <v/>
      </c>
    </row>
    <row r="5" spans="2:17" ht="16.5" hidden="1" x14ac:dyDescent="0.75">
      <c r="B5" s="227">
        <v>3</v>
      </c>
      <c r="C5" s="150">
        <v>12</v>
      </c>
      <c r="D5" s="150">
        <v>18</v>
      </c>
      <c r="E5" s="148" t="str">
        <f t="shared" si="0"/>
        <v>اسفند</v>
      </c>
      <c r="F5" s="149" t="s">
        <v>167</v>
      </c>
      <c r="G5" s="243" t="s">
        <v>437</v>
      </c>
      <c r="H5" s="247" t="s">
        <v>539</v>
      </c>
      <c r="I5" s="162"/>
      <c r="J5" s="251">
        <v>1</v>
      </c>
      <c r="K5" s="255">
        <v>450000</v>
      </c>
      <c r="L5" s="255">
        <f t="shared" si="1"/>
        <v>450000</v>
      </c>
      <c r="M5" s="257"/>
      <c r="N5" s="258"/>
      <c r="O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5" s="258"/>
      <c r="Q5" s="259" t="str" cm="1">
        <f t="array" ref="Q5">IF(T[[#This Row],[نوع عملیات]]="فروش", _xlfn.XLOOKUP(T[[#This Row],[کالا]], _xlfn._xlws.FILTER(T[کالا], T[نوع عملیات]="خرید"), _xlfn._xlws.FILTER(T[فروشنده / مشتری], T[نوع عملیات]="خرید")), "")</f>
        <v>وان ترکیه</v>
      </c>
    </row>
    <row r="6" spans="2:17" ht="16.5" hidden="1" x14ac:dyDescent="0.75">
      <c r="B6" s="227">
        <v>3</v>
      </c>
      <c r="C6" s="150">
        <v>12</v>
      </c>
      <c r="D6" s="150">
        <v>20</v>
      </c>
      <c r="E6" s="148" t="str">
        <f t="shared" si="0"/>
        <v>اسفند</v>
      </c>
      <c r="F6" s="149" t="s">
        <v>168</v>
      </c>
      <c r="G6" s="244" t="s">
        <v>218</v>
      </c>
      <c r="H6" s="247" t="s">
        <v>524</v>
      </c>
      <c r="I6" s="248" t="s">
        <v>498</v>
      </c>
      <c r="J6" s="251">
        <v>0</v>
      </c>
      <c r="K6" s="253">
        <v>350000</v>
      </c>
      <c r="L6" s="255">
        <f t="shared" si="1"/>
        <v>0</v>
      </c>
      <c r="M6" s="257"/>
      <c r="N6" s="258" t="s">
        <v>217</v>
      </c>
      <c r="O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 s="258"/>
      <c r="Q6" s="259" t="str" cm="1">
        <f t="array" ref="Q6">IF(T[[#This Row],[نوع عملیات]]="فروش", _xlfn.XLOOKUP(T[[#This Row],[کالا]], _xlfn._xlws.FILTER(T[کالا], T[نوع عملیات]="خرید"), _xlfn._xlws.FILTER(T[فروشنده / مشتری], T[نوع عملیات]="خرید")), "")</f>
        <v/>
      </c>
    </row>
    <row r="7" spans="2:17" ht="16.5" hidden="1" x14ac:dyDescent="0.75">
      <c r="B7" s="227">
        <v>3</v>
      </c>
      <c r="C7" s="150">
        <v>12</v>
      </c>
      <c r="D7" s="150">
        <v>20</v>
      </c>
      <c r="E7" s="148" t="str">
        <f t="shared" si="0"/>
        <v>اسفند</v>
      </c>
      <c r="F7" s="149" t="s">
        <v>168</v>
      </c>
      <c r="G7" s="244" t="s">
        <v>219</v>
      </c>
      <c r="H7" s="247" t="s">
        <v>524</v>
      </c>
      <c r="I7" s="248" t="s">
        <v>498</v>
      </c>
      <c r="J7" s="251">
        <v>4</v>
      </c>
      <c r="K7" s="253">
        <v>300000</v>
      </c>
      <c r="L7" s="255">
        <f t="shared" si="1"/>
        <v>1200000</v>
      </c>
      <c r="M7" s="257"/>
      <c r="N7" s="258" t="s">
        <v>217</v>
      </c>
      <c r="O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 s="258"/>
      <c r="Q7" s="259" t="str" cm="1">
        <f t="array" ref="Q7">IF(T[[#This Row],[نوع عملیات]]="فروش", _xlfn.XLOOKUP(T[[#This Row],[کالا]], _xlfn._xlws.FILTER(T[کالا], T[نوع عملیات]="خرید"), _xlfn._xlws.FILTER(T[فروشنده / مشتری], T[نوع عملیات]="خرید")), "")</f>
        <v/>
      </c>
    </row>
    <row r="8" spans="2:17" ht="16.5" hidden="1" x14ac:dyDescent="0.75">
      <c r="B8" s="227">
        <v>3</v>
      </c>
      <c r="C8" s="150">
        <v>12</v>
      </c>
      <c r="D8" s="150">
        <v>20</v>
      </c>
      <c r="E8" s="148" t="str">
        <f t="shared" si="0"/>
        <v>اسفند</v>
      </c>
      <c r="F8" s="149" t="s">
        <v>168</v>
      </c>
      <c r="G8" s="244" t="s">
        <v>237</v>
      </c>
      <c r="H8" s="247" t="s">
        <v>524</v>
      </c>
      <c r="I8" s="248" t="s">
        <v>498</v>
      </c>
      <c r="J8" s="251">
        <v>0</v>
      </c>
      <c r="K8" s="253">
        <v>600000</v>
      </c>
      <c r="L8" s="255">
        <f t="shared" si="1"/>
        <v>0</v>
      </c>
      <c r="M8" s="257"/>
      <c r="N8" s="258" t="s">
        <v>217</v>
      </c>
      <c r="O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 s="258"/>
      <c r="Q8" s="259" t="str" cm="1">
        <f t="array" ref="Q8">IF(T[[#This Row],[نوع عملیات]]="فروش", _xlfn.XLOOKUP(T[[#This Row],[کالا]], _xlfn._xlws.FILTER(T[کالا], T[نوع عملیات]="خرید"), _xlfn._xlws.FILTER(T[فروشنده / مشتری], T[نوع عملیات]="خرید")), "")</f>
        <v/>
      </c>
    </row>
    <row r="9" spans="2:17" ht="16.5" hidden="1" x14ac:dyDescent="0.75">
      <c r="B9" s="227">
        <v>3</v>
      </c>
      <c r="C9" s="150">
        <v>12</v>
      </c>
      <c r="D9" s="150">
        <v>20</v>
      </c>
      <c r="E9" s="148" t="str">
        <f t="shared" si="0"/>
        <v>اسفند</v>
      </c>
      <c r="F9" s="149" t="s">
        <v>168</v>
      </c>
      <c r="G9" s="244" t="s">
        <v>220</v>
      </c>
      <c r="H9" s="247" t="s">
        <v>524</v>
      </c>
      <c r="I9" s="248" t="s">
        <v>498</v>
      </c>
      <c r="J9" s="251">
        <v>1</v>
      </c>
      <c r="K9" s="253">
        <v>700000</v>
      </c>
      <c r="L9" s="255">
        <f t="shared" si="1"/>
        <v>700000</v>
      </c>
      <c r="M9" s="257"/>
      <c r="N9" s="258" t="s">
        <v>217</v>
      </c>
      <c r="O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 s="258"/>
      <c r="Q9" s="259" t="str" cm="1">
        <f t="array" ref="Q9">IF(T[[#This Row],[نوع عملیات]]="فروش", _xlfn.XLOOKUP(T[[#This Row],[کالا]], _xlfn._xlws.FILTER(T[کالا], T[نوع عملیات]="خرید"), _xlfn._xlws.FILTER(T[فروشنده / مشتری], T[نوع عملیات]="خرید")), "")</f>
        <v/>
      </c>
    </row>
    <row r="10" spans="2:17" ht="16.5" hidden="1" x14ac:dyDescent="0.75">
      <c r="B10" s="227">
        <v>3</v>
      </c>
      <c r="C10" s="150">
        <v>12</v>
      </c>
      <c r="D10" s="150">
        <v>20</v>
      </c>
      <c r="E10" s="148" t="str">
        <f t="shared" si="0"/>
        <v>اسفند</v>
      </c>
      <c r="F10" s="149" t="s">
        <v>168</v>
      </c>
      <c r="G10" s="244" t="s">
        <v>221</v>
      </c>
      <c r="H10" s="247" t="s">
        <v>524</v>
      </c>
      <c r="I10" s="248" t="s">
        <v>498</v>
      </c>
      <c r="J10" s="251">
        <v>0</v>
      </c>
      <c r="K10" s="253">
        <v>500000</v>
      </c>
      <c r="L10" s="255">
        <f t="shared" si="1"/>
        <v>0</v>
      </c>
      <c r="M10" s="257"/>
      <c r="N10" s="258" t="s">
        <v>217</v>
      </c>
      <c r="O1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 s="258"/>
      <c r="Q10" s="259" t="str" cm="1">
        <f t="array" ref="Q10">IF(T[[#This Row],[نوع عملیات]]="فروش", _xlfn.XLOOKUP(T[[#This Row],[کالا]], _xlfn._xlws.FILTER(T[کالا], T[نوع عملیات]="خرید"), _xlfn._xlws.FILTER(T[فروشنده / مشتری], T[نوع عملیات]="خرید")), "")</f>
        <v/>
      </c>
    </row>
    <row r="11" spans="2:17" ht="16.5" hidden="1" x14ac:dyDescent="0.75">
      <c r="B11" s="227">
        <v>3</v>
      </c>
      <c r="C11" s="150">
        <v>12</v>
      </c>
      <c r="D11" s="150">
        <v>20</v>
      </c>
      <c r="E11" s="148" t="str">
        <f t="shared" si="0"/>
        <v>اسفند</v>
      </c>
      <c r="F11" s="149" t="s">
        <v>168</v>
      </c>
      <c r="G11" s="244" t="s">
        <v>396</v>
      </c>
      <c r="H11" s="247" t="s">
        <v>524</v>
      </c>
      <c r="I11" s="248" t="s">
        <v>498</v>
      </c>
      <c r="J11" s="251">
        <v>1</v>
      </c>
      <c r="K11" s="253">
        <v>650000</v>
      </c>
      <c r="L11" s="255">
        <f t="shared" si="1"/>
        <v>650000</v>
      </c>
      <c r="M11" s="257"/>
      <c r="N11" s="258" t="s">
        <v>217</v>
      </c>
      <c r="O1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 s="258"/>
      <c r="Q11" s="259" t="str" cm="1">
        <f t="array" ref="Q11">IF(T[[#This Row],[نوع عملیات]]="فروش", _xlfn.XLOOKUP(T[[#This Row],[کالا]], _xlfn._xlws.FILTER(T[کالا], T[نوع عملیات]="خرید"), _xlfn._xlws.FILTER(T[فروشنده / مشتری], T[نوع عملیات]="خرید")), "")</f>
        <v/>
      </c>
    </row>
    <row r="12" spans="2:17" ht="16.5" hidden="1" x14ac:dyDescent="0.75">
      <c r="B12" s="227">
        <v>3</v>
      </c>
      <c r="C12" s="150">
        <v>12</v>
      </c>
      <c r="D12" s="150">
        <v>20</v>
      </c>
      <c r="E12" s="148" t="str">
        <f t="shared" si="0"/>
        <v>اسفند</v>
      </c>
      <c r="F12" s="149" t="s">
        <v>168</v>
      </c>
      <c r="G12" s="244" t="s">
        <v>222</v>
      </c>
      <c r="H12" s="247" t="s">
        <v>524</v>
      </c>
      <c r="I12" s="248" t="s">
        <v>498</v>
      </c>
      <c r="J12" s="251">
        <v>0</v>
      </c>
      <c r="K12" s="253">
        <v>650000</v>
      </c>
      <c r="L12" s="255">
        <f t="shared" si="1"/>
        <v>0</v>
      </c>
      <c r="M12" s="257"/>
      <c r="N12" s="258" t="s">
        <v>217</v>
      </c>
      <c r="O1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 s="258"/>
      <c r="Q12" s="259" t="str" cm="1">
        <f t="array" ref="Q12">IF(T[[#This Row],[نوع عملیات]]="فروش", _xlfn.XLOOKUP(T[[#This Row],[کالا]], _xlfn._xlws.FILTER(T[کالا], T[نوع عملیات]="خرید"), _xlfn._xlws.FILTER(T[فروشنده / مشتری], T[نوع عملیات]="خرید")), "")</f>
        <v/>
      </c>
    </row>
    <row r="13" spans="2:17" ht="16.5" hidden="1" x14ac:dyDescent="0.75">
      <c r="B13" s="227">
        <v>3</v>
      </c>
      <c r="C13" s="150">
        <v>12</v>
      </c>
      <c r="D13" s="150">
        <v>20</v>
      </c>
      <c r="E13" s="148" t="str">
        <f t="shared" si="0"/>
        <v>اسفند</v>
      </c>
      <c r="F13" s="149" t="s">
        <v>168</v>
      </c>
      <c r="G13" s="244" t="s">
        <v>223</v>
      </c>
      <c r="H13" s="247" t="s">
        <v>524</v>
      </c>
      <c r="I13" s="248" t="s">
        <v>498</v>
      </c>
      <c r="J13" s="251">
        <v>1</v>
      </c>
      <c r="K13" s="253">
        <v>350000</v>
      </c>
      <c r="L13" s="255">
        <f t="shared" si="1"/>
        <v>350000</v>
      </c>
      <c r="M13" s="257"/>
      <c r="N13" s="258" t="s">
        <v>217</v>
      </c>
      <c r="O1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3" s="258"/>
      <c r="Q13" s="259" t="str" cm="1">
        <f t="array" ref="Q13">IF(T[[#This Row],[نوع عملیات]]="فروش", _xlfn.XLOOKUP(T[[#This Row],[کالا]], _xlfn._xlws.FILTER(T[کالا], T[نوع عملیات]="خرید"), _xlfn._xlws.FILTER(T[فروشنده / مشتری], T[نوع عملیات]="خرید")), "")</f>
        <v/>
      </c>
    </row>
    <row r="14" spans="2:17" ht="16.5" hidden="1" x14ac:dyDescent="0.75">
      <c r="B14" s="227">
        <v>3</v>
      </c>
      <c r="C14" s="150">
        <v>12</v>
      </c>
      <c r="D14" s="150">
        <v>20</v>
      </c>
      <c r="E14" s="148" t="str">
        <f t="shared" si="0"/>
        <v>اسفند</v>
      </c>
      <c r="F14" s="149" t="s">
        <v>168</v>
      </c>
      <c r="G14" s="244" t="s">
        <v>224</v>
      </c>
      <c r="H14" s="247" t="s">
        <v>524</v>
      </c>
      <c r="I14" s="248" t="s">
        <v>498</v>
      </c>
      <c r="J14" s="251">
        <v>0</v>
      </c>
      <c r="K14" s="253">
        <v>300000</v>
      </c>
      <c r="L14" s="255">
        <f t="shared" si="1"/>
        <v>0</v>
      </c>
      <c r="M14" s="257"/>
      <c r="N14" s="258" t="s">
        <v>217</v>
      </c>
      <c r="O1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4" s="258"/>
      <c r="Q14" s="259" t="str" cm="1">
        <f t="array" ref="Q14">IF(T[[#This Row],[نوع عملیات]]="فروش", _xlfn.XLOOKUP(T[[#This Row],[کالا]], _xlfn._xlws.FILTER(T[کالا], T[نوع عملیات]="خرید"), _xlfn._xlws.FILTER(T[فروشنده / مشتری], T[نوع عملیات]="خرید")), "")</f>
        <v/>
      </c>
    </row>
    <row r="15" spans="2:17" ht="16.5" hidden="1" x14ac:dyDescent="0.75">
      <c r="B15" s="227">
        <v>3</v>
      </c>
      <c r="C15" s="150">
        <v>12</v>
      </c>
      <c r="D15" s="150">
        <v>20</v>
      </c>
      <c r="E15" s="148" t="str">
        <f t="shared" si="0"/>
        <v>اسفند</v>
      </c>
      <c r="F15" s="149" t="s">
        <v>168</v>
      </c>
      <c r="G15" s="244" t="s">
        <v>349</v>
      </c>
      <c r="H15" s="247" t="s">
        <v>524</v>
      </c>
      <c r="I15" s="248" t="s">
        <v>498</v>
      </c>
      <c r="J15" s="251">
        <v>1</v>
      </c>
      <c r="K15" s="253">
        <v>650000</v>
      </c>
      <c r="L15" s="255">
        <f t="shared" si="1"/>
        <v>650000</v>
      </c>
      <c r="M15" s="257"/>
      <c r="N15" s="258" t="s">
        <v>217</v>
      </c>
      <c r="O1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5" s="258"/>
      <c r="Q15" s="259" t="str" cm="1">
        <f t="array" ref="Q15">IF(T[[#This Row],[نوع عملیات]]="فروش", _xlfn.XLOOKUP(T[[#This Row],[کالا]], _xlfn._xlws.FILTER(T[کالا], T[نوع عملیات]="خرید"), _xlfn._xlws.FILTER(T[فروشنده / مشتری], T[نوع عملیات]="خرید")), "")</f>
        <v/>
      </c>
    </row>
    <row r="16" spans="2:17" ht="16.5" hidden="1" x14ac:dyDescent="0.75">
      <c r="B16" s="227">
        <v>3</v>
      </c>
      <c r="C16" s="150">
        <v>12</v>
      </c>
      <c r="D16" s="150">
        <v>20</v>
      </c>
      <c r="E16" s="148" t="str">
        <f t="shared" si="0"/>
        <v>اسفند</v>
      </c>
      <c r="F16" s="149" t="s">
        <v>168</v>
      </c>
      <c r="G16" s="244" t="s">
        <v>226</v>
      </c>
      <c r="H16" s="247" t="s">
        <v>524</v>
      </c>
      <c r="I16" s="248" t="s">
        <v>498</v>
      </c>
      <c r="J16" s="251">
        <v>0</v>
      </c>
      <c r="K16" s="253">
        <v>350000</v>
      </c>
      <c r="L16" s="255">
        <f t="shared" si="1"/>
        <v>0</v>
      </c>
      <c r="M16" s="257"/>
      <c r="N16" s="258" t="s">
        <v>217</v>
      </c>
      <c r="O1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 s="258"/>
      <c r="Q16" s="259" t="str" cm="1">
        <f t="array" ref="Q16">IF(T[[#This Row],[نوع عملیات]]="فروش", _xlfn.XLOOKUP(T[[#This Row],[کالا]], _xlfn._xlws.FILTER(T[کالا], T[نوع عملیات]="خرید"), _xlfn._xlws.FILTER(T[فروشنده / مشتری], T[نوع عملیات]="خرید")), "")</f>
        <v/>
      </c>
    </row>
    <row r="17" spans="2:17" ht="16.5" hidden="1" x14ac:dyDescent="0.75">
      <c r="B17" s="227">
        <v>3</v>
      </c>
      <c r="C17" s="150">
        <v>12</v>
      </c>
      <c r="D17" s="150">
        <v>20</v>
      </c>
      <c r="E17" s="148" t="str">
        <f t="shared" si="0"/>
        <v>اسفند</v>
      </c>
      <c r="F17" s="149" t="s">
        <v>168</v>
      </c>
      <c r="G17" s="244" t="s">
        <v>227</v>
      </c>
      <c r="H17" s="247" t="s">
        <v>524</v>
      </c>
      <c r="I17" s="248" t="s">
        <v>499</v>
      </c>
      <c r="J17" s="251">
        <v>1</v>
      </c>
      <c r="K17" s="253">
        <v>350000</v>
      </c>
      <c r="L17" s="255">
        <f t="shared" si="1"/>
        <v>350000</v>
      </c>
      <c r="M17" s="257"/>
      <c r="N17" s="258" t="s">
        <v>217</v>
      </c>
      <c r="O1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 s="258"/>
      <c r="Q17" s="259" t="str" cm="1">
        <f t="array" ref="Q17">IF(T[[#This Row],[نوع عملیات]]="فروش", _xlfn.XLOOKUP(T[[#This Row],[کالا]], _xlfn._xlws.FILTER(T[کالا], T[نوع عملیات]="خرید"), _xlfn._xlws.FILTER(T[فروشنده / مشتری], T[نوع عملیات]="خرید")), "")</f>
        <v/>
      </c>
    </row>
    <row r="18" spans="2:17" ht="16.5" hidden="1" x14ac:dyDescent="0.75">
      <c r="B18" s="227">
        <v>3</v>
      </c>
      <c r="C18" s="150">
        <v>12</v>
      </c>
      <c r="D18" s="150">
        <v>20</v>
      </c>
      <c r="E18" s="148" t="str">
        <f t="shared" si="0"/>
        <v>اسفند</v>
      </c>
      <c r="F18" s="149" t="s">
        <v>168</v>
      </c>
      <c r="G18" s="244" t="s">
        <v>225</v>
      </c>
      <c r="H18" s="247" t="s">
        <v>524</v>
      </c>
      <c r="I18" s="248" t="s">
        <v>499</v>
      </c>
      <c r="J18" s="251">
        <v>6</v>
      </c>
      <c r="K18" s="253">
        <v>680000</v>
      </c>
      <c r="L18" s="255">
        <f t="shared" si="1"/>
        <v>4080000</v>
      </c>
      <c r="M18" s="257"/>
      <c r="N18" s="258" t="s">
        <v>217</v>
      </c>
      <c r="O1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 s="258"/>
      <c r="Q18" s="259" t="str" cm="1">
        <f t="array" ref="Q18">IF(T[[#This Row],[نوع عملیات]]="فروش", _xlfn.XLOOKUP(T[[#This Row],[کالا]], _xlfn._xlws.FILTER(T[کالا], T[نوع عملیات]="خرید"), _xlfn._xlws.FILTER(T[فروشنده / مشتری], T[نوع عملیات]="خرید")), "")</f>
        <v/>
      </c>
    </row>
    <row r="19" spans="2:17" ht="16.5" hidden="1" x14ac:dyDescent="0.75">
      <c r="B19" s="227">
        <v>3</v>
      </c>
      <c r="C19" s="150">
        <v>12</v>
      </c>
      <c r="D19" s="150">
        <v>20</v>
      </c>
      <c r="E19" s="148" t="str">
        <f t="shared" si="0"/>
        <v>اسفند</v>
      </c>
      <c r="F19" s="149" t="s">
        <v>168</v>
      </c>
      <c r="G19" s="244" t="s">
        <v>238</v>
      </c>
      <c r="H19" s="247" t="s">
        <v>524</v>
      </c>
      <c r="I19" s="248" t="s">
        <v>499</v>
      </c>
      <c r="J19" s="251">
        <v>2</v>
      </c>
      <c r="K19" s="253">
        <v>750000</v>
      </c>
      <c r="L19" s="255">
        <f t="shared" si="1"/>
        <v>1500000</v>
      </c>
      <c r="M19" s="257"/>
      <c r="N19" s="258" t="s">
        <v>217</v>
      </c>
      <c r="O1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 s="258"/>
      <c r="Q19" s="259" t="str" cm="1">
        <f t="array" ref="Q19">IF(T[[#This Row],[نوع عملیات]]="فروش", _xlfn.XLOOKUP(T[[#This Row],[کالا]], _xlfn._xlws.FILTER(T[کالا], T[نوع عملیات]="خرید"), _xlfn._xlws.FILTER(T[فروشنده / مشتری], T[نوع عملیات]="خرید")), "")</f>
        <v/>
      </c>
    </row>
    <row r="20" spans="2:17" ht="16.5" hidden="1" x14ac:dyDescent="0.75">
      <c r="B20" s="227">
        <v>3</v>
      </c>
      <c r="C20" s="150">
        <v>12</v>
      </c>
      <c r="D20" s="150">
        <v>20</v>
      </c>
      <c r="E20" s="148" t="str">
        <f t="shared" si="0"/>
        <v>اسفند</v>
      </c>
      <c r="F20" s="149" t="s">
        <v>168</v>
      </c>
      <c r="G20" s="244" t="s">
        <v>228</v>
      </c>
      <c r="H20" s="247" t="s">
        <v>524</v>
      </c>
      <c r="I20" s="248" t="s">
        <v>499</v>
      </c>
      <c r="J20" s="251">
        <v>0</v>
      </c>
      <c r="K20" s="253">
        <v>450000</v>
      </c>
      <c r="L20" s="255">
        <f t="shared" si="1"/>
        <v>0</v>
      </c>
      <c r="M20" s="257"/>
      <c r="N20" s="258" t="s">
        <v>217</v>
      </c>
      <c r="O2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 s="258"/>
      <c r="Q20" s="259" t="str" cm="1">
        <f t="array" ref="Q20">IF(T[[#This Row],[نوع عملیات]]="فروش", _xlfn.XLOOKUP(T[[#This Row],[کالا]], _xlfn._xlws.FILTER(T[کالا], T[نوع عملیات]="خرید"), _xlfn._xlws.FILTER(T[فروشنده / مشتری], T[نوع عملیات]="خرید")), "")</f>
        <v/>
      </c>
    </row>
    <row r="21" spans="2:17" ht="16.5" hidden="1" x14ac:dyDescent="0.75">
      <c r="B21" s="227">
        <v>3</v>
      </c>
      <c r="C21" s="150">
        <v>12</v>
      </c>
      <c r="D21" s="150">
        <v>20</v>
      </c>
      <c r="E21" s="148" t="str">
        <f t="shared" si="0"/>
        <v>اسفند</v>
      </c>
      <c r="F21" s="149" t="s">
        <v>168</v>
      </c>
      <c r="G21" s="244" t="s">
        <v>229</v>
      </c>
      <c r="H21" s="247" t="s">
        <v>524</v>
      </c>
      <c r="I21" s="248" t="s">
        <v>499</v>
      </c>
      <c r="J21" s="251">
        <v>0</v>
      </c>
      <c r="K21" s="253">
        <v>350000</v>
      </c>
      <c r="L21" s="255">
        <f t="shared" si="1"/>
        <v>0</v>
      </c>
      <c r="M21" s="257"/>
      <c r="N21" s="258" t="s">
        <v>217</v>
      </c>
      <c r="O2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 s="258"/>
      <c r="Q21" s="259" t="str" cm="1">
        <f t="array" ref="Q21">IF(T[[#This Row],[نوع عملیات]]="فروش", _xlfn.XLOOKUP(T[[#This Row],[کالا]], _xlfn._xlws.FILTER(T[کالا], T[نوع عملیات]="خرید"), _xlfn._xlws.FILTER(T[فروشنده / مشتری], T[نوع عملیات]="خرید")), "")</f>
        <v/>
      </c>
    </row>
    <row r="22" spans="2:17" ht="16.5" hidden="1" x14ac:dyDescent="0.75">
      <c r="B22" s="227">
        <v>3</v>
      </c>
      <c r="C22" s="150">
        <v>12</v>
      </c>
      <c r="D22" s="150">
        <v>20</v>
      </c>
      <c r="E22" s="148" t="str">
        <f t="shared" si="0"/>
        <v>اسفند</v>
      </c>
      <c r="F22" s="149" t="s">
        <v>168</v>
      </c>
      <c r="G22" s="244" t="s">
        <v>348</v>
      </c>
      <c r="H22" s="247" t="s">
        <v>524</v>
      </c>
      <c r="I22" s="248" t="s">
        <v>499</v>
      </c>
      <c r="J22" s="251">
        <v>1</v>
      </c>
      <c r="K22" s="253">
        <v>350000</v>
      </c>
      <c r="L22" s="255">
        <f t="shared" si="1"/>
        <v>350000</v>
      </c>
      <c r="M22" s="257"/>
      <c r="N22" s="258" t="s">
        <v>217</v>
      </c>
      <c r="O2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2" s="258"/>
      <c r="Q22" s="259" t="str" cm="1">
        <f t="array" ref="Q22">IF(T[[#This Row],[نوع عملیات]]="فروش", _xlfn.XLOOKUP(T[[#This Row],[کالا]], _xlfn._xlws.FILTER(T[کالا], T[نوع عملیات]="خرید"), _xlfn._xlws.FILTER(T[فروشنده / مشتری], T[نوع عملیات]="خرید")), "")</f>
        <v/>
      </c>
    </row>
    <row r="23" spans="2:17" ht="16.5" hidden="1" x14ac:dyDescent="0.75">
      <c r="B23" s="227">
        <v>3</v>
      </c>
      <c r="C23" s="150">
        <v>12</v>
      </c>
      <c r="D23" s="150">
        <v>20</v>
      </c>
      <c r="E23" s="148" t="str">
        <f t="shared" si="0"/>
        <v>اسفند</v>
      </c>
      <c r="F23" s="149" t="s">
        <v>168</v>
      </c>
      <c r="G23" s="244" t="s">
        <v>230</v>
      </c>
      <c r="H23" s="247" t="s">
        <v>524</v>
      </c>
      <c r="I23" s="248" t="s">
        <v>499</v>
      </c>
      <c r="J23" s="251">
        <v>0</v>
      </c>
      <c r="K23" s="253">
        <v>350000</v>
      </c>
      <c r="L23" s="255">
        <f t="shared" si="1"/>
        <v>0</v>
      </c>
      <c r="M23" s="257"/>
      <c r="N23" s="258" t="s">
        <v>217</v>
      </c>
      <c r="O2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3" s="258"/>
      <c r="Q23" s="259" t="str" cm="1">
        <f t="array" ref="Q23">IF(T[[#This Row],[نوع عملیات]]="فروش", _xlfn.XLOOKUP(T[[#This Row],[کالا]], _xlfn._xlws.FILTER(T[کالا], T[نوع عملیات]="خرید"), _xlfn._xlws.FILTER(T[فروشنده / مشتری], T[نوع عملیات]="خرید")), "")</f>
        <v/>
      </c>
    </row>
    <row r="24" spans="2:17" ht="16.5" hidden="1" x14ac:dyDescent="0.75">
      <c r="B24" s="227">
        <v>3</v>
      </c>
      <c r="C24" s="150">
        <v>12</v>
      </c>
      <c r="D24" s="150">
        <v>20</v>
      </c>
      <c r="E24" s="148" t="str">
        <f t="shared" si="0"/>
        <v>اسفند</v>
      </c>
      <c r="F24" s="149" t="s">
        <v>168</v>
      </c>
      <c r="G24" s="244" t="s">
        <v>376</v>
      </c>
      <c r="H24" s="247" t="s">
        <v>524</v>
      </c>
      <c r="I24" s="248" t="s">
        <v>499</v>
      </c>
      <c r="J24" s="251">
        <v>0</v>
      </c>
      <c r="K24" s="253">
        <v>1000000</v>
      </c>
      <c r="L24" s="255">
        <f t="shared" si="1"/>
        <v>0</v>
      </c>
      <c r="M24" s="257"/>
      <c r="N24" s="258" t="s">
        <v>217</v>
      </c>
      <c r="O2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4" s="258"/>
      <c r="Q24" s="259" t="str" cm="1">
        <f t="array" ref="Q24">IF(T[[#This Row],[نوع عملیات]]="فروش", _xlfn.XLOOKUP(T[[#This Row],[کالا]], _xlfn._xlws.FILTER(T[کالا], T[نوع عملیات]="خرید"), _xlfn._xlws.FILTER(T[فروشنده / مشتری], T[نوع عملیات]="خرید")), "")</f>
        <v/>
      </c>
    </row>
    <row r="25" spans="2:17" ht="16.5" hidden="1" x14ac:dyDescent="0.75">
      <c r="B25" s="227">
        <v>3</v>
      </c>
      <c r="C25" s="150">
        <v>12</v>
      </c>
      <c r="D25" s="150">
        <v>20</v>
      </c>
      <c r="E25" s="148" t="str">
        <f t="shared" si="0"/>
        <v>اسفند</v>
      </c>
      <c r="F25" s="149" t="s">
        <v>168</v>
      </c>
      <c r="G25" s="244" t="s">
        <v>231</v>
      </c>
      <c r="H25" s="247" t="s">
        <v>524</v>
      </c>
      <c r="I25" s="248" t="s">
        <v>499</v>
      </c>
      <c r="J25" s="251">
        <v>0</v>
      </c>
      <c r="K25" s="253">
        <v>600000</v>
      </c>
      <c r="L25" s="255">
        <f t="shared" si="1"/>
        <v>0</v>
      </c>
      <c r="M25" s="257"/>
      <c r="N25" s="258" t="s">
        <v>217</v>
      </c>
      <c r="O2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5" s="258"/>
      <c r="Q25" s="259" t="str" cm="1">
        <f t="array" ref="Q25">IF(T[[#This Row],[نوع عملیات]]="فروش", _xlfn.XLOOKUP(T[[#This Row],[کالا]], _xlfn._xlws.FILTER(T[کالا], T[نوع عملیات]="خرید"), _xlfn._xlws.FILTER(T[فروشنده / مشتری], T[نوع عملیات]="خرید")), "")</f>
        <v/>
      </c>
    </row>
    <row r="26" spans="2:17" ht="16.5" hidden="1" x14ac:dyDescent="0.75">
      <c r="B26" s="227">
        <v>3</v>
      </c>
      <c r="C26" s="150">
        <v>12</v>
      </c>
      <c r="D26" s="150">
        <v>20</v>
      </c>
      <c r="E26" s="148" t="str">
        <f t="shared" si="0"/>
        <v>اسفند</v>
      </c>
      <c r="F26" s="149" t="s">
        <v>168</v>
      </c>
      <c r="G26" s="244" t="s">
        <v>232</v>
      </c>
      <c r="H26" s="247" t="s">
        <v>524</v>
      </c>
      <c r="I26" s="248" t="s">
        <v>499</v>
      </c>
      <c r="J26" s="251">
        <v>3</v>
      </c>
      <c r="K26" s="253">
        <v>500000</v>
      </c>
      <c r="L26" s="255">
        <f t="shared" si="1"/>
        <v>1500000</v>
      </c>
      <c r="M26" s="257"/>
      <c r="N26" s="258" t="s">
        <v>217</v>
      </c>
      <c r="O2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6" s="258"/>
      <c r="Q26" s="259" t="str" cm="1">
        <f t="array" ref="Q26">IF(T[[#This Row],[نوع عملیات]]="فروش", _xlfn.XLOOKUP(T[[#This Row],[کالا]], _xlfn._xlws.FILTER(T[کالا], T[نوع عملیات]="خرید"), _xlfn._xlws.FILTER(T[فروشنده / مشتری], T[نوع عملیات]="خرید")), "")</f>
        <v/>
      </c>
    </row>
    <row r="27" spans="2:17" ht="16.5" hidden="1" x14ac:dyDescent="0.75">
      <c r="B27" s="227">
        <v>3</v>
      </c>
      <c r="C27" s="150">
        <v>12</v>
      </c>
      <c r="D27" s="150">
        <v>20</v>
      </c>
      <c r="E27" s="148" t="str">
        <f t="shared" si="0"/>
        <v>اسفند</v>
      </c>
      <c r="F27" s="149" t="s">
        <v>168</v>
      </c>
      <c r="G27" s="244" t="s">
        <v>233</v>
      </c>
      <c r="H27" s="247" t="s">
        <v>524</v>
      </c>
      <c r="I27" s="248" t="s">
        <v>499</v>
      </c>
      <c r="J27" s="251">
        <v>0</v>
      </c>
      <c r="K27" s="253">
        <v>350000</v>
      </c>
      <c r="L27" s="255">
        <f t="shared" si="1"/>
        <v>0</v>
      </c>
      <c r="M27" s="257"/>
      <c r="N27" s="258" t="s">
        <v>217</v>
      </c>
      <c r="O2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7" s="258"/>
      <c r="Q27" s="259" t="str" cm="1">
        <f t="array" ref="Q27">IF(T[[#This Row],[نوع عملیات]]="فروش", _xlfn.XLOOKUP(T[[#This Row],[کالا]], _xlfn._xlws.FILTER(T[کالا], T[نوع عملیات]="خرید"), _xlfn._xlws.FILTER(T[فروشنده / مشتری], T[نوع عملیات]="خرید")), "")</f>
        <v/>
      </c>
    </row>
    <row r="28" spans="2:17" ht="16.5" hidden="1" x14ac:dyDescent="0.75">
      <c r="B28" s="227">
        <v>3</v>
      </c>
      <c r="C28" s="150">
        <v>12</v>
      </c>
      <c r="D28" s="150">
        <v>20</v>
      </c>
      <c r="E28" s="148" t="str">
        <f t="shared" si="0"/>
        <v>اسفند</v>
      </c>
      <c r="F28" s="149" t="s">
        <v>168</v>
      </c>
      <c r="G28" s="244" t="s">
        <v>234</v>
      </c>
      <c r="H28" s="247" t="s">
        <v>524</v>
      </c>
      <c r="I28" s="248" t="s">
        <v>499</v>
      </c>
      <c r="J28" s="251">
        <v>2</v>
      </c>
      <c r="K28" s="253">
        <v>650000</v>
      </c>
      <c r="L28" s="255">
        <f t="shared" si="1"/>
        <v>1300000</v>
      </c>
      <c r="M28" s="257"/>
      <c r="N28" s="258" t="s">
        <v>217</v>
      </c>
      <c r="O2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 s="258"/>
      <c r="Q28" s="259" t="str" cm="1">
        <f t="array" ref="Q28">IF(T[[#This Row],[نوع عملیات]]="فروش", _xlfn.XLOOKUP(T[[#This Row],[کالا]], _xlfn._xlws.FILTER(T[کالا], T[نوع عملیات]="خرید"), _xlfn._xlws.FILTER(T[فروشنده / مشتری], T[نوع عملیات]="خرید")), "")</f>
        <v/>
      </c>
    </row>
    <row r="29" spans="2:17" ht="16.5" hidden="1" x14ac:dyDescent="0.75">
      <c r="B29" s="227">
        <v>3</v>
      </c>
      <c r="C29" s="150">
        <v>12</v>
      </c>
      <c r="D29" s="150">
        <v>20</v>
      </c>
      <c r="E29" s="150" t="str">
        <f t="shared" si="0"/>
        <v>اسفند</v>
      </c>
      <c r="F29" s="151" t="s">
        <v>168</v>
      </c>
      <c r="G29" s="244" t="s">
        <v>236</v>
      </c>
      <c r="H29" s="247" t="s">
        <v>524</v>
      </c>
      <c r="I29" s="248" t="s">
        <v>499</v>
      </c>
      <c r="J29" s="251">
        <v>1</v>
      </c>
      <c r="K29" s="298">
        <v>650000</v>
      </c>
      <c r="L29" s="255">
        <f t="shared" si="1"/>
        <v>650000</v>
      </c>
      <c r="M29" s="257"/>
      <c r="N29" s="258" t="s">
        <v>217</v>
      </c>
      <c r="O2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9" s="258"/>
      <c r="Q29" s="259" t="str" cm="1">
        <f t="array" ref="Q29">IF(T[[#This Row],[نوع عملیات]]="فروش", _xlfn.XLOOKUP(T[[#This Row],[کالا]], _xlfn._xlws.FILTER(T[کالا], T[نوع عملیات]="خرید"), _xlfn._xlws.FILTER(T[فروشنده / مشتری], T[نوع عملیات]="خرید")), "")</f>
        <v/>
      </c>
    </row>
    <row r="30" spans="2:17" ht="16.5" hidden="1" x14ac:dyDescent="0.75">
      <c r="B30" s="227">
        <v>3</v>
      </c>
      <c r="C30" s="150">
        <v>12</v>
      </c>
      <c r="D30" s="150">
        <v>20</v>
      </c>
      <c r="E30" s="150" t="str">
        <f t="shared" si="0"/>
        <v>اسفند</v>
      </c>
      <c r="F30" s="151" t="s">
        <v>168</v>
      </c>
      <c r="G30" s="244" t="s">
        <v>235</v>
      </c>
      <c r="H30" s="247" t="s">
        <v>524</v>
      </c>
      <c r="I30" s="248" t="s">
        <v>499</v>
      </c>
      <c r="J30" s="251">
        <v>0</v>
      </c>
      <c r="K30" s="298">
        <v>300000</v>
      </c>
      <c r="L30" s="255">
        <f t="shared" si="1"/>
        <v>0</v>
      </c>
      <c r="M30" s="257"/>
      <c r="N30" s="258" t="s">
        <v>217</v>
      </c>
      <c r="O3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0" s="258"/>
      <c r="Q30" s="259" t="str" cm="1">
        <f t="array" ref="Q30">IF(T[[#This Row],[نوع عملیات]]="فروش", _xlfn.XLOOKUP(T[[#This Row],[کالا]], _xlfn._xlws.FILTER(T[کالا], T[نوع عملیات]="خرید"), _xlfn._xlws.FILTER(T[فروشنده / مشتری], T[نوع عملیات]="خرید")), "")</f>
        <v/>
      </c>
    </row>
    <row r="31" spans="2:17" ht="16.5" hidden="1" x14ac:dyDescent="0.75">
      <c r="B31" s="227">
        <v>3</v>
      </c>
      <c r="C31" s="150">
        <v>12</v>
      </c>
      <c r="D31" s="150">
        <v>20</v>
      </c>
      <c r="E31" s="150" t="str">
        <f t="shared" si="0"/>
        <v>اسفند</v>
      </c>
      <c r="F31" s="151" t="s">
        <v>168</v>
      </c>
      <c r="G31" s="244" t="s">
        <v>201</v>
      </c>
      <c r="H31" s="247" t="s">
        <v>129</v>
      </c>
      <c r="I31" s="162" t="s">
        <v>488</v>
      </c>
      <c r="J31" s="251">
        <v>5</v>
      </c>
      <c r="K31" s="254">
        <v>1280000</v>
      </c>
      <c r="L31" s="255">
        <f t="shared" si="1"/>
        <v>6400000</v>
      </c>
      <c r="M31" s="257"/>
      <c r="N31" s="258" t="s">
        <v>217</v>
      </c>
      <c r="O3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1" s="258"/>
      <c r="Q31" s="259" t="str" cm="1">
        <f t="array" ref="Q31">IF(T[[#This Row],[نوع عملیات]]="فروش", _xlfn.XLOOKUP(T[[#This Row],[کالا]], _xlfn._xlws.FILTER(T[کالا], T[نوع عملیات]="خرید"), _xlfn._xlws.FILTER(T[فروشنده / مشتری], T[نوع عملیات]="خرید")), "")</f>
        <v/>
      </c>
    </row>
    <row r="32" spans="2:17" ht="16.5" hidden="1" x14ac:dyDescent="0.75">
      <c r="B32" s="227">
        <v>3</v>
      </c>
      <c r="C32" s="150">
        <v>12</v>
      </c>
      <c r="D32" s="150">
        <v>20</v>
      </c>
      <c r="E32" s="150" t="str">
        <f t="shared" si="0"/>
        <v>اسفند</v>
      </c>
      <c r="F32" s="151" t="s">
        <v>168</v>
      </c>
      <c r="G32" s="244" t="s">
        <v>373</v>
      </c>
      <c r="H32" s="247" t="s">
        <v>129</v>
      </c>
      <c r="I32" s="162" t="s">
        <v>488</v>
      </c>
      <c r="J32" s="251">
        <v>1</v>
      </c>
      <c r="K32" s="254">
        <v>1200000</v>
      </c>
      <c r="L32" s="255">
        <f t="shared" si="1"/>
        <v>1200000</v>
      </c>
      <c r="M32" s="257"/>
      <c r="N32" s="258" t="s">
        <v>217</v>
      </c>
      <c r="O3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2" s="258"/>
      <c r="Q32" s="259" t="str" cm="1">
        <f t="array" ref="Q32">IF(T[[#This Row],[نوع عملیات]]="فروش", _xlfn.XLOOKUP(T[[#This Row],[کالا]], _xlfn._xlws.FILTER(T[کالا], T[نوع عملیات]="خرید"), _xlfn._xlws.FILTER(T[فروشنده / مشتری], T[نوع عملیات]="خرید")), "")</f>
        <v/>
      </c>
    </row>
    <row r="33" spans="2:17" ht="16.5" hidden="1" x14ac:dyDescent="0.75">
      <c r="B33" s="227">
        <v>3</v>
      </c>
      <c r="C33" s="150">
        <v>12</v>
      </c>
      <c r="D33" s="150">
        <v>20</v>
      </c>
      <c r="E33" s="150" t="str">
        <f t="shared" si="0"/>
        <v>اسفند</v>
      </c>
      <c r="F33" s="151" t="s">
        <v>168</v>
      </c>
      <c r="G33" s="244" t="s">
        <v>202</v>
      </c>
      <c r="H33" s="247" t="s">
        <v>129</v>
      </c>
      <c r="I33" s="162" t="s">
        <v>488</v>
      </c>
      <c r="J33" s="251">
        <v>2</v>
      </c>
      <c r="K33" s="254">
        <v>1150000</v>
      </c>
      <c r="L33" s="255">
        <f t="shared" si="1"/>
        <v>2300000</v>
      </c>
      <c r="M33" s="257"/>
      <c r="N33" s="258" t="s">
        <v>217</v>
      </c>
      <c r="O3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3" s="258"/>
      <c r="Q33" s="259" t="str" cm="1">
        <f t="array" ref="Q33">IF(T[[#This Row],[نوع عملیات]]="فروش", _xlfn.XLOOKUP(T[[#This Row],[کالا]], _xlfn._xlws.FILTER(T[کالا], T[نوع عملیات]="خرید"), _xlfn._xlws.FILTER(T[فروشنده / مشتری], T[نوع عملیات]="خرید")), "")</f>
        <v/>
      </c>
    </row>
    <row r="34" spans="2:17" ht="16.5" hidden="1" x14ac:dyDescent="0.75">
      <c r="B34" s="227">
        <v>3</v>
      </c>
      <c r="C34" s="150">
        <v>12</v>
      </c>
      <c r="D34" s="150">
        <v>20</v>
      </c>
      <c r="E34" s="148" t="str">
        <f t="shared" si="0"/>
        <v>اسفند</v>
      </c>
      <c r="F34" s="149" t="s">
        <v>168</v>
      </c>
      <c r="G34" s="244" t="s">
        <v>203</v>
      </c>
      <c r="H34" s="247" t="s">
        <v>129</v>
      </c>
      <c r="I34" s="162" t="s">
        <v>488</v>
      </c>
      <c r="J34" s="251">
        <v>5</v>
      </c>
      <c r="K34" s="255">
        <v>850000</v>
      </c>
      <c r="L34" s="255">
        <f t="shared" si="1"/>
        <v>4250000</v>
      </c>
      <c r="M34" s="257"/>
      <c r="N34" s="258" t="s">
        <v>217</v>
      </c>
      <c r="O3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 s="258"/>
      <c r="Q34" s="259" t="str" cm="1">
        <f t="array" ref="Q34">IF(T[[#This Row],[نوع عملیات]]="فروش", _xlfn.XLOOKUP(T[[#This Row],[کالا]], _xlfn._xlws.FILTER(T[کالا], T[نوع عملیات]="خرید"), _xlfn._xlws.FILTER(T[فروشنده / مشتری], T[نوع عملیات]="خرید")), "")</f>
        <v/>
      </c>
    </row>
    <row r="35" spans="2:17" ht="16.5" hidden="1" x14ac:dyDescent="0.75">
      <c r="B35" s="227">
        <v>3</v>
      </c>
      <c r="C35" s="150">
        <v>12</v>
      </c>
      <c r="D35" s="150">
        <v>20</v>
      </c>
      <c r="E35" s="150" t="str">
        <f t="shared" si="0"/>
        <v>اسفند</v>
      </c>
      <c r="F35" s="151" t="s">
        <v>168</v>
      </c>
      <c r="G35" s="244" t="s">
        <v>204</v>
      </c>
      <c r="H35" s="247" t="s">
        <v>129</v>
      </c>
      <c r="I35" s="162" t="s">
        <v>488</v>
      </c>
      <c r="J35" s="251">
        <v>4</v>
      </c>
      <c r="K35" s="254">
        <v>598000</v>
      </c>
      <c r="L35" s="255">
        <f t="shared" si="1"/>
        <v>2392000</v>
      </c>
      <c r="M35" s="257"/>
      <c r="N35" s="258" t="s">
        <v>217</v>
      </c>
      <c r="O3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5" s="258"/>
      <c r="Q35" s="259" t="str" cm="1">
        <f t="array" ref="Q35">IF(T[[#This Row],[نوع عملیات]]="فروش", _xlfn.XLOOKUP(T[[#This Row],[کالا]], _xlfn._xlws.FILTER(T[کالا], T[نوع عملیات]="خرید"), _xlfn._xlws.FILTER(T[فروشنده / مشتری], T[نوع عملیات]="خرید")), "")</f>
        <v/>
      </c>
    </row>
    <row r="36" spans="2:17" ht="16.5" hidden="1" x14ac:dyDescent="0.75">
      <c r="B36" s="227">
        <v>3</v>
      </c>
      <c r="C36" s="150">
        <v>12</v>
      </c>
      <c r="D36" s="150">
        <v>20</v>
      </c>
      <c r="E36" s="150" t="str">
        <f t="shared" ref="E36:E68" si="2">CHOOSE(C36, "فروردین", "اردیبهشت", "خرداد", "تیر", "مرداد", "شهریور", "مهر", "آبان", "آذر", "دی", "بهمن", "اسفند")</f>
        <v>اسفند</v>
      </c>
      <c r="F36" s="151" t="s">
        <v>168</v>
      </c>
      <c r="G36" s="244" t="s">
        <v>205</v>
      </c>
      <c r="H36" s="247" t="s">
        <v>129</v>
      </c>
      <c r="I36" s="162" t="s">
        <v>488</v>
      </c>
      <c r="J36" s="251">
        <v>3</v>
      </c>
      <c r="K36" s="298">
        <v>650000</v>
      </c>
      <c r="L36" s="255">
        <f t="shared" si="1"/>
        <v>1950000</v>
      </c>
      <c r="M36" s="257"/>
      <c r="N36" s="258" t="s">
        <v>217</v>
      </c>
      <c r="O3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6" s="258"/>
      <c r="Q36" s="259" t="str" cm="1">
        <f t="array" ref="Q36">IF(T[[#This Row],[نوع عملیات]]="فروش", _xlfn.XLOOKUP(T[[#This Row],[کالا]], _xlfn._xlws.FILTER(T[کالا], T[نوع عملیات]="خرید"), _xlfn._xlws.FILTER(T[فروشنده / مشتری], T[نوع عملیات]="خرید")), "")</f>
        <v/>
      </c>
    </row>
    <row r="37" spans="2:17" ht="16.5" hidden="1" x14ac:dyDescent="0.75">
      <c r="B37" s="227">
        <v>3</v>
      </c>
      <c r="C37" s="150">
        <v>12</v>
      </c>
      <c r="D37" s="150">
        <v>20</v>
      </c>
      <c r="E37" s="150" t="str">
        <f t="shared" si="2"/>
        <v>اسفند</v>
      </c>
      <c r="F37" s="151" t="s">
        <v>168</v>
      </c>
      <c r="G37" s="244" t="s">
        <v>206</v>
      </c>
      <c r="H37" s="247" t="s">
        <v>129</v>
      </c>
      <c r="I37" s="162" t="s">
        <v>488</v>
      </c>
      <c r="J37" s="251">
        <v>9</v>
      </c>
      <c r="K37" s="254">
        <v>398000</v>
      </c>
      <c r="L37" s="255">
        <f t="shared" si="1"/>
        <v>3582000</v>
      </c>
      <c r="M37" s="257"/>
      <c r="N37" s="258" t="s">
        <v>217</v>
      </c>
      <c r="O3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7" s="258"/>
      <c r="Q37" s="259" t="str" cm="1">
        <f t="array" ref="Q37">IF(T[[#This Row],[نوع عملیات]]="فروش", _xlfn.XLOOKUP(T[[#This Row],[کالا]], _xlfn._xlws.FILTER(T[کالا], T[نوع عملیات]="خرید"), _xlfn._xlws.FILTER(T[فروشنده / مشتری], T[نوع عملیات]="خرید")), "")</f>
        <v/>
      </c>
    </row>
    <row r="38" spans="2:17" ht="16.5" hidden="1" x14ac:dyDescent="0.75">
      <c r="B38" s="227">
        <v>3</v>
      </c>
      <c r="C38" s="150">
        <v>12</v>
      </c>
      <c r="D38" s="150">
        <v>20</v>
      </c>
      <c r="E38" s="150" t="str">
        <f t="shared" si="2"/>
        <v>اسفند</v>
      </c>
      <c r="F38" s="151" t="s">
        <v>168</v>
      </c>
      <c r="G38" s="244" t="s">
        <v>207</v>
      </c>
      <c r="H38" s="247" t="s">
        <v>129</v>
      </c>
      <c r="I38" s="162" t="s">
        <v>488</v>
      </c>
      <c r="J38" s="251">
        <v>8</v>
      </c>
      <c r="K38" s="254">
        <v>285000</v>
      </c>
      <c r="L38" s="255">
        <f t="shared" si="1"/>
        <v>2280000</v>
      </c>
      <c r="M38" s="257"/>
      <c r="N38" s="258" t="s">
        <v>217</v>
      </c>
      <c r="O3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8" s="258"/>
      <c r="Q38" s="259" t="str" cm="1">
        <f t="array" ref="Q38">IF(T[[#This Row],[نوع عملیات]]="فروش", _xlfn.XLOOKUP(T[[#This Row],[کالا]], _xlfn._xlws.FILTER(T[کالا], T[نوع عملیات]="خرید"), _xlfn._xlws.FILTER(T[فروشنده / مشتری], T[نوع عملیات]="خرید")), "")</f>
        <v/>
      </c>
    </row>
    <row r="39" spans="2:17" ht="16.5" hidden="1" x14ac:dyDescent="0.75">
      <c r="B39" s="227">
        <v>3</v>
      </c>
      <c r="C39" s="150">
        <v>12</v>
      </c>
      <c r="D39" s="150">
        <v>20</v>
      </c>
      <c r="E39" s="150" t="str">
        <f t="shared" si="2"/>
        <v>اسفند</v>
      </c>
      <c r="F39" s="151" t="s">
        <v>168</v>
      </c>
      <c r="G39" s="244" t="s">
        <v>212</v>
      </c>
      <c r="H39" s="247" t="s">
        <v>129</v>
      </c>
      <c r="I39" s="162" t="s">
        <v>488</v>
      </c>
      <c r="J39" s="251">
        <v>4</v>
      </c>
      <c r="K39" s="254">
        <v>680000</v>
      </c>
      <c r="L39" s="255">
        <f t="shared" si="1"/>
        <v>2720000</v>
      </c>
      <c r="M39" s="257"/>
      <c r="N39" s="258" t="s">
        <v>217</v>
      </c>
      <c r="O3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9" s="258"/>
      <c r="Q39" s="259" t="str" cm="1">
        <f t="array" ref="Q39">IF(T[[#This Row],[نوع عملیات]]="فروش", _xlfn.XLOOKUP(T[[#This Row],[کالا]], _xlfn._xlws.FILTER(T[کالا], T[نوع عملیات]="خرید"), _xlfn._xlws.FILTER(T[فروشنده / مشتری], T[نوع عملیات]="خرید")), "")</f>
        <v/>
      </c>
    </row>
    <row r="40" spans="2:17" ht="16.5" hidden="1" x14ac:dyDescent="0.75">
      <c r="B40" s="227">
        <v>3</v>
      </c>
      <c r="C40" s="150">
        <v>12</v>
      </c>
      <c r="D40" s="150">
        <v>20</v>
      </c>
      <c r="E40" s="150" t="str">
        <f t="shared" si="2"/>
        <v>اسفند</v>
      </c>
      <c r="F40" s="151" t="s">
        <v>168</v>
      </c>
      <c r="G40" s="244" t="s">
        <v>208</v>
      </c>
      <c r="H40" s="247" t="s">
        <v>129</v>
      </c>
      <c r="I40" s="162" t="s">
        <v>488</v>
      </c>
      <c r="J40" s="251">
        <v>5</v>
      </c>
      <c r="K40" s="254">
        <v>260000</v>
      </c>
      <c r="L40" s="255">
        <f t="shared" si="1"/>
        <v>1300000</v>
      </c>
      <c r="M40" s="257"/>
      <c r="N40" s="258" t="s">
        <v>217</v>
      </c>
      <c r="O4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 s="258"/>
      <c r="Q40" s="259" t="str" cm="1">
        <f t="array" ref="Q40">IF(T[[#This Row],[نوع عملیات]]="فروش", _xlfn.XLOOKUP(T[[#This Row],[کالا]], _xlfn._xlws.FILTER(T[کالا], T[نوع عملیات]="خرید"), _xlfn._xlws.FILTER(T[فروشنده / مشتری], T[نوع عملیات]="خرید")), "")</f>
        <v/>
      </c>
    </row>
    <row r="41" spans="2:17" ht="16.5" hidden="1" x14ac:dyDescent="0.75">
      <c r="B41" s="227">
        <v>3</v>
      </c>
      <c r="C41" s="150">
        <v>12</v>
      </c>
      <c r="D41" s="150">
        <v>20</v>
      </c>
      <c r="E41" s="150" t="str">
        <f t="shared" si="2"/>
        <v>اسفند</v>
      </c>
      <c r="F41" s="151" t="s">
        <v>168</v>
      </c>
      <c r="G41" s="244" t="s">
        <v>209</v>
      </c>
      <c r="H41" s="247" t="s">
        <v>129</v>
      </c>
      <c r="I41" s="162" t="s">
        <v>488</v>
      </c>
      <c r="J41" s="251">
        <v>1</v>
      </c>
      <c r="K41" s="254">
        <v>650000</v>
      </c>
      <c r="L41" s="255">
        <f t="shared" si="1"/>
        <v>650000</v>
      </c>
      <c r="M41" s="257"/>
      <c r="N41" s="258" t="s">
        <v>217</v>
      </c>
      <c r="O4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1" s="258"/>
      <c r="Q41" s="259" t="str" cm="1">
        <f t="array" ref="Q41">IF(T[[#This Row],[نوع عملیات]]="فروش", _xlfn.XLOOKUP(T[[#This Row],[کالا]], _xlfn._xlws.FILTER(T[کالا], T[نوع عملیات]="خرید"), _xlfn._xlws.FILTER(T[فروشنده / مشتری], T[نوع عملیات]="خرید")), "")</f>
        <v/>
      </c>
    </row>
    <row r="42" spans="2:17" ht="16.5" hidden="1" customHeight="1" x14ac:dyDescent="0.75">
      <c r="B42" s="227">
        <v>3</v>
      </c>
      <c r="C42" s="150">
        <v>12</v>
      </c>
      <c r="D42" s="150">
        <v>20</v>
      </c>
      <c r="E42" s="150" t="str">
        <f t="shared" si="2"/>
        <v>اسفند</v>
      </c>
      <c r="F42" s="151" t="s">
        <v>168</v>
      </c>
      <c r="G42" s="244" t="s">
        <v>210</v>
      </c>
      <c r="H42" s="247" t="s">
        <v>129</v>
      </c>
      <c r="I42" s="162" t="s">
        <v>488</v>
      </c>
      <c r="J42" s="251">
        <v>2</v>
      </c>
      <c r="K42" s="254">
        <v>650000</v>
      </c>
      <c r="L42" s="255">
        <f t="shared" si="1"/>
        <v>1300000</v>
      </c>
      <c r="M42" s="257"/>
      <c r="N42" s="258" t="s">
        <v>217</v>
      </c>
      <c r="O4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2" s="258"/>
      <c r="Q42" s="259" t="str" cm="1">
        <f t="array" ref="Q42">IF(T[[#This Row],[نوع عملیات]]="فروش", _xlfn.XLOOKUP(T[[#This Row],[کالا]], _xlfn._xlws.FILTER(T[کالا], T[نوع عملیات]="خرید"), _xlfn._xlws.FILTER(T[فروشنده / مشتری], T[نوع عملیات]="خرید")), "")</f>
        <v/>
      </c>
    </row>
    <row r="43" spans="2:17" ht="16.899999999999999" hidden="1" customHeight="1" x14ac:dyDescent="0.75">
      <c r="B43" s="227">
        <v>3</v>
      </c>
      <c r="C43" s="150">
        <v>12</v>
      </c>
      <c r="D43" s="150">
        <v>20</v>
      </c>
      <c r="E43" s="150" t="str">
        <f t="shared" si="2"/>
        <v>اسفند</v>
      </c>
      <c r="F43" s="151" t="s">
        <v>168</v>
      </c>
      <c r="G43" s="243" t="s">
        <v>356</v>
      </c>
      <c r="H43" s="294" t="s">
        <v>392</v>
      </c>
      <c r="I43" s="162" t="s">
        <v>491</v>
      </c>
      <c r="J43" s="251">
        <v>1</v>
      </c>
      <c r="K43" s="254">
        <v>320000</v>
      </c>
      <c r="L43" s="255">
        <f t="shared" si="1"/>
        <v>320000</v>
      </c>
      <c r="M43" s="257">
        <v>320000</v>
      </c>
      <c r="N43" s="258" t="s">
        <v>346</v>
      </c>
      <c r="O4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3" s="258"/>
      <c r="Q43" s="259" t="str" cm="1">
        <f t="array" ref="Q43">IF(T[[#This Row],[نوع عملیات]]="فروش", _xlfn.XLOOKUP(T[[#This Row],[کالا]], _xlfn._xlws.FILTER(T[کالا], T[نوع عملیات]="خرید"), _xlfn._xlws.FILTER(T[فروشنده / مشتری], T[نوع عملیات]="خرید")), "")</f>
        <v/>
      </c>
    </row>
    <row r="44" spans="2:17" ht="16.899999999999999" hidden="1" customHeight="1" x14ac:dyDescent="0.75">
      <c r="B44" s="227">
        <v>3</v>
      </c>
      <c r="C44" s="150">
        <v>12</v>
      </c>
      <c r="D44" s="150">
        <v>20</v>
      </c>
      <c r="E44" s="150" t="str">
        <f t="shared" si="2"/>
        <v>اسفند</v>
      </c>
      <c r="F44" s="151" t="s">
        <v>167</v>
      </c>
      <c r="G44" s="243" t="s">
        <v>356</v>
      </c>
      <c r="H44" s="247" t="s">
        <v>539</v>
      </c>
      <c r="I44" s="162"/>
      <c r="J44" s="251">
        <v>1</v>
      </c>
      <c r="K44" s="254">
        <v>950000</v>
      </c>
      <c r="L44" s="255">
        <f t="shared" si="1"/>
        <v>950000</v>
      </c>
      <c r="M44" s="257"/>
      <c r="N44" s="258"/>
      <c r="O4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630000</v>
      </c>
      <c r="P44" s="258"/>
      <c r="Q44" s="259" t="str" cm="1">
        <f t="array" ref="Q44">IF(T[[#This Row],[نوع عملیات]]="فروش", _xlfn.XLOOKUP(T[[#This Row],[کالا]], _xlfn._xlws.FILTER(T[کالا], T[نوع عملیات]="خرید"), _xlfn._xlws.FILTER(T[فروشنده / مشتری], T[نوع عملیات]="خرید")), "")</f>
        <v>بازار</v>
      </c>
    </row>
    <row r="45" spans="2:17" ht="16.899999999999999" hidden="1" customHeight="1" x14ac:dyDescent="0.75">
      <c r="B45" s="227">
        <v>3</v>
      </c>
      <c r="C45" s="150">
        <v>12</v>
      </c>
      <c r="D45" s="150">
        <v>20</v>
      </c>
      <c r="E45" s="150" t="str">
        <f t="shared" si="2"/>
        <v>اسفند</v>
      </c>
      <c r="F45" s="151" t="s">
        <v>302</v>
      </c>
      <c r="G45" s="244"/>
      <c r="H45" s="294" t="s">
        <v>434</v>
      </c>
      <c r="I45" s="162"/>
      <c r="J45" s="251"/>
      <c r="K45" s="254"/>
      <c r="L45" s="255"/>
      <c r="M45" s="257">
        <v>1400000</v>
      </c>
      <c r="N45" s="258" t="s">
        <v>346</v>
      </c>
      <c r="O4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5" s="258"/>
      <c r="Q45" s="259" t="str" cm="1">
        <f t="array" ref="Q45">IF(T[[#This Row],[نوع عملیات]]="فروش", _xlfn.XLOOKUP(T[[#This Row],[کالا]], _xlfn._xlws.FILTER(T[کالا], T[نوع عملیات]="خرید"), _xlfn._xlws.FILTER(T[فروشنده / مشتری], T[نوع عملیات]="خرید")), "")</f>
        <v/>
      </c>
    </row>
    <row r="46" spans="2:17" ht="16.899999999999999" hidden="1" customHeight="1" x14ac:dyDescent="0.75">
      <c r="B46" s="227">
        <v>3</v>
      </c>
      <c r="C46" s="150">
        <v>12</v>
      </c>
      <c r="D46" s="150">
        <v>21</v>
      </c>
      <c r="E46" s="150" t="str">
        <f t="shared" si="2"/>
        <v>اسفند</v>
      </c>
      <c r="F46" s="151" t="s">
        <v>168</v>
      </c>
      <c r="G46" s="243" t="s">
        <v>399</v>
      </c>
      <c r="H46" s="294" t="s">
        <v>433</v>
      </c>
      <c r="I46" s="162" t="s">
        <v>496</v>
      </c>
      <c r="J46" s="251">
        <v>1</v>
      </c>
      <c r="K46" s="254">
        <v>160000</v>
      </c>
      <c r="L46" s="255">
        <f t="shared" ref="L46:L78" si="3">J46*K46</f>
        <v>160000</v>
      </c>
      <c r="M46" s="257"/>
      <c r="N46" s="258" t="s">
        <v>216</v>
      </c>
      <c r="O4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 s="258"/>
      <c r="Q46" s="259" t="str" cm="1">
        <f t="array" ref="Q46">IF(T[[#This Row],[نوع عملیات]]="فروش", _xlfn.XLOOKUP(T[[#This Row],[کالا]], _xlfn._xlws.FILTER(T[کالا], T[نوع عملیات]="خرید"), _xlfn._xlws.FILTER(T[فروشنده / مشتری], T[نوع عملیات]="خرید")), "")</f>
        <v/>
      </c>
    </row>
    <row r="47" spans="2:17" ht="16.899999999999999" hidden="1" customHeight="1" x14ac:dyDescent="0.75">
      <c r="B47" s="227">
        <v>3</v>
      </c>
      <c r="C47" s="150">
        <v>12</v>
      </c>
      <c r="D47" s="150">
        <v>21</v>
      </c>
      <c r="E47" s="150" t="str">
        <f t="shared" si="2"/>
        <v>اسفند</v>
      </c>
      <c r="F47" s="151" t="s">
        <v>168</v>
      </c>
      <c r="G47" s="243" t="s">
        <v>277</v>
      </c>
      <c r="H47" s="294" t="s">
        <v>433</v>
      </c>
      <c r="I47" s="162" t="s">
        <v>496</v>
      </c>
      <c r="J47" s="251">
        <v>1</v>
      </c>
      <c r="K47" s="254">
        <v>200000</v>
      </c>
      <c r="L47" s="255">
        <f t="shared" si="3"/>
        <v>200000</v>
      </c>
      <c r="M47" s="257"/>
      <c r="N47" s="258" t="s">
        <v>216</v>
      </c>
      <c r="O4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7" s="258"/>
      <c r="Q47" s="259" t="str" cm="1">
        <f t="array" ref="Q47">IF(T[[#This Row],[نوع عملیات]]="فروش", _xlfn.XLOOKUP(T[[#This Row],[کالا]], _xlfn._xlws.FILTER(T[کالا], T[نوع عملیات]="خرید"), _xlfn._xlws.FILTER(T[فروشنده / مشتری], T[نوع عملیات]="خرید")), "")</f>
        <v/>
      </c>
    </row>
    <row r="48" spans="2:17" ht="16.899999999999999" hidden="1" customHeight="1" x14ac:dyDescent="0.75">
      <c r="B48" s="227">
        <v>3</v>
      </c>
      <c r="C48" s="150">
        <v>12</v>
      </c>
      <c r="D48" s="150">
        <v>21</v>
      </c>
      <c r="E48" s="150" t="str">
        <f t="shared" si="2"/>
        <v>اسفند</v>
      </c>
      <c r="F48" s="151" t="s">
        <v>168</v>
      </c>
      <c r="G48" s="243" t="s">
        <v>309</v>
      </c>
      <c r="H48" s="294" t="s">
        <v>433</v>
      </c>
      <c r="I48" s="162" t="s">
        <v>496</v>
      </c>
      <c r="J48" s="251">
        <v>1</v>
      </c>
      <c r="K48" s="254">
        <v>600000</v>
      </c>
      <c r="L48" s="255">
        <f t="shared" si="3"/>
        <v>600000</v>
      </c>
      <c r="M48" s="257"/>
      <c r="N48" s="258" t="s">
        <v>216</v>
      </c>
      <c r="O4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8" s="258"/>
      <c r="Q48" s="259" t="str" cm="1">
        <f t="array" ref="Q48">IF(T[[#This Row],[نوع عملیات]]="فروش", _xlfn.XLOOKUP(T[[#This Row],[کالا]], _xlfn._xlws.FILTER(T[کالا], T[نوع عملیات]="خرید"), _xlfn._xlws.FILTER(T[فروشنده / مشتری], T[نوع عملیات]="خرید")), "")</f>
        <v/>
      </c>
    </row>
    <row r="49" spans="2:17" ht="16.899999999999999" hidden="1" customHeight="1" x14ac:dyDescent="0.75">
      <c r="B49" s="227">
        <v>3</v>
      </c>
      <c r="C49" s="150">
        <v>12</v>
      </c>
      <c r="D49" s="150">
        <v>21</v>
      </c>
      <c r="E49" s="150" t="str">
        <f t="shared" si="2"/>
        <v>اسفند</v>
      </c>
      <c r="F49" s="151" t="s">
        <v>168</v>
      </c>
      <c r="G49" s="243" t="s">
        <v>440</v>
      </c>
      <c r="H49" s="294" t="s">
        <v>433</v>
      </c>
      <c r="I49" s="162" t="s">
        <v>496</v>
      </c>
      <c r="J49" s="251">
        <v>1</v>
      </c>
      <c r="K49" s="254">
        <v>850000</v>
      </c>
      <c r="L49" s="255">
        <f t="shared" si="3"/>
        <v>850000</v>
      </c>
      <c r="M49" s="257"/>
      <c r="N49" s="258" t="s">
        <v>216</v>
      </c>
      <c r="O4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9" s="258"/>
      <c r="Q49" s="259" t="str" cm="1">
        <f t="array" ref="Q49">IF(T[[#This Row],[نوع عملیات]]="فروش", _xlfn.XLOOKUP(T[[#This Row],[کالا]], _xlfn._xlws.FILTER(T[کالا], T[نوع عملیات]="خرید"), _xlfn._xlws.FILTER(T[فروشنده / مشتری], T[نوع عملیات]="خرید")), "")</f>
        <v/>
      </c>
    </row>
    <row r="50" spans="2:17" ht="16.899999999999999" hidden="1" customHeight="1" x14ac:dyDescent="0.75">
      <c r="B50" s="227">
        <v>3</v>
      </c>
      <c r="C50" s="150">
        <v>12</v>
      </c>
      <c r="D50" s="150">
        <v>21</v>
      </c>
      <c r="E50" s="150" t="str">
        <f t="shared" si="2"/>
        <v>اسفند</v>
      </c>
      <c r="F50" s="151" t="s">
        <v>168</v>
      </c>
      <c r="G50" s="243" t="s">
        <v>402</v>
      </c>
      <c r="H50" s="294" t="s">
        <v>433</v>
      </c>
      <c r="I50" s="162" t="s">
        <v>496</v>
      </c>
      <c r="J50" s="251">
        <v>1</v>
      </c>
      <c r="K50" s="254">
        <v>200000</v>
      </c>
      <c r="L50" s="255">
        <f t="shared" si="3"/>
        <v>200000</v>
      </c>
      <c r="M50" s="257"/>
      <c r="N50" s="258" t="s">
        <v>216</v>
      </c>
      <c r="O5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0" s="258"/>
      <c r="Q50" s="259" t="str" cm="1">
        <f t="array" ref="Q50">IF(T[[#This Row],[نوع عملیات]]="فروش", _xlfn.XLOOKUP(T[[#This Row],[کالا]], _xlfn._xlws.FILTER(T[کالا], T[نوع عملیات]="خرید"), _xlfn._xlws.FILTER(T[فروشنده / مشتری], T[نوع عملیات]="خرید")), "")</f>
        <v/>
      </c>
    </row>
    <row r="51" spans="2:17" ht="16.899999999999999" hidden="1" customHeight="1" x14ac:dyDescent="0.75">
      <c r="B51" s="227">
        <v>3</v>
      </c>
      <c r="C51" s="150">
        <v>12</v>
      </c>
      <c r="D51" s="150">
        <v>21</v>
      </c>
      <c r="E51" s="150" t="str">
        <f t="shared" si="2"/>
        <v>اسفند</v>
      </c>
      <c r="F51" s="151" t="s">
        <v>168</v>
      </c>
      <c r="G51" s="243" t="s">
        <v>340</v>
      </c>
      <c r="H51" s="294" t="s">
        <v>433</v>
      </c>
      <c r="I51" s="162" t="s">
        <v>496</v>
      </c>
      <c r="J51" s="251">
        <v>1</v>
      </c>
      <c r="K51" s="254">
        <v>100000</v>
      </c>
      <c r="L51" s="255">
        <f t="shared" si="3"/>
        <v>100000</v>
      </c>
      <c r="M51" s="257"/>
      <c r="N51" s="258" t="s">
        <v>216</v>
      </c>
      <c r="O5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1" s="258"/>
      <c r="Q51" s="259" t="str" cm="1">
        <f t="array" ref="Q51">IF(T[[#This Row],[نوع عملیات]]="فروش", _xlfn.XLOOKUP(T[[#This Row],[کالا]], _xlfn._xlws.FILTER(T[کالا], T[نوع عملیات]="خرید"), _xlfn._xlws.FILTER(T[فروشنده / مشتری], T[نوع عملیات]="خرید")), "")</f>
        <v/>
      </c>
    </row>
    <row r="52" spans="2:17" ht="16.5" hidden="1" x14ac:dyDescent="0.75">
      <c r="B52" s="227">
        <v>3</v>
      </c>
      <c r="C52" s="150">
        <v>12</v>
      </c>
      <c r="D52" s="150">
        <v>21</v>
      </c>
      <c r="E52" s="150" t="str">
        <f t="shared" si="2"/>
        <v>اسفند</v>
      </c>
      <c r="F52" s="151" t="s">
        <v>168</v>
      </c>
      <c r="G52" s="243" t="s">
        <v>196</v>
      </c>
      <c r="H52" s="247" t="s">
        <v>433</v>
      </c>
      <c r="I52" s="162" t="s">
        <v>496</v>
      </c>
      <c r="J52" s="251">
        <v>1</v>
      </c>
      <c r="K52" s="254">
        <v>100000</v>
      </c>
      <c r="L52" s="255">
        <f t="shared" si="3"/>
        <v>100000</v>
      </c>
      <c r="M52" s="257"/>
      <c r="N52" s="258" t="s">
        <v>216</v>
      </c>
      <c r="O5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2" s="258"/>
      <c r="Q52" s="259" t="str" cm="1">
        <f t="array" ref="Q52">IF(T[[#This Row],[نوع عملیات]]="فروش", _xlfn.XLOOKUP(T[[#This Row],[کالا]], _xlfn._xlws.FILTER(T[کالا], T[نوع عملیات]="خرید"), _xlfn._xlws.FILTER(T[فروشنده / مشتری], T[نوع عملیات]="خرید")), "")</f>
        <v/>
      </c>
    </row>
    <row r="53" spans="2:17" ht="16.899999999999999" hidden="1" customHeight="1" x14ac:dyDescent="0.75">
      <c r="B53" s="227">
        <v>3</v>
      </c>
      <c r="C53" s="150">
        <v>12</v>
      </c>
      <c r="D53" s="150">
        <v>21</v>
      </c>
      <c r="E53" s="150" t="str">
        <f t="shared" si="2"/>
        <v>اسفند</v>
      </c>
      <c r="F53" s="151" t="s">
        <v>168</v>
      </c>
      <c r="G53" s="243" t="s">
        <v>135</v>
      </c>
      <c r="H53" s="294" t="s">
        <v>439</v>
      </c>
      <c r="I53" s="162" t="s">
        <v>497</v>
      </c>
      <c r="J53" s="251">
        <v>1</v>
      </c>
      <c r="K53" s="254">
        <v>0</v>
      </c>
      <c r="L53" s="255">
        <f t="shared" si="3"/>
        <v>0</v>
      </c>
      <c r="M53" s="257"/>
      <c r="N53" s="258"/>
      <c r="O5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3" s="258"/>
      <c r="Q53" s="259" t="str" cm="1">
        <f t="array" ref="Q53">IF(T[[#This Row],[نوع عملیات]]="فروش", _xlfn.XLOOKUP(T[[#This Row],[کالا]], _xlfn._xlws.FILTER(T[کالا], T[نوع عملیات]="خرید"), _xlfn._xlws.FILTER(T[فروشنده / مشتری], T[نوع عملیات]="خرید")), "")</f>
        <v/>
      </c>
    </row>
    <row r="54" spans="2:17" ht="16.899999999999999" hidden="1" customHeight="1" x14ac:dyDescent="0.75">
      <c r="B54" s="227">
        <v>3</v>
      </c>
      <c r="C54" s="150">
        <v>12</v>
      </c>
      <c r="D54" s="150">
        <v>21</v>
      </c>
      <c r="E54" s="150" t="str">
        <f t="shared" si="2"/>
        <v>اسفند</v>
      </c>
      <c r="F54" s="151" t="s">
        <v>168</v>
      </c>
      <c r="G54" s="243" t="s">
        <v>401</v>
      </c>
      <c r="H54" s="294" t="s">
        <v>439</v>
      </c>
      <c r="I54" s="162" t="s">
        <v>497</v>
      </c>
      <c r="J54" s="251">
        <v>1</v>
      </c>
      <c r="K54" s="254">
        <v>0</v>
      </c>
      <c r="L54" s="255">
        <f t="shared" si="3"/>
        <v>0</v>
      </c>
      <c r="M54" s="257"/>
      <c r="N54" s="258"/>
      <c r="O5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4" s="258"/>
      <c r="Q54" s="259" t="str" cm="1">
        <f t="array" ref="Q54">IF(T[[#This Row],[نوع عملیات]]="فروش", _xlfn.XLOOKUP(T[[#This Row],[کالا]], _xlfn._xlws.FILTER(T[کالا], T[نوع عملیات]="خرید"), _xlfn._xlws.FILTER(T[فروشنده / مشتری], T[نوع عملیات]="خرید")), "")</f>
        <v/>
      </c>
    </row>
    <row r="55" spans="2:17" ht="16.5" hidden="1" x14ac:dyDescent="0.75">
      <c r="B55" s="227">
        <v>3</v>
      </c>
      <c r="C55" s="150">
        <v>12</v>
      </c>
      <c r="D55" s="150">
        <v>21</v>
      </c>
      <c r="E55" s="150" t="str">
        <f t="shared" si="2"/>
        <v>اسفند</v>
      </c>
      <c r="F55" s="151" t="s">
        <v>168</v>
      </c>
      <c r="G55" s="243" t="s">
        <v>438</v>
      </c>
      <c r="H55" s="247" t="s">
        <v>439</v>
      </c>
      <c r="I55" s="162" t="s">
        <v>497</v>
      </c>
      <c r="J55" s="251">
        <v>2</v>
      </c>
      <c r="K55" s="254">
        <v>0</v>
      </c>
      <c r="L55" s="255">
        <f t="shared" si="3"/>
        <v>0</v>
      </c>
      <c r="M55" s="257"/>
      <c r="N55" s="258"/>
      <c r="O5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5" s="258"/>
      <c r="Q55" s="259" t="str" cm="1">
        <f t="array" ref="Q55">IF(T[[#This Row],[نوع عملیات]]="فروش", _xlfn.XLOOKUP(T[[#This Row],[کالا]], _xlfn._xlws.FILTER(T[کالا], T[نوع عملیات]="خرید"), _xlfn._xlws.FILTER(T[فروشنده / مشتری], T[نوع عملیات]="خرید")), "")</f>
        <v/>
      </c>
    </row>
    <row r="56" spans="2:17" ht="16.5" hidden="1" x14ac:dyDescent="0.75">
      <c r="B56" s="227">
        <v>3</v>
      </c>
      <c r="C56" s="150">
        <v>12</v>
      </c>
      <c r="D56" s="150">
        <v>21</v>
      </c>
      <c r="E56" s="150" t="str">
        <f>CHOOSE(C56, "فروردین", "اردیبهشت", "خرداد", "تیر", "مرداد", "شهریور", "مهر", "آبان", "آذر", "دی", "بهمن", "اسفند")</f>
        <v>اسفند</v>
      </c>
      <c r="F56" s="151" t="s">
        <v>168</v>
      </c>
      <c r="G56" s="243" t="s">
        <v>671</v>
      </c>
      <c r="H56" s="247" t="s">
        <v>439</v>
      </c>
      <c r="I56" s="162" t="s">
        <v>497</v>
      </c>
      <c r="J56" s="251">
        <v>1</v>
      </c>
      <c r="K56" s="254">
        <v>0</v>
      </c>
      <c r="L56" s="255">
        <f>J56*K56</f>
        <v>0</v>
      </c>
      <c r="M56" s="257"/>
      <c r="N56" s="258"/>
      <c r="O5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6" s="258"/>
      <c r="Q56" s="259" t="str" cm="1">
        <f t="array" ref="Q56">IF(T[[#This Row],[نوع عملیات]]="فروش", _xlfn.XLOOKUP(T[[#This Row],[کالا]], _xlfn._xlws.FILTER(T[کالا], T[نوع عملیات]="خرید"), _xlfn._xlws.FILTER(T[فروشنده / مشتری], T[نوع عملیات]="خرید")), "")</f>
        <v/>
      </c>
    </row>
    <row r="57" spans="2:17" ht="16.899999999999999" hidden="1" customHeight="1" x14ac:dyDescent="0.75">
      <c r="B57" s="227">
        <v>3</v>
      </c>
      <c r="C57" s="150">
        <v>12</v>
      </c>
      <c r="D57" s="150">
        <v>21</v>
      </c>
      <c r="E57" s="150" t="str">
        <f t="shared" si="2"/>
        <v>اسفند</v>
      </c>
      <c r="F57" s="151" t="s">
        <v>168</v>
      </c>
      <c r="G57" s="243" t="s">
        <v>311</v>
      </c>
      <c r="H57" s="294" t="s">
        <v>450</v>
      </c>
      <c r="I57" s="162" t="s">
        <v>494</v>
      </c>
      <c r="J57" s="251">
        <v>2</v>
      </c>
      <c r="K57" s="254">
        <v>850000</v>
      </c>
      <c r="L57" s="255">
        <f t="shared" si="3"/>
        <v>1700000</v>
      </c>
      <c r="M57" s="257">
        <v>1700000</v>
      </c>
      <c r="N57" s="258" t="s">
        <v>346</v>
      </c>
      <c r="O5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7" s="258"/>
      <c r="Q57" s="259" t="str" cm="1">
        <f t="array" ref="Q57">IF(T[[#This Row],[نوع عملیات]]="فروش", _xlfn.XLOOKUP(T[[#This Row],[کالا]], _xlfn._xlws.FILTER(T[کالا], T[نوع عملیات]="خرید"), _xlfn._xlws.FILTER(T[فروشنده / مشتری], T[نوع عملیات]="خرید")), "")</f>
        <v/>
      </c>
    </row>
    <row r="58" spans="2:17" ht="16.899999999999999" hidden="1" customHeight="1" x14ac:dyDescent="0.75">
      <c r="B58" s="227">
        <v>3</v>
      </c>
      <c r="C58" s="150">
        <v>12</v>
      </c>
      <c r="D58" s="150">
        <v>21</v>
      </c>
      <c r="E58" s="150" t="str">
        <f t="shared" si="2"/>
        <v>اسفند</v>
      </c>
      <c r="F58" s="151" t="s">
        <v>168</v>
      </c>
      <c r="G58" s="243" t="s">
        <v>505</v>
      </c>
      <c r="H58" s="294" t="s">
        <v>450</v>
      </c>
      <c r="I58" s="162" t="s">
        <v>494</v>
      </c>
      <c r="J58" s="251">
        <v>1</v>
      </c>
      <c r="K58" s="254">
        <v>850000</v>
      </c>
      <c r="L58" s="255">
        <f t="shared" si="3"/>
        <v>850000</v>
      </c>
      <c r="M58" s="257"/>
      <c r="N58" s="258"/>
      <c r="O5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8" s="258"/>
      <c r="Q58" s="259" t="str" cm="1">
        <f t="array" ref="Q58">IF(T[[#This Row],[نوع عملیات]]="فروش", _xlfn.XLOOKUP(T[[#This Row],[کالا]], _xlfn._xlws.FILTER(T[کالا], T[نوع عملیات]="خرید"), _xlfn._xlws.FILTER(T[فروشنده / مشتری], T[نوع عملیات]="خرید")), "")</f>
        <v/>
      </c>
    </row>
    <row r="59" spans="2:17" ht="16.899999999999999" hidden="1" customHeight="1" x14ac:dyDescent="0.75">
      <c r="B59" s="227">
        <v>3</v>
      </c>
      <c r="C59" s="150">
        <v>12</v>
      </c>
      <c r="D59" s="150">
        <v>21</v>
      </c>
      <c r="E59" s="150" t="str">
        <f t="shared" si="2"/>
        <v>اسفند</v>
      </c>
      <c r="F59" s="151" t="s">
        <v>168</v>
      </c>
      <c r="G59" s="243" t="s">
        <v>333</v>
      </c>
      <c r="H59" s="294" t="s">
        <v>450</v>
      </c>
      <c r="I59" s="162" t="s">
        <v>494</v>
      </c>
      <c r="J59" s="251">
        <v>1</v>
      </c>
      <c r="K59" s="254">
        <v>190000</v>
      </c>
      <c r="L59" s="255">
        <f t="shared" si="3"/>
        <v>190000</v>
      </c>
      <c r="M59" s="257"/>
      <c r="N59" s="258"/>
      <c r="O5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9" s="258"/>
      <c r="Q59" s="259" t="str" cm="1">
        <f t="array" ref="Q59">IF(T[[#This Row],[نوع عملیات]]="فروش", _xlfn.XLOOKUP(T[[#This Row],[کالا]], _xlfn._xlws.FILTER(T[کالا], T[نوع عملیات]="خرید"), _xlfn._xlws.FILTER(T[فروشنده / مشتری], T[نوع عملیات]="خرید")), "")</f>
        <v/>
      </c>
    </row>
    <row r="60" spans="2:17" ht="16.899999999999999" hidden="1" customHeight="1" x14ac:dyDescent="0.75">
      <c r="B60" s="227">
        <v>3</v>
      </c>
      <c r="C60" s="150">
        <v>12</v>
      </c>
      <c r="D60" s="150">
        <v>21</v>
      </c>
      <c r="E60" s="150" t="str">
        <f t="shared" si="2"/>
        <v>اسفند</v>
      </c>
      <c r="F60" s="151" t="s">
        <v>168</v>
      </c>
      <c r="G60" s="243" t="s">
        <v>314</v>
      </c>
      <c r="H60" s="294" t="s">
        <v>450</v>
      </c>
      <c r="I60" s="162" t="s">
        <v>494</v>
      </c>
      <c r="J60" s="251">
        <v>1</v>
      </c>
      <c r="K60" s="254">
        <v>850000</v>
      </c>
      <c r="L60" s="255">
        <f t="shared" si="3"/>
        <v>850000</v>
      </c>
      <c r="M60" s="257"/>
      <c r="N60" s="258"/>
      <c r="O6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 s="258"/>
      <c r="Q60" s="259" t="str" cm="1">
        <f t="array" ref="Q60">IF(T[[#This Row],[نوع عملیات]]="فروش", _xlfn.XLOOKUP(T[[#This Row],[کالا]], _xlfn._xlws.FILTER(T[کالا], T[نوع عملیات]="خرید"), _xlfn._xlws.FILTER(T[فروشنده / مشتری], T[نوع عملیات]="خرید")), "")</f>
        <v/>
      </c>
    </row>
    <row r="61" spans="2:17" ht="16.899999999999999" hidden="1" customHeight="1" x14ac:dyDescent="0.75">
      <c r="B61" s="227">
        <v>3</v>
      </c>
      <c r="C61" s="150">
        <v>12</v>
      </c>
      <c r="D61" s="150">
        <v>21</v>
      </c>
      <c r="E61" s="150" t="str">
        <f t="shared" si="2"/>
        <v>اسفند</v>
      </c>
      <c r="F61" s="151" t="s">
        <v>168</v>
      </c>
      <c r="G61" s="243" t="s">
        <v>455</v>
      </c>
      <c r="H61" s="294" t="s">
        <v>450</v>
      </c>
      <c r="I61" s="162" t="s">
        <v>494</v>
      </c>
      <c r="J61" s="251">
        <v>1</v>
      </c>
      <c r="K61" s="254">
        <v>200000</v>
      </c>
      <c r="L61" s="255">
        <f t="shared" si="3"/>
        <v>200000</v>
      </c>
      <c r="M61" s="257"/>
      <c r="N61" s="258"/>
      <c r="O6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 s="258"/>
      <c r="Q61" s="259" t="str" cm="1">
        <f t="array" ref="Q61">IF(T[[#This Row],[نوع عملیات]]="فروش", _xlfn.XLOOKUP(T[[#This Row],[کالا]], _xlfn._xlws.FILTER(T[کالا], T[نوع عملیات]="خرید"), _xlfn._xlws.FILTER(T[فروشنده / مشتری], T[نوع عملیات]="خرید")), "")</f>
        <v/>
      </c>
    </row>
    <row r="62" spans="2:17" ht="16.899999999999999" hidden="1" customHeight="1" x14ac:dyDescent="0.75">
      <c r="B62" s="227">
        <v>3</v>
      </c>
      <c r="C62" s="150">
        <v>12</v>
      </c>
      <c r="D62" s="150">
        <v>21</v>
      </c>
      <c r="E62" s="150" t="str">
        <f t="shared" si="2"/>
        <v>اسفند</v>
      </c>
      <c r="F62" s="151" t="s">
        <v>168</v>
      </c>
      <c r="G62" s="243" t="s">
        <v>280</v>
      </c>
      <c r="H62" s="294" t="s">
        <v>450</v>
      </c>
      <c r="I62" s="162" t="s">
        <v>494</v>
      </c>
      <c r="J62" s="251">
        <v>1</v>
      </c>
      <c r="K62" s="254">
        <v>310000</v>
      </c>
      <c r="L62" s="255">
        <f t="shared" si="3"/>
        <v>310000</v>
      </c>
      <c r="M62" s="257">
        <v>2400000</v>
      </c>
      <c r="N62" s="258" t="s">
        <v>346</v>
      </c>
      <c r="O6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 s="258"/>
      <c r="Q62" s="259" t="str" cm="1">
        <f t="array" ref="Q62">IF(T[[#This Row],[نوع عملیات]]="فروش", _xlfn.XLOOKUP(T[[#This Row],[کالا]], _xlfn._xlws.FILTER(T[کالا], T[نوع عملیات]="خرید"), _xlfn._xlws.FILTER(T[فروشنده / مشتری], T[نوع عملیات]="خرید")), "")</f>
        <v/>
      </c>
    </row>
    <row r="63" spans="2:17" ht="16.899999999999999" hidden="1" customHeight="1" x14ac:dyDescent="0.75">
      <c r="B63" s="227">
        <v>3</v>
      </c>
      <c r="C63" s="150">
        <v>12</v>
      </c>
      <c r="D63" s="150">
        <v>21</v>
      </c>
      <c r="E63" s="150" t="str">
        <f t="shared" si="2"/>
        <v>اسفند</v>
      </c>
      <c r="F63" s="151" t="s">
        <v>168</v>
      </c>
      <c r="G63" s="243" t="s">
        <v>240</v>
      </c>
      <c r="H63" s="294" t="s">
        <v>392</v>
      </c>
      <c r="I63" s="162" t="s">
        <v>491</v>
      </c>
      <c r="J63" s="251">
        <v>2</v>
      </c>
      <c r="K63" s="254">
        <v>335000</v>
      </c>
      <c r="L63" s="255">
        <f t="shared" si="3"/>
        <v>670000</v>
      </c>
      <c r="M63" s="257"/>
      <c r="N63" s="258" t="s">
        <v>346</v>
      </c>
      <c r="O6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3" s="258"/>
      <c r="Q63" s="259" t="str" cm="1">
        <f t="array" ref="Q63">IF(T[[#This Row],[نوع عملیات]]="فروش", _xlfn.XLOOKUP(T[[#This Row],[کالا]], _xlfn._xlws.FILTER(T[کالا], T[نوع عملیات]="خرید"), _xlfn._xlws.FILTER(T[فروشنده / مشتری], T[نوع عملیات]="خرید")), "")</f>
        <v/>
      </c>
    </row>
    <row r="64" spans="2:17" ht="16.899999999999999" hidden="1" customHeight="1" x14ac:dyDescent="0.75">
      <c r="B64" s="227">
        <v>3</v>
      </c>
      <c r="C64" s="150">
        <v>12</v>
      </c>
      <c r="D64" s="150">
        <v>21</v>
      </c>
      <c r="E64" s="150" t="str">
        <f t="shared" si="2"/>
        <v>اسفند</v>
      </c>
      <c r="F64" s="151" t="s">
        <v>168</v>
      </c>
      <c r="G64" s="243" t="s">
        <v>377</v>
      </c>
      <c r="H64" s="294" t="s">
        <v>392</v>
      </c>
      <c r="I64" s="162" t="s">
        <v>491</v>
      </c>
      <c r="J64" s="251">
        <v>1</v>
      </c>
      <c r="K64" s="254">
        <v>150000</v>
      </c>
      <c r="L64" s="255">
        <f t="shared" si="3"/>
        <v>150000</v>
      </c>
      <c r="M64" s="257"/>
      <c r="N64" s="258" t="s">
        <v>346</v>
      </c>
      <c r="O6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4" s="258"/>
      <c r="Q64" s="259" t="str" cm="1">
        <f t="array" ref="Q64">IF(T[[#This Row],[نوع عملیات]]="فروش", _xlfn.XLOOKUP(T[[#This Row],[کالا]], _xlfn._xlws.FILTER(T[کالا], T[نوع عملیات]="خرید"), _xlfn._xlws.FILTER(T[فروشنده / مشتری], T[نوع عملیات]="خرید")), "")</f>
        <v/>
      </c>
    </row>
    <row r="65" spans="2:17" ht="16.899999999999999" hidden="1" customHeight="1" x14ac:dyDescent="0.75">
      <c r="B65" s="227">
        <v>3</v>
      </c>
      <c r="C65" s="150">
        <v>12</v>
      </c>
      <c r="D65" s="150">
        <v>21</v>
      </c>
      <c r="E65" s="150" t="str">
        <f t="shared" si="2"/>
        <v>اسفند</v>
      </c>
      <c r="F65" s="151" t="s">
        <v>168</v>
      </c>
      <c r="G65" s="243" t="s">
        <v>305</v>
      </c>
      <c r="H65" s="294" t="s">
        <v>392</v>
      </c>
      <c r="I65" s="162" t="s">
        <v>491</v>
      </c>
      <c r="J65" s="251">
        <v>1</v>
      </c>
      <c r="K65" s="254">
        <v>150000</v>
      </c>
      <c r="L65" s="255">
        <f t="shared" si="3"/>
        <v>150000</v>
      </c>
      <c r="M65" s="257"/>
      <c r="N65" s="258" t="s">
        <v>346</v>
      </c>
      <c r="O6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5" s="258"/>
      <c r="Q65" s="259" t="str" cm="1">
        <f t="array" ref="Q65">IF(T[[#This Row],[نوع عملیات]]="فروش", _xlfn.XLOOKUP(T[[#This Row],[کالا]], _xlfn._xlws.FILTER(T[کالا], T[نوع عملیات]="خرید"), _xlfn._xlws.FILTER(T[فروشنده / مشتری], T[نوع عملیات]="خرید")), "")</f>
        <v/>
      </c>
    </row>
    <row r="66" spans="2:17" ht="16.899999999999999" hidden="1" customHeight="1" x14ac:dyDescent="0.75">
      <c r="B66" s="227">
        <v>3</v>
      </c>
      <c r="C66" s="150">
        <v>12</v>
      </c>
      <c r="D66" s="150">
        <v>21</v>
      </c>
      <c r="E66" s="150" t="str">
        <f t="shared" si="2"/>
        <v>اسفند</v>
      </c>
      <c r="F66" s="151" t="s">
        <v>168</v>
      </c>
      <c r="G66" s="243" t="s">
        <v>344</v>
      </c>
      <c r="H66" s="294" t="s">
        <v>392</v>
      </c>
      <c r="I66" s="162" t="s">
        <v>491</v>
      </c>
      <c r="J66" s="251">
        <v>1</v>
      </c>
      <c r="K66" s="254">
        <v>520000</v>
      </c>
      <c r="L66" s="255">
        <f t="shared" si="3"/>
        <v>520000</v>
      </c>
      <c r="M66" s="257"/>
      <c r="N66" s="258" t="s">
        <v>346</v>
      </c>
      <c r="O6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6" s="258"/>
      <c r="Q66" s="259" t="str" cm="1">
        <f t="array" ref="Q66">IF(T[[#This Row],[نوع عملیات]]="فروش", _xlfn.XLOOKUP(T[[#This Row],[کالا]], _xlfn._xlws.FILTER(T[کالا], T[نوع عملیات]="خرید"), _xlfn._xlws.FILTER(T[فروشنده / مشتری], T[نوع عملیات]="خرید")), "")</f>
        <v/>
      </c>
    </row>
    <row r="67" spans="2:17" ht="16.899999999999999" hidden="1" customHeight="1" x14ac:dyDescent="0.75">
      <c r="B67" s="227">
        <v>3</v>
      </c>
      <c r="C67" s="150">
        <v>12</v>
      </c>
      <c r="D67" s="150">
        <v>21</v>
      </c>
      <c r="E67" s="150" t="str">
        <f t="shared" si="2"/>
        <v>اسفند</v>
      </c>
      <c r="F67" s="151" t="s">
        <v>168</v>
      </c>
      <c r="G67" s="243" t="s">
        <v>398</v>
      </c>
      <c r="H67" s="294" t="s">
        <v>392</v>
      </c>
      <c r="I67" s="162" t="s">
        <v>491</v>
      </c>
      <c r="J67" s="251">
        <v>2</v>
      </c>
      <c r="K67" s="254">
        <v>150000</v>
      </c>
      <c r="L67" s="255">
        <f t="shared" si="3"/>
        <v>300000</v>
      </c>
      <c r="M67" s="257"/>
      <c r="N67" s="258" t="s">
        <v>346</v>
      </c>
      <c r="O6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7" s="258"/>
      <c r="Q67" s="259" t="str" cm="1">
        <f t="array" ref="Q67">IF(T[[#This Row],[نوع عملیات]]="فروش", _xlfn.XLOOKUP(T[[#This Row],[کالا]], _xlfn._xlws.FILTER(T[کالا], T[نوع عملیات]="خرید"), _xlfn._xlws.FILTER(T[فروشنده / مشتری], T[نوع عملیات]="خرید")), "")</f>
        <v/>
      </c>
    </row>
    <row r="68" spans="2:17" ht="16.899999999999999" hidden="1" customHeight="1" x14ac:dyDescent="0.75">
      <c r="B68" s="227">
        <v>3</v>
      </c>
      <c r="C68" s="150">
        <v>12</v>
      </c>
      <c r="D68" s="150">
        <v>21</v>
      </c>
      <c r="E68" s="150" t="str">
        <f t="shared" si="2"/>
        <v>اسفند</v>
      </c>
      <c r="F68" s="151" t="s">
        <v>168</v>
      </c>
      <c r="G68" s="243" t="s">
        <v>400</v>
      </c>
      <c r="H68" s="294" t="s">
        <v>392</v>
      </c>
      <c r="I68" s="162" t="s">
        <v>491</v>
      </c>
      <c r="J68" s="251">
        <v>1</v>
      </c>
      <c r="K68" s="254">
        <v>200000</v>
      </c>
      <c r="L68" s="255">
        <f t="shared" si="3"/>
        <v>200000</v>
      </c>
      <c r="M68" s="257"/>
      <c r="N68" s="258" t="s">
        <v>346</v>
      </c>
      <c r="O6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8" s="258"/>
      <c r="Q68" s="259" t="str" cm="1">
        <f t="array" ref="Q68">IF(T[[#This Row],[نوع عملیات]]="فروش", _xlfn.XLOOKUP(T[[#This Row],[کالا]], _xlfn._xlws.FILTER(T[کالا], T[نوع عملیات]="خرید"), _xlfn._xlws.FILTER(T[فروشنده / مشتری], T[نوع عملیات]="خرید")), "")</f>
        <v/>
      </c>
    </row>
    <row r="69" spans="2:17" ht="16.899999999999999" hidden="1" customHeight="1" x14ac:dyDescent="0.75">
      <c r="B69" s="227">
        <v>3</v>
      </c>
      <c r="C69" s="150">
        <v>12</v>
      </c>
      <c r="D69" s="150">
        <v>21</v>
      </c>
      <c r="E69" s="150" t="str">
        <f t="shared" ref="E69:E100" si="4">CHOOSE(C69, "فروردین", "اردیبهشت", "خرداد", "تیر", "مرداد", "شهریور", "مهر", "آبان", "آذر", "دی", "بهمن", "اسفند")</f>
        <v>اسفند</v>
      </c>
      <c r="F69" s="151" t="s">
        <v>168</v>
      </c>
      <c r="G69" s="243" t="s">
        <v>320</v>
      </c>
      <c r="H69" s="294" t="s">
        <v>392</v>
      </c>
      <c r="I69" s="162" t="s">
        <v>491</v>
      </c>
      <c r="J69" s="251">
        <v>1</v>
      </c>
      <c r="K69" s="254">
        <v>675000</v>
      </c>
      <c r="L69" s="255">
        <f t="shared" si="3"/>
        <v>675000</v>
      </c>
      <c r="M69" s="257">
        <v>2665000</v>
      </c>
      <c r="N69" s="258" t="s">
        <v>346</v>
      </c>
      <c r="O6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9" s="258"/>
      <c r="Q69" s="259" t="str" cm="1">
        <f t="array" ref="Q69">IF(T[[#This Row],[نوع عملیات]]="فروش", _xlfn.XLOOKUP(T[[#This Row],[کالا]], _xlfn._xlws.FILTER(T[کالا], T[نوع عملیات]="خرید"), _xlfn._xlws.FILTER(T[فروشنده / مشتری], T[نوع عملیات]="خرید")), "")</f>
        <v/>
      </c>
    </row>
    <row r="70" spans="2:17" ht="16.899999999999999" hidden="1" customHeight="1" x14ac:dyDescent="0.75">
      <c r="B70" s="227">
        <v>3</v>
      </c>
      <c r="C70" s="150">
        <v>12</v>
      </c>
      <c r="D70" s="150">
        <v>21</v>
      </c>
      <c r="E70" s="150" t="str">
        <f t="shared" si="4"/>
        <v>اسفند</v>
      </c>
      <c r="F70" s="151" t="s">
        <v>168</v>
      </c>
      <c r="G70" s="243" t="s">
        <v>403</v>
      </c>
      <c r="H70" s="294" t="s">
        <v>392</v>
      </c>
      <c r="I70" s="162" t="s">
        <v>491</v>
      </c>
      <c r="J70" s="251">
        <v>1</v>
      </c>
      <c r="K70" s="254">
        <v>0</v>
      </c>
      <c r="L70" s="255">
        <f t="shared" si="3"/>
        <v>0</v>
      </c>
      <c r="M70" s="257"/>
      <c r="N70" s="258" t="s">
        <v>346</v>
      </c>
      <c r="O7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0" s="258"/>
      <c r="Q70" s="259" t="str" cm="1">
        <f t="array" ref="Q70">IF(T[[#This Row],[نوع عملیات]]="فروش", _xlfn.XLOOKUP(T[[#This Row],[کالا]], _xlfn._xlws.FILTER(T[کالا], T[نوع عملیات]="خرید"), _xlfn._xlws.FILTER(T[فروشنده / مشتری], T[نوع عملیات]="خرید")), "")</f>
        <v/>
      </c>
    </row>
    <row r="71" spans="2:17" ht="16.899999999999999" hidden="1" customHeight="1" x14ac:dyDescent="0.75">
      <c r="B71" s="227">
        <v>3</v>
      </c>
      <c r="C71" s="150">
        <v>12</v>
      </c>
      <c r="D71" s="150">
        <v>21</v>
      </c>
      <c r="E71" s="150" t="str">
        <f t="shared" si="4"/>
        <v>اسفند</v>
      </c>
      <c r="F71" s="151" t="s">
        <v>168</v>
      </c>
      <c r="G71" s="243" t="s">
        <v>322</v>
      </c>
      <c r="H71" s="294" t="s">
        <v>392</v>
      </c>
      <c r="I71" s="162" t="s">
        <v>491</v>
      </c>
      <c r="J71" s="251">
        <v>3</v>
      </c>
      <c r="K71" s="254">
        <v>190000</v>
      </c>
      <c r="L71" s="255">
        <f t="shared" si="3"/>
        <v>570000</v>
      </c>
      <c r="M71" s="257"/>
      <c r="N71" s="258" t="s">
        <v>346</v>
      </c>
      <c r="O7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1" s="258"/>
      <c r="Q71" s="259" t="str" cm="1">
        <f t="array" ref="Q71">IF(T[[#This Row],[نوع عملیات]]="فروش", _xlfn.XLOOKUP(T[[#This Row],[کالا]], _xlfn._xlws.FILTER(T[کالا], T[نوع عملیات]="خرید"), _xlfn._xlws.FILTER(T[فروشنده / مشتری], T[نوع عملیات]="خرید")), "")</f>
        <v/>
      </c>
    </row>
    <row r="72" spans="2:17" ht="16.899999999999999" hidden="1" customHeight="1" x14ac:dyDescent="0.75">
      <c r="B72" s="227">
        <v>3</v>
      </c>
      <c r="C72" s="150">
        <v>12</v>
      </c>
      <c r="D72" s="150">
        <v>21</v>
      </c>
      <c r="E72" s="150" t="str">
        <f t="shared" si="4"/>
        <v>اسفند</v>
      </c>
      <c r="F72" s="151" t="s">
        <v>168</v>
      </c>
      <c r="G72" s="243" t="s">
        <v>404</v>
      </c>
      <c r="H72" s="294" t="s">
        <v>392</v>
      </c>
      <c r="I72" s="162" t="s">
        <v>491</v>
      </c>
      <c r="J72" s="251">
        <v>3</v>
      </c>
      <c r="K72" s="254">
        <v>1300000</v>
      </c>
      <c r="L72" s="255">
        <f t="shared" si="3"/>
        <v>3900000</v>
      </c>
      <c r="M72" s="257"/>
      <c r="N72" s="258" t="s">
        <v>346</v>
      </c>
      <c r="O7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2" s="258"/>
      <c r="Q72" s="259" t="str" cm="1">
        <f t="array" ref="Q72">IF(T[[#This Row],[نوع عملیات]]="فروش", _xlfn.XLOOKUP(T[[#This Row],[کالا]], _xlfn._xlws.FILTER(T[کالا], T[نوع عملیات]="خرید"), _xlfn._xlws.FILTER(T[فروشنده / مشتری], T[نوع عملیات]="خرید")), "")</f>
        <v/>
      </c>
    </row>
    <row r="73" spans="2:17" ht="16.899999999999999" hidden="1" customHeight="1" x14ac:dyDescent="0.75">
      <c r="B73" s="227">
        <v>3</v>
      </c>
      <c r="C73" s="150">
        <v>12</v>
      </c>
      <c r="D73" s="150">
        <v>21</v>
      </c>
      <c r="E73" s="150" t="str">
        <f t="shared" si="4"/>
        <v>اسفند</v>
      </c>
      <c r="F73" s="151" t="s">
        <v>168</v>
      </c>
      <c r="G73" s="243" t="s">
        <v>323</v>
      </c>
      <c r="H73" s="294" t="s">
        <v>392</v>
      </c>
      <c r="I73" s="162" t="s">
        <v>491</v>
      </c>
      <c r="J73" s="251">
        <v>1</v>
      </c>
      <c r="K73" s="254">
        <v>98000</v>
      </c>
      <c r="L73" s="255">
        <f t="shared" si="3"/>
        <v>98000</v>
      </c>
      <c r="M73" s="257"/>
      <c r="N73" s="258" t="s">
        <v>346</v>
      </c>
      <c r="O7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3" s="258"/>
      <c r="Q73" s="259" t="str" cm="1">
        <f t="array" ref="Q73">IF(T[[#This Row],[نوع عملیات]]="فروش", _xlfn.XLOOKUP(T[[#This Row],[کالا]], _xlfn._xlws.FILTER(T[کالا], T[نوع عملیات]="خرید"), _xlfn._xlws.FILTER(T[فروشنده / مشتری], T[نوع عملیات]="خرید")), "")</f>
        <v/>
      </c>
    </row>
    <row r="74" spans="2:17" ht="16.899999999999999" hidden="1" customHeight="1" x14ac:dyDescent="0.75">
      <c r="B74" s="227">
        <v>3</v>
      </c>
      <c r="C74" s="150">
        <v>12</v>
      </c>
      <c r="D74" s="150">
        <v>21</v>
      </c>
      <c r="E74" s="150" t="str">
        <f t="shared" si="4"/>
        <v>اسفند</v>
      </c>
      <c r="F74" s="151" t="s">
        <v>168</v>
      </c>
      <c r="G74" s="243" t="s">
        <v>285</v>
      </c>
      <c r="H74" s="294" t="s">
        <v>392</v>
      </c>
      <c r="I74" s="162" t="s">
        <v>491</v>
      </c>
      <c r="J74" s="251">
        <v>1</v>
      </c>
      <c r="K74" s="254">
        <v>190000</v>
      </c>
      <c r="L74" s="255">
        <f t="shared" si="3"/>
        <v>190000</v>
      </c>
      <c r="M74" s="257"/>
      <c r="N74" s="258" t="s">
        <v>346</v>
      </c>
      <c r="O7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4" s="258"/>
      <c r="Q74" s="259" t="str" cm="1">
        <f t="array" ref="Q74">IF(T[[#This Row],[نوع عملیات]]="فروش", _xlfn.XLOOKUP(T[[#This Row],[کالا]], _xlfn._xlws.FILTER(T[کالا], T[نوع عملیات]="خرید"), _xlfn._xlws.FILTER(T[فروشنده / مشتری], T[نوع عملیات]="خرید")), "")</f>
        <v/>
      </c>
    </row>
    <row r="75" spans="2:17" ht="16.899999999999999" hidden="1" customHeight="1" x14ac:dyDescent="0.75">
      <c r="B75" s="227">
        <v>3</v>
      </c>
      <c r="C75" s="150">
        <v>12</v>
      </c>
      <c r="D75" s="150">
        <v>21</v>
      </c>
      <c r="E75" s="150" t="str">
        <f t="shared" si="4"/>
        <v>اسفند</v>
      </c>
      <c r="F75" s="151" t="s">
        <v>168</v>
      </c>
      <c r="G75" s="243" t="s">
        <v>306</v>
      </c>
      <c r="H75" s="294" t="s">
        <v>392</v>
      </c>
      <c r="I75" s="162" t="s">
        <v>491</v>
      </c>
      <c r="J75" s="251">
        <v>1</v>
      </c>
      <c r="K75" s="254">
        <v>190000</v>
      </c>
      <c r="L75" s="255">
        <f t="shared" si="3"/>
        <v>190000</v>
      </c>
      <c r="M75" s="257"/>
      <c r="N75" s="258" t="s">
        <v>346</v>
      </c>
      <c r="O7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5" s="258"/>
      <c r="Q75" s="259" t="str" cm="1">
        <f t="array" ref="Q75">IF(T[[#This Row],[نوع عملیات]]="فروش", _xlfn.XLOOKUP(T[[#This Row],[کالا]], _xlfn._xlws.FILTER(T[کالا], T[نوع عملیات]="خرید"), _xlfn._xlws.FILTER(T[فروشنده / مشتری], T[نوع عملیات]="خرید")), "")</f>
        <v/>
      </c>
    </row>
    <row r="76" spans="2:17" ht="16.899999999999999" hidden="1" customHeight="1" x14ac:dyDescent="0.75">
      <c r="B76" s="227">
        <v>3</v>
      </c>
      <c r="C76" s="150">
        <v>12</v>
      </c>
      <c r="D76" s="150">
        <v>21</v>
      </c>
      <c r="E76" s="150" t="str">
        <f t="shared" si="4"/>
        <v>اسفند</v>
      </c>
      <c r="F76" s="151" t="s">
        <v>168</v>
      </c>
      <c r="G76" s="243" t="s">
        <v>397</v>
      </c>
      <c r="H76" s="294" t="s">
        <v>392</v>
      </c>
      <c r="I76" s="162" t="s">
        <v>491</v>
      </c>
      <c r="J76" s="251">
        <v>1</v>
      </c>
      <c r="K76" s="254">
        <v>300000</v>
      </c>
      <c r="L76" s="255">
        <f t="shared" si="3"/>
        <v>300000</v>
      </c>
      <c r="M76" s="257">
        <v>5248000</v>
      </c>
      <c r="N76" s="258" t="s">
        <v>346</v>
      </c>
      <c r="O7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6" s="258"/>
      <c r="Q76" s="259" t="str" cm="1">
        <f t="array" ref="Q76">IF(T[[#This Row],[نوع عملیات]]="فروش", _xlfn.XLOOKUP(T[[#This Row],[کالا]], _xlfn._xlws.FILTER(T[کالا], T[نوع عملیات]="خرید"), _xlfn._xlws.FILTER(T[فروشنده / مشتری], T[نوع عملیات]="خرید")), "")</f>
        <v/>
      </c>
    </row>
    <row r="77" spans="2:17" ht="16.5" hidden="1" x14ac:dyDescent="0.75">
      <c r="B77" s="227">
        <v>3</v>
      </c>
      <c r="C77" s="150">
        <v>12</v>
      </c>
      <c r="D77" s="150">
        <v>21</v>
      </c>
      <c r="E77" s="150" t="str">
        <f t="shared" si="4"/>
        <v>اسفند</v>
      </c>
      <c r="F77" s="151" t="s">
        <v>168</v>
      </c>
      <c r="G77" s="243" t="s">
        <v>287</v>
      </c>
      <c r="H77" s="247" t="s">
        <v>392</v>
      </c>
      <c r="I77" s="162" t="s">
        <v>491</v>
      </c>
      <c r="J77" s="251">
        <v>1</v>
      </c>
      <c r="K77" s="254">
        <v>0</v>
      </c>
      <c r="L77" s="255">
        <f t="shared" si="3"/>
        <v>0</v>
      </c>
      <c r="M77" s="257"/>
      <c r="N77" s="258" t="s">
        <v>346</v>
      </c>
      <c r="O7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7" s="258"/>
      <c r="Q77" s="259" t="str" cm="1">
        <f t="array" ref="Q77">IF(T[[#This Row],[نوع عملیات]]="فروش", _xlfn.XLOOKUP(T[[#This Row],[کالا]], _xlfn._xlws.FILTER(T[کالا], T[نوع عملیات]="خرید"), _xlfn._xlws.FILTER(T[فروشنده / مشتری], T[نوع عملیات]="خرید")), "")</f>
        <v/>
      </c>
    </row>
    <row r="78" spans="2:17" ht="16.5" hidden="1" x14ac:dyDescent="0.75">
      <c r="B78" s="227">
        <v>3</v>
      </c>
      <c r="C78" s="150">
        <v>12</v>
      </c>
      <c r="D78" s="150">
        <v>21</v>
      </c>
      <c r="E78" s="150" t="str">
        <f t="shared" si="4"/>
        <v>اسفند</v>
      </c>
      <c r="F78" s="151" t="s">
        <v>168</v>
      </c>
      <c r="G78" s="243" t="s">
        <v>380</v>
      </c>
      <c r="H78" s="247" t="s">
        <v>392</v>
      </c>
      <c r="I78" s="162" t="s">
        <v>491</v>
      </c>
      <c r="J78" s="251">
        <v>1</v>
      </c>
      <c r="K78" s="254">
        <v>0</v>
      </c>
      <c r="L78" s="255">
        <f t="shared" si="3"/>
        <v>0</v>
      </c>
      <c r="M78" s="257"/>
      <c r="N78" s="258" t="s">
        <v>346</v>
      </c>
      <c r="O7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8" s="258"/>
      <c r="Q78" s="259" t="str" cm="1">
        <f t="array" ref="Q78">IF(T[[#This Row],[نوع عملیات]]="فروش", _xlfn.XLOOKUP(T[[#This Row],[کالا]], _xlfn._xlws.FILTER(T[کالا], T[نوع عملیات]="خرید"), _xlfn._xlws.FILTER(T[فروشنده / مشتری], T[نوع عملیات]="خرید")), "")</f>
        <v/>
      </c>
    </row>
    <row r="79" spans="2:17" ht="16.5" hidden="1" x14ac:dyDescent="0.75">
      <c r="B79" s="227">
        <v>3</v>
      </c>
      <c r="C79" s="150">
        <v>12</v>
      </c>
      <c r="D79" s="150">
        <v>21</v>
      </c>
      <c r="E79" s="150" t="str">
        <f t="shared" si="4"/>
        <v>اسفند</v>
      </c>
      <c r="F79" s="151" t="s">
        <v>168</v>
      </c>
      <c r="G79" s="243" t="s">
        <v>134</v>
      </c>
      <c r="H79" s="247" t="s">
        <v>392</v>
      </c>
      <c r="I79" s="162" t="s">
        <v>491</v>
      </c>
      <c r="J79" s="251">
        <v>1</v>
      </c>
      <c r="K79" s="254">
        <v>740000</v>
      </c>
      <c r="L79" s="255">
        <f t="shared" ref="L79:L110" si="5">J79*K79</f>
        <v>740000</v>
      </c>
      <c r="M79" s="257"/>
      <c r="N79" s="258" t="s">
        <v>346</v>
      </c>
      <c r="O7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9" s="258"/>
      <c r="Q79" s="259" t="str" cm="1">
        <f t="array" ref="Q79">IF(T[[#This Row],[نوع عملیات]]="فروش", _xlfn.XLOOKUP(T[[#This Row],[کالا]], _xlfn._xlws.FILTER(T[کالا], T[نوع عملیات]="خرید"), _xlfn._xlws.FILTER(T[فروشنده / مشتری], T[نوع عملیات]="خرید")), "")</f>
        <v/>
      </c>
    </row>
    <row r="80" spans="2:17" ht="16.5" hidden="1" x14ac:dyDescent="0.75">
      <c r="B80" s="227">
        <v>3</v>
      </c>
      <c r="C80" s="150">
        <v>12</v>
      </c>
      <c r="D80" s="150">
        <v>21</v>
      </c>
      <c r="E80" s="150" t="str">
        <f t="shared" si="4"/>
        <v>اسفند</v>
      </c>
      <c r="F80" s="151" t="s">
        <v>168</v>
      </c>
      <c r="G80" s="243" t="s">
        <v>393</v>
      </c>
      <c r="H80" s="247" t="s">
        <v>392</v>
      </c>
      <c r="I80" s="162" t="s">
        <v>491</v>
      </c>
      <c r="J80" s="251">
        <v>1</v>
      </c>
      <c r="K80" s="254">
        <v>200000</v>
      </c>
      <c r="L80" s="255">
        <f t="shared" si="5"/>
        <v>200000</v>
      </c>
      <c r="M80" s="257"/>
      <c r="N80" s="258" t="s">
        <v>346</v>
      </c>
      <c r="O8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0" s="258"/>
      <c r="Q80" s="259" t="str" cm="1">
        <f t="array" ref="Q80">IF(T[[#This Row],[نوع عملیات]]="فروش", _xlfn.XLOOKUP(T[[#This Row],[کالا]], _xlfn._xlws.FILTER(T[کالا], T[نوع عملیات]="خرید"), _xlfn._xlws.FILTER(T[فروشنده / مشتری], T[نوع عملیات]="خرید")), "")</f>
        <v/>
      </c>
    </row>
    <row r="81" spans="2:17" ht="16.5" hidden="1" x14ac:dyDescent="0.75">
      <c r="B81" s="227">
        <v>3</v>
      </c>
      <c r="C81" s="150">
        <v>12</v>
      </c>
      <c r="D81" s="150">
        <v>21</v>
      </c>
      <c r="E81" s="150" t="str">
        <f t="shared" si="4"/>
        <v>اسفند</v>
      </c>
      <c r="F81" s="151" t="s">
        <v>168</v>
      </c>
      <c r="G81" s="243" t="s">
        <v>378</v>
      </c>
      <c r="H81" s="247" t="s">
        <v>392</v>
      </c>
      <c r="I81" s="162" t="s">
        <v>491</v>
      </c>
      <c r="J81" s="251">
        <v>1</v>
      </c>
      <c r="K81" s="254">
        <v>0</v>
      </c>
      <c r="L81" s="255">
        <f t="shared" si="5"/>
        <v>0</v>
      </c>
      <c r="M81" s="257"/>
      <c r="N81" s="258" t="s">
        <v>346</v>
      </c>
      <c r="O8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1" s="258"/>
      <c r="Q81" s="259" t="str" cm="1">
        <f t="array" ref="Q81">IF(T[[#This Row],[نوع عملیات]]="فروش", _xlfn.XLOOKUP(T[[#This Row],[کالا]], _xlfn._xlws.FILTER(T[کالا], T[نوع عملیات]="خرید"), _xlfn._xlws.FILTER(T[فروشنده / مشتری], T[نوع عملیات]="خرید")), "")</f>
        <v/>
      </c>
    </row>
    <row r="82" spans="2:17" ht="16.899999999999999" hidden="1" customHeight="1" x14ac:dyDescent="0.75">
      <c r="B82" s="227">
        <v>3</v>
      </c>
      <c r="C82" s="150">
        <v>12</v>
      </c>
      <c r="D82" s="150">
        <v>21</v>
      </c>
      <c r="E82" s="150" t="str">
        <f t="shared" si="4"/>
        <v>اسفند</v>
      </c>
      <c r="F82" s="151" t="s">
        <v>168</v>
      </c>
      <c r="G82" s="243" t="s">
        <v>394</v>
      </c>
      <c r="H82" s="294" t="s">
        <v>451</v>
      </c>
      <c r="I82" s="162" t="s">
        <v>451</v>
      </c>
      <c r="J82" s="251">
        <v>1</v>
      </c>
      <c r="K82" s="254">
        <v>0</v>
      </c>
      <c r="L82" s="255">
        <f t="shared" si="5"/>
        <v>0</v>
      </c>
      <c r="M82" s="257"/>
      <c r="N82" s="258"/>
      <c r="O8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2" s="258"/>
      <c r="Q82" s="259" t="str" cm="1">
        <f t="array" ref="Q82">IF(T[[#This Row],[نوع عملیات]]="فروش", _xlfn.XLOOKUP(T[[#This Row],[کالا]], _xlfn._xlws.FILTER(T[کالا], T[نوع عملیات]="خرید"), _xlfn._xlws.FILTER(T[فروشنده / مشتری], T[نوع عملیات]="خرید")), "")</f>
        <v/>
      </c>
    </row>
    <row r="83" spans="2:17" ht="16.899999999999999" hidden="1" customHeight="1" x14ac:dyDescent="0.75">
      <c r="B83" s="227">
        <v>3</v>
      </c>
      <c r="C83" s="150">
        <v>12</v>
      </c>
      <c r="D83" s="150">
        <v>21</v>
      </c>
      <c r="E83" s="150" t="str">
        <f t="shared" si="4"/>
        <v>اسفند</v>
      </c>
      <c r="F83" s="151" t="s">
        <v>168</v>
      </c>
      <c r="G83" s="243" t="s">
        <v>395</v>
      </c>
      <c r="H83" s="294" t="s">
        <v>451</v>
      </c>
      <c r="I83" s="162" t="s">
        <v>451</v>
      </c>
      <c r="J83" s="251">
        <v>2</v>
      </c>
      <c r="K83" s="254">
        <v>0</v>
      </c>
      <c r="L83" s="255">
        <f t="shared" si="5"/>
        <v>0</v>
      </c>
      <c r="M83" s="257"/>
      <c r="N83" s="258"/>
      <c r="O8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3" s="258"/>
      <c r="Q83" s="259" t="str" cm="1">
        <f t="array" ref="Q83">IF(T[[#This Row],[نوع عملیات]]="فروش", _xlfn.XLOOKUP(T[[#This Row],[کالا]], _xlfn._xlws.FILTER(T[کالا], T[نوع عملیات]="خرید"), _xlfn._xlws.FILTER(T[فروشنده / مشتری], T[نوع عملیات]="خرید")), "")</f>
        <v/>
      </c>
    </row>
    <row r="84" spans="2:17" ht="16.899999999999999" hidden="1" customHeight="1" x14ac:dyDescent="0.75">
      <c r="B84" s="227">
        <v>3</v>
      </c>
      <c r="C84" s="150">
        <v>12</v>
      </c>
      <c r="D84" s="150">
        <v>21</v>
      </c>
      <c r="E84" s="150" t="str">
        <f t="shared" si="4"/>
        <v>اسفند</v>
      </c>
      <c r="F84" s="151" t="s">
        <v>168</v>
      </c>
      <c r="G84" s="243" t="s">
        <v>283</v>
      </c>
      <c r="H84" s="294" t="s">
        <v>451</v>
      </c>
      <c r="I84" s="162" t="s">
        <v>451</v>
      </c>
      <c r="J84" s="251">
        <v>1</v>
      </c>
      <c r="K84" s="254">
        <v>0</v>
      </c>
      <c r="L84" s="255">
        <f t="shared" si="5"/>
        <v>0</v>
      </c>
      <c r="M84" s="257"/>
      <c r="N84" s="258"/>
      <c r="O8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4" s="258"/>
      <c r="Q84" s="259" t="str" cm="1">
        <f t="array" ref="Q84">IF(T[[#This Row],[نوع عملیات]]="فروش", _xlfn.XLOOKUP(T[[#This Row],[کالا]], _xlfn._xlws.FILTER(T[کالا], T[نوع عملیات]="خرید"), _xlfn._xlws.FILTER(T[فروشنده / مشتری], T[نوع عملیات]="خرید")), "")</f>
        <v/>
      </c>
    </row>
    <row r="85" spans="2:17" ht="16.899999999999999" hidden="1" customHeight="1" x14ac:dyDescent="0.75">
      <c r="B85" s="227">
        <v>3</v>
      </c>
      <c r="C85" s="150">
        <v>12</v>
      </c>
      <c r="D85" s="150">
        <v>21</v>
      </c>
      <c r="E85" s="150" t="str">
        <f t="shared" si="4"/>
        <v>اسفند</v>
      </c>
      <c r="F85" s="151" t="s">
        <v>168</v>
      </c>
      <c r="G85" s="243" t="s">
        <v>442</v>
      </c>
      <c r="H85" s="294" t="s">
        <v>451</v>
      </c>
      <c r="I85" s="162" t="s">
        <v>451</v>
      </c>
      <c r="J85" s="251">
        <v>1</v>
      </c>
      <c r="K85" s="254">
        <v>0</v>
      </c>
      <c r="L85" s="255">
        <f t="shared" si="5"/>
        <v>0</v>
      </c>
      <c r="M85" s="257"/>
      <c r="N85" s="258"/>
      <c r="O8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5" s="258"/>
      <c r="Q85" s="259" t="str" cm="1">
        <f t="array" ref="Q85">IF(T[[#This Row],[نوع عملیات]]="فروش", _xlfn.XLOOKUP(T[[#This Row],[کالا]], _xlfn._xlws.FILTER(T[کالا], T[نوع عملیات]="خرید"), _xlfn._xlws.FILTER(T[فروشنده / مشتری], T[نوع عملیات]="خرید")), "")</f>
        <v/>
      </c>
    </row>
    <row r="86" spans="2:17" ht="16.899999999999999" hidden="1" customHeight="1" x14ac:dyDescent="0.75">
      <c r="B86" s="227">
        <v>3</v>
      </c>
      <c r="C86" s="150">
        <v>12</v>
      </c>
      <c r="D86" s="150">
        <v>21</v>
      </c>
      <c r="E86" s="150" t="str">
        <f t="shared" si="4"/>
        <v>اسفند</v>
      </c>
      <c r="F86" s="151" t="s">
        <v>168</v>
      </c>
      <c r="G86" s="243" t="s">
        <v>381</v>
      </c>
      <c r="H86" s="294" t="s">
        <v>451</v>
      </c>
      <c r="I86" s="162" t="s">
        <v>451</v>
      </c>
      <c r="J86" s="251">
        <v>2</v>
      </c>
      <c r="K86" s="254">
        <v>0</v>
      </c>
      <c r="L86" s="255">
        <f t="shared" si="5"/>
        <v>0</v>
      </c>
      <c r="M86" s="257"/>
      <c r="N86" s="258"/>
      <c r="O8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6" s="258"/>
      <c r="Q86" s="259" t="str" cm="1">
        <f t="array" ref="Q86">IF(T[[#This Row],[نوع عملیات]]="فروش", _xlfn.XLOOKUP(T[[#This Row],[کالا]], _xlfn._xlws.FILTER(T[کالا], T[نوع عملیات]="خرید"), _xlfn._xlws.FILTER(T[فروشنده / مشتری], T[نوع عملیات]="خرید")), "")</f>
        <v/>
      </c>
    </row>
    <row r="87" spans="2:17" ht="16.5" hidden="1" x14ac:dyDescent="0.75">
      <c r="B87" s="227">
        <v>3</v>
      </c>
      <c r="C87" s="150">
        <v>12</v>
      </c>
      <c r="D87" s="150">
        <v>21</v>
      </c>
      <c r="E87" s="150" t="str">
        <f t="shared" si="4"/>
        <v>اسفند</v>
      </c>
      <c r="F87" s="151" t="s">
        <v>168</v>
      </c>
      <c r="G87" s="243" t="s">
        <v>286</v>
      </c>
      <c r="H87" s="247" t="s">
        <v>451</v>
      </c>
      <c r="I87" s="162" t="s">
        <v>451</v>
      </c>
      <c r="J87" s="251">
        <v>1</v>
      </c>
      <c r="K87" s="254">
        <v>0</v>
      </c>
      <c r="L87" s="255">
        <f t="shared" si="5"/>
        <v>0</v>
      </c>
      <c r="M87" s="257"/>
      <c r="N87" s="258"/>
      <c r="O8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7" s="258"/>
      <c r="Q87" s="259" t="str" cm="1">
        <f t="array" ref="Q87">IF(T[[#This Row],[نوع عملیات]]="فروش", _xlfn.XLOOKUP(T[[#This Row],[کالا]], _xlfn._xlws.FILTER(T[کالا], T[نوع عملیات]="خرید"), _xlfn._xlws.FILTER(T[فروشنده / مشتری], T[نوع عملیات]="خرید")), "")</f>
        <v/>
      </c>
    </row>
    <row r="88" spans="2:17" ht="16.5" hidden="1" x14ac:dyDescent="0.75">
      <c r="B88" s="227">
        <v>3</v>
      </c>
      <c r="C88" s="150">
        <v>12</v>
      </c>
      <c r="D88" s="150">
        <v>21</v>
      </c>
      <c r="E88" s="150" t="str">
        <f t="shared" si="4"/>
        <v>اسفند</v>
      </c>
      <c r="F88" s="151" t="s">
        <v>168</v>
      </c>
      <c r="G88" s="243" t="s">
        <v>379</v>
      </c>
      <c r="H88" s="247" t="s">
        <v>451</v>
      </c>
      <c r="I88" s="162" t="s">
        <v>451</v>
      </c>
      <c r="J88" s="251">
        <v>1</v>
      </c>
      <c r="K88" s="254">
        <v>0</v>
      </c>
      <c r="L88" s="255">
        <f t="shared" si="5"/>
        <v>0</v>
      </c>
      <c r="M88" s="257"/>
      <c r="N88" s="258"/>
      <c r="O8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8" s="258"/>
      <c r="Q88" s="259" t="str" cm="1">
        <f t="array" ref="Q88">IF(T[[#This Row],[نوع عملیات]]="فروش", _xlfn.XLOOKUP(T[[#This Row],[کالا]], _xlfn._xlws.FILTER(T[کالا], T[نوع عملیات]="خرید"), _xlfn._xlws.FILTER(T[فروشنده / مشتری], T[نوع عملیات]="خرید")), "")</f>
        <v/>
      </c>
    </row>
    <row r="89" spans="2:17" ht="16.5" hidden="1" x14ac:dyDescent="0.75">
      <c r="B89" s="227">
        <v>3</v>
      </c>
      <c r="C89" s="150">
        <v>12</v>
      </c>
      <c r="D89" s="150">
        <v>21</v>
      </c>
      <c r="E89" s="150" t="str">
        <f t="shared" si="4"/>
        <v>اسفند</v>
      </c>
      <c r="F89" s="151" t="s">
        <v>167</v>
      </c>
      <c r="G89" s="243" t="s">
        <v>240</v>
      </c>
      <c r="H89" s="247" t="s">
        <v>281</v>
      </c>
      <c r="I89" s="162"/>
      <c r="J89" s="251">
        <v>1</v>
      </c>
      <c r="K89" s="254">
        <v>850000</v>
      </c>
      <c r="L89" s="255">
        <f t="shared" si="5"/>
        <v>850000</v>
      </c>
      <c r="M89" s="257"/>
      <c r="N89" s="258"/>
      <c r="O8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515000</v>
      </c>
      <c r="P89" s="258"/>
      <c r="Q89" s="259" t="str" cm="1">
        <f t="array" ref="Q89">IF(T[[#This Row],[نوع عملیات]]="فروش", _xlfn.XLOOKUP(T[[#This Row],[کالا]], _xlfn._xlws.FILTER(T[کالا], T[نوع عملیات]="خرید"), _xlfn._xlws.FILTER(T[فروشنده / مشتری], T[نوع عملیات]="خرید")), "")</f>
        <v>بازار</v>
      </c>
    </row>
    <row r="90" spans="2:17" ht="16.5" hidden="1" x14ac:dyDescent="0.75">
      <c r="B90" s="227">
        <v>3</v>
      </c>
      <c r="C90" s="150">
        <v>12</v>
      </c>
      <c r="D90" s="150">
        <v>21</v>
      </c>
      <c r="E90" s="150" t="str">
        <f t="shared" si="4"/>
        <v>اسفند</v>
      </c>
      <c r="F90" s="151" t="s">
        <v>167</v>
      </c>
      <c r="G90" s="243" t="s">
        <v>206</v>
      </c>
      <c r="H90" s="247" t="s">
        <v>281</v>
      </c>
      <c r="I90" s="162"/>
      <c r="J90" s="251">
        <v>1</v>
      </c>
      <c r="K90" s="254">
        <v>450000</v>
      </c>
      <c r="L90" s="255">
        <f t="shared" si="5"/>
        <v>450000</v>
      </c>
      <c r="M90" s="257"/>
      <c r="N90" s="258"/>
      <c r="O9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v>
      </c>
      <c r="P90" s="258"/>
      <c r="Q90" s="259" t="str" cm="1">
        <f t="array" ref="Q90">IF(T[[#This Row],[نوع عملیات]]="فروش", _xlfn.XLOOKUP(T[[#This Row],[کالا]], _xlfn._xlws.FILTER(T[کالا], T[نوع عملیات]="خرید"), _xlfn._xlws.FILTER(T[فروشنده / مشتری], T[نوع عملیات]="خرید")), "")</f>
        <v>فریده</v>
      </c>
    </row>
    <row r="91" spans="2:17" ht="16.5" hidden="1" x14ac:dyDescent="0.75">
      <c r="B91" s="227">
        <v>3</v>
      </c>
      <c r="C91" s="150">
        <v>12</v>
      </c>
      <c r="D91" s="150">
        <v>21</v>
      </c>
      <c r="E91" s="150" t="str">
        <f t="shared" si="4"/>
        <v>اسفند</v>
      </c>
      <c r="F91" s="151" t="s">
        <v>167</v>
      </c>
      <c r="G91" s="243" t="s">
        <v>377</v>
      </c>
      <c r="H91" s="247" t="s">
        <v>282</v>
      </c>
      <c r="I91" s="162"/>
      <c r="J91" s="251">
        <v>1</v>
      </c>
      <c r="K91" s="254">
        <v>450000</v>
      </c>
      <c r="L91" s="255">
        <f t="shared" si="5"/>
        <v>450000</v>
      </c>
      <c r="M91" s="257"/>
      <c r="N91" s="258"/>
      <c r="O9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300000</v>
      </c>
      <c r="P91" s="258"/>
      <c r="Q91" s="259" t="str" cm="1">
        <f t="array" ref="Q91">IF(T[[#This Row],[نوع عملیات]]="فروش", _xlfn.XLOOKUP(T[[#This Row],[کالا]], _xlfn._xlws.FILTER(T[کالا], T[نوع عملیات]="خرید"), _xlfn._xlws.FILTER(T[فروشنده / مشتری], T[نوع عملیات]="خرید")), "")</f>
        <v>بازار</v>
      </c>
    </row>
    <row r="92" spans="2:17" ht="16.5" hidden="1" x14ac:dyDescent="0.75">
      <c r="B92" s="227">
        <v>3</v>
      </c>
      <c r="C92" s="150">
        <v>12</v>
      </c>
      <c r="D92" s="150">
        <v>21</v>
      </c>
      <c r="E92" s="150" t="str">
        <f t="shared" si="4"/>
        <v>اسفند</v>
      </c>
      <c r="F92" s="151" t="s">
        <v>167</v>
      </c>
      <c r="G92" s="243" t="s">
        <v>455</v>
      </c>
      <c r="H92" s="247" t="s">
        <v>282</v>
      </c>
      <c r="I92" s="162"/>
      <c r="J92" s="251">
        <v>1</v>
      </c>
      <c r="K92" s="254">
        <v>450000</v>
      </c>
      <c r="L92" s="255">
        <f t="shared" si="5"/>
        <v>450000</v>
      </c>
      <c r="M92" s="257"/>
      <c r="N92" s="258"/>
      <c r="O9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92" s="258"/>
      <c r="Q92" s="259" t="str" cm="1">
        <f t="array" ref="Q92">IF(T[[#This Row],[نوع عملیات]]="فروش", _xlfn.XLOOKUP(T[[#This Row],[کالا]], _xlfn._xlws.FILTER(T[کالا], T[نوع عملیات]="خرید"), _xlfn._xlws.FILTER(T[فروشنده / مشتری], T[نوع عملیات]="خرید")), "")</f>
        <v>دلگشا</v>
      </c>
    </row>
    <row r="93" spans="2:17" ht="16.5" hidden="1" x14ac:dyDescent="0.75">
      <c r="B93" s="227">
        <v>3</v>
      </c>
      <c r="C93" s="150">
        <v>12</v>
      </c>
      <c r="D93" s="150">
        <v>21</v>
      </c>
      <c r="E93" s="150" t="str">
        <f t="shared" si="4"/>
        <v>اسفند</v>
      </c>
      <c r="F93" s="151" t="s">
        <v>167</v>
      </c>
      <c r="G93" s="243" t="s">
        <v>280</v>
      </c>
      <c r="H93" s="247" t="s">
        <v>619</v>
      </c>
      <c r="I93" s="162"/>
      <c r="J93" s="251">
        <v>1</v>
      </c>
      <c r="K93" s="254">
        <v>600000</v>
      </c>
      <c r="L93" s="255">
        <f t="shared" si="5"/>
        <v>600000</v>
      </c>
      <c r="M93" s="257"/>
      <c r="N93" s="258"/>
      <c r="O9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290000</v>
      </c>
      <c r="P93" s="258"/>
      <c r="Q93" s="259" t="str" cm="1">
        <f t="array" ref="Q93">IF(T[[#This Row],[نوع عملیات]]="فروش", _xlfn.XLOOKUP(T[[#This Row],[کالا]], _xlfn._xlws.FILTER(T[کالا], T[نوع عملیات]="خرید"), _xlfn._xlws.FILTER(T[فروشنده / مشتری], T[نوع عملیات]="خرید")), "")</f>
        <v>دلگشا</v>
      </c>
    </row>
    <row r="94" spans="2:17" ht="16.5" hidden="1" x14ac:dyDescent="0.75">
      <c r="B94" s="227">
        <v>3</v>
      </c>
      <c r="C94" s="150">
        <v>12</v>
      </c>
      <c r="D94" s="150">
        <v>21</v>
      </c>
      <c r="E94" s="150" t="str">
        <f t="shared" si="4"/>
        <v>اسفند</v>
      </c>
      <c r="F94" s="151" t="s">
        <v>167</v>
      </c>
      <c r="G94" s="243" t="s">
        <v>283</v>
      </c>
      <c r="H94" s="247" t="s">
        <v>284</v>
      </c>
      <c r="I94" s="162"/>
      <c r="J94" s="251">
        <v>1</v>
      </c>
      <c r="K94" s="254">
        <v>500000</v>
      </c>
      <c r="L94" s="255">
        <f t="shared" si="5"/>
        <v>500000</v>
      </c>
      <c r="M94" s="257"/>
      <c r="N94" s="258"/>
      <c r="O9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94" s="258"/>
      <c r="Q94" s="259" t="str" cm="1">
        <f t="array" ref="Q94">IF(T[[#This Row],[نوع عملیات]]="فروش", _xlfn.XLOOKUP(T[[#This Row],[کالا]], _xlfn._xlws.FILTER(T[کالا], T[نوع عملیات]="خرید"), _xlfn._xlws.FILTER(T[فروشنده / مشتری], T[نوع عملیات]="خرید")), "")</f>
        <v>خودم</v>
      </c>
    </row>
    <row r="95" spans="2:17" ht="16.5" hidden="1" x14ac:dyDescent="0.75">
      <c r="B95" s="227">
        <v>3</v>
      </c>
      <c r="C95" s="150">
        <v>12</v>
      </c>
      <c r="D95" s="150">
        <v>21</v>
      </c>
      <c r="E95" s="150" t="str">
        <f t="shared" si="4"/>
        <v>اسفند</v>
      </c>
      <c r="F95" s="151" t="s">
        <v>167</v>
      </c>
      <c r="G95" s="243" t="s">
        <v>442</v>
      </c>
      <c r="H95" s="247" t="s">
        <v>284</v>
      </c>
      <c r="I95" s="162"/>
      <c r="J95" s="251">
        <v>1</v>
      </c>
      <c r="K95" s="254">
        <v>900000</v>
      </c>
      <c r="L95" s="255">
        <f t="shared" si="5"/>
        <v>900000</v>
      </c>
      <c r="M95" s="257"/>
      <c r="N95" s="258"/>
      <c r="O9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900000</v>
      </c>
      <c r="P95" s="258"/>
      <c r="Q95" s="259" t="str" cm="1">
        <f t="array" ref="Q95">IF(T[[#This Row],[نوع عملیات]]="فروش", _xlfn.XLOOKUP(T[[#This Row],[کالا]], _xlfn._xlws.FILTER(T[کالا], T[نوع عملیات]="خرید"), _xlfn._xlws.FILTER(T[فروشنده / مشتری], T[نوع عملیات]="خرید")), "")</f>
        <v>خودم</v>
      </c>
    </row>
    <row r="96" spans="2:17" ht="16.5" hidden="1" x14ac:dyDescent="0.75">
      <c r="B96" s="227">
        <v>3</v>
      </c>
      <c r="C96" s="150">
        <v>12</v>
      </c>
      <c r="D96" s="150">
        <v>21</v>
      </c>
      <c r="E96" s="150" t="str">
        <f t="shared" si="4"/>
        <v>اسفند</v>
      </c>
      <c r="F96" s="151" t="s">
        <v>167</v>
      </c>
      <c r="G96" s="243" t="s">
        <v>381</v>
      </c>
      <c r="H96" s="247" t="s">
        <v>284</v>
      </c>
      <c r="I96" s="162"/>
      <c r="J96" s="251">
        <v>2</v>
      </c>
      <c r="K96" s="254">
        <v>1100000</v>
      </c>
      <c r="L96" s="255">
        <f t="shared" si="5"/>
        <v>2200000</v>
      </c>
      <c r="M96" s="257"/>
      <c r="N96" s="258"/>
      <c r="O9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2200000</v>
      </c>
      <c r="P96" s="258"/>
      <c r="Q96" s="259" t="str" cm="1">
        <f t="array" ref="Q96">IF(T[[#This Row],[نوع عملیات]]="فروش", _xlfn.XLOOKUP(T[[#This Row],[کالا]], _xlfn._xlws.FILTER(T[کالا], T[نوع عملیات]="خرید"), _xlfn._xlws.FILTER(T[فروشنده / مشتری], T[نوع عملیات]="خرید")), "")</f>
        <v>خودم</v>
      </c>
    </row>
    <row r="97" spans="2:17" ht="16.5" hidden="1" x14ac:dyDescent="0.75">
      <c r="B97" s="227">
        <v>3</v>
      </c>
      <c r="C97" s="150">
        <v>12</v>
      </c>
      <c r="D97" s="150">
        <v>21</v>
      </c>
      <c r="E97" s="150" t="str">
        <f t="shared" si="4"/>
        <v>اسفند</v>
      </c>
      <c r="F97" s="151" t="s">
        <v>167</v>
      </c>
      <c r="G97" s="243" t="s">
        <v>373</v>
      </c>
      <c r="H97" s="247" t="s">
        <v>284</v>
      </c>
      <c r="I97" s="162"/>
      <c r="J97" s="251">
        <v>1</v>
      </c>
      <c r="K97" s="254">
        <v>1800000</v>
      </c>
      <c r="L97" s="255">
        <f t="shared" si="5"/>
        <v>1800000</v>
      </c>
      <c r="M97" s="257"/>
      <c r="N97" s="258"/>
      <c r="O9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600000</v>
      </c>
      <c r="P97" s="258"/>
      <c r="Q97" s="259" t="str" cm="1">
        <f t="array" ref="Q97">IF(T[[#This Row],[نوع عملیات]]="فروش", _xlfn.XLOOKUP(T[[#This Row],[کالا]], _xlfn._xlws.FILTER(T[کالا], T[نوع عملیات]="خرید"), _xlfn._xlws.FILTER(T[فروشنده / مشتری], T[نوع عملیات]="خرید")), "")</f>
        <v>فریده</v>
      </c>
    </row>
    <row r="98" spans="2:17" ht="16.5" hidden="1" x14ac:dyDescent="0.75">
      <c r="B98" s="227">
        <v>3</v>
      </c>
      <c r="C98" s="150">
        <v>12</v>
      </c>
      <c r="D98" s="150">
        <v>21</v>
      </c>
      <c r="E98" s="150" t="str">
        <f t="shared" si="4"/>
        <v>اسفند</v>
      </c>
      <c r="F98" s="151" t="s">
        <v>167</v>
      </c>
      <c r="G98" s="243" t="s">
        <v>202</v>
      </c>
      <c r="H98" s="247" t="s">
        <v>284</v>
      </c>
      <c r="I98" s="162"/>
      <c r="J98" s="251">
        <v>1</v>
      </c>
      <c r="K98" s="254">
        <v>1200000</v>
      </c>
      <c r="L98" s="255">
        <f t="shared" si="5"/>
        <v>1200000</v>
      </c>
      <c r="M98" s="257"/>
      <c r="N98" s="258"/>
      <c r="O9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v>
      </c>
      <c r="P98" s="258"/>
      <c r="Q98" s="259" t="str" cm="1">
        <f t="array" ref="Q98">IF(T[[#This Row],[نوع عملیات]]="فروش", _xlfn.XLOOKUP(T[[#This Row],[کالا]], _xlfn._xlws.FILTER(T[کالا], T[نوع عملیات]="خرید"), _xlfn._xlws.FILTER(T[فروشنده / مشتری], T[نوع عملیات]="خرید")), "")</f>
        <v>فریده</v>
      </c>
    </row>
    <row r="99" spans="2:17" ht="16.5" hidden="1" x14ac:dyDescent="0.75">
      <c r="B99" s="227">
        <v>3</v>
      </c>
      <c r="C99" s="150">
        <v>12</v>
      </c>
      <c r="D99" s="150">
        <v>21</v>
      </c>
      <c r="E99" s="150" t="str">
        <f t="shared" si="4"/>
        <v>اسفند</v>
      </c>
      <c r="F99" s="151" t="s">
        <v>167</v>
      </c>
      <c r="G99" s="243" t="s">
        <v>201</v>
      </c>
      <c r="H99" s="247" t="s">
        <v>284</v>
      </c>
      <c r="I99" s="162"/>
      <c r="J99" s="251">
        <v>1</v>
      </c>
      <c r="K99" s="254">
        <v>1300000</v>
      </c>
      <c r="L99" s="255">
        <f t="shared" si="5"/>
        <v>1300000</v>
      </c>
      <c r="M99" s="257"/>
      <c r="N99" s="258"/>
      <c r="O9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v>
      </c>
      <c r="P99" s="258"/>
      <c r="Q99" s="259" t="str" cm="1">
        <f t="array" ref="Q99">IF(T[[#This Row],[نوع عملیات]]="فروش", _xlfn.XLOOKUP(T[[#This Row],[کالا]], _xlfn._xlws.FILTER(T[کالا], T[نوع عملیات]="خرید"), _xlfn._xlws.FILTER(T[فروشنده / مشتری], T[نوع عملیات]="خرید")), "")</f>
        <v>فریده</v>
      </c>
    </row>
    <row r="100" spans="2:17" ht="16.5" hidden="1" x14ac:dyDescent="0.75">
      <c r="B100" s="227">
        <v>3</v>
      </c>
      <c r="C100" s="150">
        <v>12</v>
      </c>
      <c r="D100" s="150">
        <v>21</v>
      </c>
      <c r="E100" s="150" t="str">
        <f t="shared" si="4"/>
        <v>اسفند</v>
      </c>
      <c r="F100" s="151" t="s">
        <v>167</v>
      </c>
      <c r="G100" s="243" t="s">
        <v>397</v>
      </c>
      <c r="H100" s="247" t="s">
        <v>284</v>
      </c>
      <c r="I100" s="162"/>
      <c r="J100" s="251">
        <v>1</v>
      </c>
      <c r="K100" s="254">
        <v>800000</v>
      </c>
      <c r="L100" s="255">
        <f t="shared" si="5"/>
        <v>800000</v>
      </c>
      <c r="M100" s="257"/>
      <c r="N100" s="258"/>
      <c r="O10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100" s="258"/>
      <c r="Q100" s="259" t="str" cm="1">
        <f t="array" ref="Q100">IF(T[[#This Row],[نوع عملیات]]="فروش", _xlfn.XLOOKUP(T[[#This Row],[کالا]], _xlfn._xlws.FILTER(T[کالا], T[نوع عملیات]="خرید"), _xlfn._xlws.FILTER(T[فروشنده / مشتری], T[نوع عملیات]="خرید")), "")</f>
        <v>بازار</v>
      </c>
    </row>
    <row r="101" spans="2:17" ht="16.5" hidden="1" x14ac:dyDescent="0.75">
      <c r="B101" s="227">
        <v>3</v>
      </c>
      <c r="C101" s="150">
        <v>12</v>
      </c>
      <c r="D101" s="150">
        <v>21</v>
      </c>
      <c r="E101" s="150" t="str">
        <f t="shared" ref="E101:E132" si="6">CHOOSE(C101, "فروردین", "اردیبهشت", "خرداد", "تیر", "مرداد", "شهریور", "مهر", "آبان", "آذر", "دی", "بهمن", "اسفند")</f>
        <v>اسفند</v>
      </c>
      <c r="F101" s="151" t="s">
        <v>167</v>
      </c>
      <c r="G101" s="243" t="s">
        <v>286</v>
      </c>
      <c r="H101" s="247" t="s">
        <v>284</v>
      </c>
      <c r="I101" s="162"/>
      <c r="J101" s="251">
        <v>1</v>
      </c>
      <c r="K101" s="254">
        <v>400000</v>
      </c>
      <c r="L101" s="255">
        <f t="shared" si="5"/>
        <v>400000</v>
      </c>
      <c r="M101" s="257"/>
      <c r="N101" s="258"/>
      <c r="O10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400000</v>
      </c>
      <c r="P101" s="258"/>
      <c r="Q101" s="259" t="str" cm="1">
        <f t="array" ref="Q101">IF(T[[#This Row],[نوع عملیات]]="فروش", _xlfn.XLOOKUP(T[[#This Row],[کالا]], _xlfn._xlws.FILTER(T[کالا], T[نوع عملیات]="خرید"), _xlfn._xlws.FILTER(T[فروشنده / مشتری], T[نوع عملیات]="خرید")), "")</f>
        <v>خودم</v>
      </c>
    </row>
    <row r="102" spans="2:17" ht="16.5" hidden="1" x14ac:dyDescent="0.75">
      <c r="B102" s="227">
        <v>3</v>
      </c>
      <c r="C102" s="150">
        <v>12</v>
      </c>
      <c r="D102" s="150">
        <v>21</v>
      </c>
      <c r="E102" s="150" t="str">
        <f t="shared" si="6"/>
        <v>اسفند</v>
      </c>
      <c r="F102" s="151" t="s">
        <v>167</v>
      </c>
      <c r="G102" s="243" t="s">
        <v>378</v>
      </c>
      <c r="H102" s="247" t="s">
        <v>284</v>
      </c>
      <c r="I102" s="162"/>
      <c r="J102" s="251">
        <v>1</v>
      </c>
      <c r="K102" s="254">
        <v>800000</v>
      </c>
      <c r="L102" s="255">
        <f t="shared" si="5"/>
        <v>800000</v>
      </c>
      <c r="M102" s="257"/>
      <c r="N102" s="258"/>
      <c r="O10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800000</v>
      </c>
      <c r="P102" s="258"/>
      <c r="Q102" s="259" t="str" cm="1">
        <f t="array" ref="Q102">IF(T[[#This Row],[نوع عملیات]]="فروش", _xlfn.XLOOKUP(T[[#This Row],[کالا]], _xlfn._xlws.FILTER(T[کالا], T[نوع عملیات]="خرید"), _xlfn._xlws.FILTER(T[فروشنده / مشتری], T[نوع عملیات]="خرید")), "")</f>
        <v>بازار</v>
      </c>
    </row>
    <row r="103" spans="2:17" ht="16.5" hidden="1" x14ac:dyDescent="0.75">
      <c r="B103" s="227">
        <v>3</v>
      </c>
      <c r="C103" s="150">
        <v>12</v>
      </c>
      <c r="D103" s="150">
        <v>21</v>
      </c>
      <c r="E103" s="150" t="str">
        <f t="shared" si="6"/>
        <v>اسفند</v>
      </c>
      <c r="F103" s="151" t="s">
        <v>167</v>
      </c>
      <c r="G103" s="243" t="s">
        <v>379</v>
      </c>
      <c r="H103" s="247" t="s">
        <v>284</v>
      </c>
      <c r="I103" s="162"/>
      <c r="J103" s="251">
        <v>1</v>
      </c>
      <c r="K103" s="254">
        <v>1200000</v>
      </c>
      <c r="L103" s="255">
        <f t="shared" si="5"/>
        <v>1200000</v>
      </c>
      <c r="M103" s="257"/>
      <c r="N103" s="258"/>
      <c r="O10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1200000</v>
      </c>
      <c r="P103" s="258"/>
      <c r="Q103" s="259" t="str" cm="1">
        <f t="array" ref="Q103">IF(T[[#This Row],[نوع عملیات]]="فروش", _xlfn.XLOOKUP(T[[#This Row],[کالا]], _xlfn._xlws.FILTER(T[کالا], T[نوع عملیات]="خرید"), _xlfn._xlws.FILTER(T[فروشنده / مشتری], T[نوع عملیات]="خرید")), "")</f>
        <v>خودم</v>
      </c>
    </row>
    <row r="104" spans="2:17" ht="16.5" hidden="1" x14ac:dyDescent="0.75">
      <c r="B104" s="227">
        <v>3</v>
      </c>
      <c r="C104" s="150">
        <v>12</v>
      </c>
      <c r="D104" s="150">
        <v>21</v>
      </c>
      <c r="E104" s="150" t="str">
        <f t="shared" si="6"/>
        <v>اسفند</v>
      </c>
      <c r="F104" s="151" t="s">
        <v>167</v>
      </c>
      <c r="G104" s="243" t="s">
        <v>287</v>
      </c>
      <c r="H104" s="247" t="s">
        <v>284</v>
      </c>
      <c r="I104" s="162"/>
      <c r="J104" s="251">
        <v>1</v>
      </c>
      <c r="K104" s="254">
        <v>700000</v>
      </c>
      <c r="L104" s="255">
        <f t="shared" si="5"/>
        <v>700000</v>
      </c>
      <c r="M104" s="257"/>
      <c r="N104" s="258"/>
      <c r="O10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700000</v>
      </c>
      <c r="P104" s="258"/>
      <c r="Q104" s="259" t="str" cm="1">
        <f t="array" ref="Q104">IF(T[[#This Row],[نوع عملیات]]="فروش", _xlfn.XLOOKUP(T[[#This Row],[کالا]], _xlfn._xlws.FILTER(T[کالا], T[نوع عملیات]="خرید"), _xlfn._xlws.FILTER(T[فروشنده / مشتری], T[نوع عملیات]="خرید")), "")</f>
        <v>بازار</v>
      </c>
    </row>
    <row r="105" spans="2:17" ht="16.5" hidden="1" x14ac:dyDescent="0.75">
      <c r="B105" s="227">
        <v>3</v>
      </c>
      <c r="C105" s="150">
        <v>12</v>
      </c>
      <c r="D105" s="150">
        <v>21</v>
      </c>
      <c r="E105" s="150" t="str">
        <f t="shared" si="6"/>
        <v>اسفند</v>
      </c>
      <c r="F105" s="151" t="s">
        <v>167</v>
      </c>
      <c r="G105" s="243" t="s">
        <v>380</v>
      </c>
      <c r="H105" s="247" t="s">
        <v>284</v>
      </c>
      <c r="I105" s="162"/>
      <c r="J105" s="251">
        <v>1</v>
      </c>
      <c r="K105" s="254">
        <v>750000</v>
      </c>
      <c r="L105" s="255">
        <f t="shared" si="5"/>
        <v>750000</v>
      </c>
      <c r="M105" s="257"/>
      <c r="N105" s="258"/>
      <c r="O10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750000</v>
      </c>
      <c r="P105" s="258"/>
      <c r="Q105" s="259" t="str" cm="1">
        <f t="array" ref="Q105">IF(T[[#This Row],[نوع عملیات]]="فروش", _xlfn.XLOOKUP(T[[#This Row],[کالا]], _xlfn._xlws.FILTER(T[کالا], T[نوع عملیات]="خرید"), _xlfn._xlws.FILTER(T[فروشنده / مشتری], T[نوع عملیات]="خرید")), "")</f>
        <v>بازار</v>
      </c>
    </row>
    <row r="106" spans="2:17" ht="16.5" hidden="1" x14ac:dyDescent="0.75">
      <c r="B106" s="227">
        <v>3</v>
      </c>
      <c r="C106" s="150">
        <v>12</v>
      </c>
      <c r="D106" s="150">
        <v>21</v>
      </c>
      <c r="E106" s="150" t="str">
        <f t="shared" si="6"/>
        <v>اسفند</v>
      </c>
      <c r="F106" s="151" t="s">
        <v>167</v>
      </c>
      <c r="G106" s="243" t="s">
        <v>134</v>
      </c>
      <c r="H106" s="247" t="s">
        <v>284</v>
      </c>
      <c r="I106" s="162"/>
      <c r="J106" s="251">
        <v>1</v>
      </c>
      <c r="K106" s="254">
        <v>1200000</v>
      </c>
      <c r="L106" s="255">
        <f t="shared" si="5"/>
        <v>1200000</v>
      </c>
      <c r="M106" s="257">
        <v>3750000</v>
      </c>
      <c r="N106" s="262" t="s">
        <v>346</v>
      </c>
      <c r="O1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460000</v>
      </c>
      <c r="P106" s="262"/>
      <c r="Q106" s="264" t="str" cm="1">
        <f t="array" ref="Q106">IF(T[[#This Row],[نوع عملیات]]="فروش", _xlfn.XLOOKUP(T[[#This Row],[کالا]], _xlfn._xlws.FILTER(T[کالا], T[نوع عملیات]="خرید"), _xlfn._xlws.FILTER(T[فروشنده / مشتری], T[نوع عملیات]="خرید")), "")</f>
        <v>بازار</v>
      </c>
    </row>
    <row r="107" spans="2:17" ht="16.5" hidden="1" x14ac:dyDescent="0.75">
      <c r="B107" s="227">
        <v>3</v>
      </c>
      <c r="C107" s="150">
        <v>12</v>
      </c>
      <c r="D107" s="150">
        <v>21</v>
      </c>
      <c r="E107" s="150" t="str">
        <f t="shared" si="6"/>
        <v>اسفند</v>
      </c>
      <c r="F107" s="151" t="s">
        <v>167</v>
      </c>
      <c r="G107" s="244" t="s">
        <v>393</v>
      </c>
      <c r="H107" s="247" t="s">
        <v>434</v>
      </c>
      <c r="I107" s="162"/>
      <c r="J107" s="251">
        <v>1</v>
      </c>
      <c r="K107" s="254">
        <v>700000</v>
      </c>
      <c r="L107" s="255">
        <f t="shared" si="5"/>
        <v>700000</v>
      </c>
      <c r="M107" s="257"/>
      <c r="N107" s="258"/>
      <c r="O10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107" s="258"/>
      <c r="Q107" s="259" t="str" cm="1">
        <f t="array" ref="Q107">IF(T[[#This Row],[نوع عملیات]]="فروش", _xlfn.XLOOKUP(T[[#This Row],[کالا]], _xlfn._xlws.FILTER(T[کالا], T[نوع عملیات]="خرید"), _xlfn._xlws.FILTER(T[فروشنده / مشتری], T[نوع عملیات]="خرید")), "")</f>
        <v>بازار</v>
      </c>
    </row>
    <row r="108" spans="2:17" ht="16.5" hidden="1" x14ac:dyDescent="0.75">
      <c r="B108" s="227">
        <v>3</v>
      </c>
      <c r="C108" s="150">
        <v>12</v>
      </c>
      <c r="D108" s="150">
        <v>21</v>
      </c>
      <c r="E108" s="150" t="str">
        <f t="shared" si="6"/>
        <v>اسفند</v>
      </c>
      <c r="F108" s="151" t="s">
        <v>167</v>
      </c>
      <c r="G108" s="243" t="s">
        <v>196</v>
      </c>
      <c r="H108" s="247" t="s">
        <v>288</v>
      </c>
      <c r="I108" s="162"/>
      <c r="J108" s="251">
        <v>1</v>
      </c>
      <c r="K108" s="254">
        <v>350000</v>
      </c>
      <c r="L108" s="255">
        <f t="shared" si="5"/>
        <v>350000</v>
      </c>
      <c r="M108" s="257"/>
      <c r="N108" s="258"/>
      <c r="O10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108" s="258"/>
      <c r="Q108" s="259" t="str" cm="1">
        <f t="array" ref="Q108">IF(T[[#This Row],[نوع عملیات]]="فروش", _xlfn.XLOOKUP(T[[#This Row],[کالا]], _xlfn._xlws.FILTER(T[کالا], T[نوع عملیات]="خرید"), _xlfn._xlws.FILTER(T[فروشنده / مشتری], T[نوع عملیات]="خرید")), "")</f>
        <v>وان ترکیه</v>
      </c>
    </row>
    <row r="109" spans="2:17" ht="16.5" x14ac:dyDescent="0.75">
      <c r="B109" s="228">
        <v>3</v>
      </c>
      <c r="C109" s="148">
        <v>12</v>
      </c>
      <c r="D109" s="148">
        <v>26</v>
      </c>
      <c r="E109" s="148" t="str">
        <f t="shared" si="6"/>
        <v>اسفند</v>
      </c>
      <c r="F109" s="149" t="s">
        <v>168</v>
      </c>
      <c r="G109" s="243" t="s">
        <v>266</v>
      </c>
      <c r="H109" s="247" t="s">
        <v>390</v>
      </c>
      <c r="I109" s="188" t="s">
        <v>500</v>
      </c>
      <c r="J109" s="251">
        <v>4</v>
      </c>
      <c r="K109" s="255">
        <v>200000</v>
      </c>
      <c r="L109" s="255">
        <f t="shared" si="5"/>
        <v>800000</v>
      </c>
      <c r="M109" s="257"/>
      <c r="N109" s="258" t="s">
        <v>346</v>
      </c>
      <c r="O10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9" s="258"/>
      <c r="Q109" s="259" t="str" cm="1">
        <f t="array" ref="Q109">IF(T[[#This Row],[نوع عملیات]]="فروش", _xlfn.XLOOKUP(T[[#This Row],[کالا]], _xlfn._xlws.FILTER(T[کالا], T[نوع عملیات]="خرید"), _xlfn._xlws.FILTER(T[فروشنده / مشتری], T[نوع عملیات]="خرید")), "")</f>
        <v/>
      </c>
    </row>
    <row r="110" spans="2:17" ht="16.5" hidden="1" x14ac:dyDescent="0.75">
      <c r="B110" s="228">
        <v>3</v>
      </c>
      <c r="C110" s="148">
        <v>12</v>
      </c>
      <c r="D110" s="148">
        <v>22</v>
      </c>
      <c r="E110" s="148" t="str">
        <f t="shared" si="6"/>
        <v>اسفند</v>
      </c>
      <c r="F110" s="149" t="s">
        <v>167</v>
      </c>
      <c r="G110" s="243" t="s">
        <v>438</v>
      </c>
      <c r="H110" s="247" t="s">
        <v>281</v>
      </c>
      <c r="I110" s="249"/>
      <c r="J110" s="251">
        <v>2</v>
      </c>
      <c r="K110" s="255">
        <v>600000</v>
      </c>
      <c r="L110" s="255">
        <f t="shared" si="5"/>
        <v>1200000</v>
      </c>
      <c r="M110" s="257"/>
      <c r="N110" s="258"/>
      <c r="O11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1200000</v>
      </c>
      <c r="P110" s="258"/>
      <c r="Q110" s="259" t="str" cm="1">
        <f t="array" ref="Q110">IF(T[[#This Row],[نوع عملیات]]="فروش", _xlfn.XLOOKUP(T[[#This Row],[کالا]], _xlfn._xlws.FILTER(T[کالا], T[نوع عملیات]="خرید"), _xlfn._xlws.FILTER(T[فروشنده / مشتری], T[نوع عملیات]="خرید")), "")</f>
        <v>استانبول</v>
      </c>
    </row>
    <row r="111" spans="2:17" ht="16.5" hidden="1" x14ac:dyDescent="0.75">
      <c r="B111" s="228">
        <v>3</v>
      </c>
      <c r="C111" s="148">
        <v>12</v>
      </c>
      <c r="D111" s="148">
        <v>22</v>
      </c>
      <c r="E111" s="148" t="str">
        <f t="shared" si="6"/>
        <v>اسفند</v>
      </c>
      <c r="F111" s="149" t="s">
        <v>167</v>
      </c>
      <c r="G111" s="243" t="s">
        <v>135</v>
      </c>
      <c r="H111" s="247" t="s">
        <v>281</v>
      </c>
      <c r="I111" s="249"/>
      <c r="J111" s="251">
        <v>1</v>
      </c>
      <c r="K111" s="255">
        <v>650000</v>
      </c>
      <c r="L111" s="255">
        <f t="shared" ref="L111:L142" si="7">J111*K111</f>
        <v>650000</v>
      </c>
      <c r="M111" s="257"/>
      <c r="N111" s="258"/>
      <c r="O11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111" s="258"/>
      <c r="Q111" s="259" t="str" cm="1">
        <f t="array" ref="Q111">IF(T[[#This Row],[نوع عملیات]]="فروش", _xlfn.XLOOKUP(T[[#This Row],[کالا]], _xlfn._xlws.FILTER(T[کالا], T[نوع عملیات]="خرید"), _xlfn._xlws.FILTER(T[فروشنده / مشتری], T[نوع عملیات]="خرید")), "")</f>
        <v>استانبول</v>
      </c>
    </row>
    <row r="112" spans="2:17" ht="16.5" hidden="1" x14ac:dyDescent="0.75">
      <c r="B112" s="228">
        <v>3</v>
      </c>
      <c r="C112" s="148">
        <v>12</v>
      </c>
      <c r="D112" s="148">
        <v>22</v>
      </c>
      <c r="E112" s="148" t="str">
        <f t="shared" si="6"/>
        <v>اسفند</v>
      </c>
      <c r="F112" s="149" t="s">
        <v>167</v>
      </c>
      <c r="G112" s="243" t="s">
        <v>209</v>
      </c>
      <c r="H112" s="247" t="s">
        <v>281</v>
      </c>
      <c r="I112" s="249"/>
      <c r="J112" s="251">
        <v>1</v>
      </c>
      <c r="K112" s="255">
        <v>850000</v>
      </c>
      <c r="L112" s="255">
        <f t="shared" si="7"/>
        <v>850000</v>
      </c>
      <c r="M112" s="257"/>
      <c r="N112" s="258"/>
      <c r="O11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112" s="258"/>
      <c r="Q112" s="259" t="str" cm="1">
        <f t="array" ref="Q112">IF(T[[#This Row],[نوع عملیات]]="فروش", _xlfn.XLOOKUP(T[[#This Row],[کالا]], _xlfn._xlws.FILTER(T[کالا], T[نوع عملیات]="خرید"), _xlfn._xlws.FILTER(T[فروشنده / مشتری], T[نوع عملیات]="خرید")), "")</f>
        <v>فریده</v>
      </c>
    </row>
    <row r="113" spans="2:17" ht="16.5" hidden="1" customHeight="1" x14ac:dyDescent="0.75">
      <c r="B113" s="228">
        <v>3</v>
      </c>
      <c r="C113" s="148">
        <v>12</v>
      </c>
      <c r="D113" s="148">
        <v>22</v>
      </c>
      <c r="E113" s="148" t="str">
        <f t="shared" si="6"/>
        <v>اسفند</v>
      </c>
      <c r="F113" s="149" t="s">
        <v>167</v>
      </c>
      <c r="G113" s="243" t="s">
        <v>394</v>
      </c>
      <c r="H113" s="247" t="s">
        <v>211</v>
      </c>
      <c r="I113" s="249"/>
      <c r="J113" s="251">
        <v>1</v>
      </c>
      <c r="K113" s="255">
        <v>300000</v>
      </c>
      <c r="L113" s="255">
        <f t="shared" si="7"/>
        <v>300000</v>
      </c>
      <c r="M113" s="257">
        <v>300000</v>
      </c>
      <c r="N113" s="258" t="s">
        <v>304</v>
      </c>
      <c r="O11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300000</v>
      </c>
      <c r="P113" s="258"/>
      <c r="Q113" s="259" t="str" cm="1">
        <f t="array" ref="Q113">IF(T[[#This Row],[نوع عملیات]]="فروش", _xlfn.XLOOKUP(T[[#This Row],[کالا]], _xlfn._xlws.FILTER(T[کالا], T[نوع عملیات]="خرید"), _xlfn._xlws.FILTER(T[فروشنده / مشتری], T[نوع عملیات]="خرید")), "")</f>
        <v>خودم</v>
      </c>
    </row>
    <row r="114" spans="2:17" ht="16.899999999999999" hidden="1" customHeight="1" x14ac:dyDescent="0.75">
      <c r="B114" s="227">
        <v>3</v>
      </c>
      <c r="C114" s="150">
        <v>12</v>
      </c>
      <c r="D114" s="150">
        <v>22</v>
      </c>
      <c r="E114" s="150" t="str">
        <f t="shared" si="6"/>
        <v>اسفند</v>
      </c>
      <c r="F114" s="151" t="s">
        <v>167</v>
      </c>
      <c r="G114" s="243" t="s">
        <v>395</v>
      </c>
      <c r="H114" s="247" t="s">
        <v>130</v>
      </c>
      <c r="I114" s="162"/>
      <c r="J114" s="251">
        <v>1</v>
      </c>
      <c r="K114" s="255">
        <v>450000</v>
      </c>
      <c r="L114" s="255">
        <f t="shared" si="7"/>
        <v>450000</v>
      </c>
      <c r="M114" s="257">
        <v>450000</v>
      </c>
      <c r="N114" s="258" t="s">
        <v>304</v>
      </c>
      <c r="O11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114" s="258"/>
      <c r="Q114" s="259" t="str" cm="1">
        <f t="array" ref="Q114">IF(T[[#This Row],[نوع عملیات]]="فروش", _xlfn.XLOOKUP(T[[#This Row],[کالا]], _xlfn._xlws.FILTER(T[کالا], T[نوع عملیات]="خرید"), _xlfn._xlws.FILTER(T[فروشنده / مشتری], T[نوع عملیات]="خرید")), "")</f>
        <v>خودم</v>
      </c>
    </row>
    <row r="115" spans="2:17" ht="16.5" hidden="1" customHeight="1" x14ac:dyDescent="0.75">
      <c r="B115" s="228">
        <v>3</v>
      </c>
      <c r="C115" s="148">
        <v>12</v>
      </c>
      <c r="D115" s="148">
        <v>22</v>
      </c>
      <c r="E115" s="148" t="str">
        <f t="shared" si="6"/>
        <v>اسفند</v>
      </c>
      <c r="F115" s="149" t="s">
        <v>167</v>
      </c>
      <c r="G115" s="243" t="s">
        <v>305</v>
      </c>
      <c r="H115" s="247" t="s">
        <v>211</v>
      </c>
      <c r="I115" s="249"/>
      <c r="J115" s="251">
        <v>1</v>
      </c>
      <c r="K115" s="255">
        <v>450000</v>
      </c>
      <c r="L115" s="255">
        <f t="shared" si="7"/>
        <v>450000</v>
      </c>
      <c r="M115" s="257">
        <v>450000</v>
      </c>
      <c r="N115" s="258" t="s">
        <v>304</v>
      </c>
      <c r="O11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300000</v>
      </c>
      <c r="P115" s="258"/>
      <c r="Q115" s="259" t="str" cm="1">
        <f t="array" ref="Q115">IF(T[[#This Row],[نوع عملیات]]="فروش", _xlfn.XLOOKUP(T[[#This Row],[کالا]], _xlfn._xlws.FILTER(T[کالا], T[نوع عملیات]="خرید"), _xlfn._xlws.FILTER(T[فروشنده / مشتری], T[نوع عملیات]="خرید")), "")</f>
        <v>بازار</v>
      </c>
    </row>
    <row r="116" spans="2:17" ht="16.5" hidden="1" customHeight="1" x14ac:dyDescent="0.8">
      <c r="B116" s="228">
        <v>3</v>
      </c>
      <c r="C116" s="148">
        <v>12</v>
      </c>
      <c r="D116" s="148">
        <v>22</v>
      </c>
      <c r="E116" s="148" t="str">
        <f t="shared" si="6"/>
        <v>اسفند</v>
      </c>
      <c r="F116" s="149" t="s">
        <v>167</v>
      </c>
      <c r="G116" s="244" t="s">
        <v>398</v>
      </c>
      <c r="H116" s="247" t="s">
        <v>434</v>
      </c>
      <c r="I116" s="295"/>
      <c r="J116" s="251">
        <v>1</v>
      </c>
      <c r="K116" s="255">
        <v>700000</v>
      </c>
      <c r="L116" s="255">
        <f t="shared" si="7"/>
        <v>700000</v>
      </c>
      <c r="M116" s="257"/>
      <c r="N116" s="258"/>
      <c r="O11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550000</v>
      </c>
      <c r="P116" s="258"/>
      <c r="Q116" s="259" t="str" cm="1">
        <f t="array" ref="Q116">IF(T[[#This Row],[نوع عملیات]]="فروش", _xlfn.XLOOKUP(T[[#This Row],[کالا]], _xlfn._xlws.FILTER(T[کالا], T[نوع عملیات]="خرید"), _xlfn._xlws.FILTER(T[فروشنده / مشتری], T[نوع عملیات]="خرید")), "")</f>
        <v>بازار</v>
      </c>
    </row>
    <row r="117" spans="2:17" ht="16.5" hidden="1" x14ac:dyDescent="0.75">
      <c r="B117" s="228">
        <v>3</v>
      </c>
      <c r="C117" s="148">
        <v>12</v>
      </c>
      <c r="D117" s="148">
        <v>23</v>
      </c>
      <c r="E117" s="148" t="str">
        <f t="shared" si="6"/>
        <v>اسفند</v>
      </c>
      <c r="F117" s="149" t="s">
        <v>167</v>
      </c>
      <c r="G117" s="244" t="s">
        <v>396</v>
      </c>
      <c r="H117" s="247" t="s">
        <v>435</v>
      </c>
      <c r="I117" s="249"/>
      <c r="J117" s="251">
        <v>1</v>
      </c>
      <c r="K117" s="255">
        <v>950000</v>
      </c>
      <c r="L117" s="255">
        <f t="shared" si="7"/>
        <v>950000</v>
      </c>
      <c r="M117" s="257">
        <v>950000</v>
      </c>
      <c r="N117" s="258" t="s">
        <v>304</v>
      </c>
      <c r="O11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300000</v>
      </c>
      <c r="P117" s="258"/>
      <c r="Q117" s="259" t="str" cm="1">
        <f t="array" ref="Q117">IF(T[[#This Row],[نوع عملیات]]="فروش", _xlfn.XLOOKUP(T[[#This Row],[کالا]], _xlfn._xlws.FILTER(T[کالا], T[نوع عملیات]="خرید"), _xlfn._xlws.FILTER(T[فروشنده / مشتری], T[نوع عملیات]="خرید")), "")</f>
        <v>مهناز - تولیدی</v>
      </c>
    </row>
    <row r="118" spans="2:17" ht="16.5" hidden="1" x14ac:dyDescent="0.75">
      <c r="B118" s="228">
        <v>3</v>
      </c>
      <c r="C118" s="148">
        <v>12</v>
      </c>
      <c r="D118" s="148">
        <v>23</v>
      </c>
      <c r="E118" s="148" t="str">
        <f t="shared" si="6"/>
        <v>اسفند</v>
      </c>
      <c r="F118" s="149" t="s">
        <v>167</v>
      </c>
      <c r="G118" s="243" t="s">
        <v>285</v>
      </c>
      <c r="H118" s="247" t="s">
        <v>618</v>
      </c>
      <c r="I118" s="249"/>
      <c r="J118" s="251">
        <v>1</v>
      </c>
      <c r="K118" s="255">
        <v>350000</v>
      </c>
      <c r="L118" s="255">
        <f t="shared" si="7"/>
        <v>350000</v>
      </c>
      <c r="M118" s="257"/>
      <c r="N118" s="258"/>
      <c r="O11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160000</v>
      </c>
      <c r="P118" s="258"/>
      <c r="Q118" s="259" t="str" cm="1">
        <f t="array" ref="Q118">IF(T[[#This Row],[نوع عملیات]]="فروش", _xlfn.XLOOKUP(T[[#This Row],[کالا]], _xlfn._xlws.FILTER(T[کالا], T[نوع عملیات]="خرید"), _xlfn._xlws.FILTER(T[فروشنده / مشتری], T[نوع عملیات]="خرید")), "")</f>
        <v>بازار</v>
      </c>
    </row>
    <row r="119" spans="2:17" ht="16.5" hidden="1" x14ac:dyDescent="0.75">
      <c r="B119" s="228">
        <v>3</v>
      </c>
      <c r="C119" s="148">
        <v>12</v>
      </c>
      <c r="D119" s="148">
        <v>23</v>
      </c>
      <c r="E119" s="148" t="str">
        <f t="shared" si="6"/>
        <v>اسفند</v>
      </c>
      <c r="F119" s="149" t="s">
        <v>167</v>
      </c>
      <c r="G119" s="243" t="s">
        <v>306</v>
      </c>
      <c r="H119" s="247" t="s">
        <v>618</v>
      </c>
      <c r="I119" s="249"/>
      <c r="J119" s="251">
        <v>1</v>
      </c>
      <c r="K119" s="255">
        <v>350000</v>
      </c>
      <c r="L119" s="255">
        <f t="shared" si="7"/>
        <v>350000</v>
      </c>
      <c r="M119" s="257"/>
      <c r="N119" s="258"/>
      <c r="O11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160000</v>
      </c>
      <c r="P119" s="258"/>
      <c r="Q119" s="259" t="str" cm="1">
        <f t="array" ref="Q119">IF(T[[#This Row],[نوع عملیات]]="فروش", _xlfn.XLOOKUP(T[[#This Row],[کالا]], _xlfn._xlws.FILTER(T[کالا], T[نوع عملیات]="خرید"), _xlfn._xlws.FILTER(T[فروشنده / مشتری], T[نوع عملیات]="خرید")), "")</f>
        <v>بازار</v>
      </c>
    </row>
    <row r="120" spans="2:17" ht="16.5" hidden="1" x14ac:dyDescent="0.75">
      <c r="B120" s="228">
        <v>3</v>
      </c>
      <c r="C120" s="148">
        <v>12</v>
      </c>
      <c r="D120" s="148">
        <v>23</v>
      </c>
      <c r="E120" s="148" t="str">
        <f t="shared" si="6"/>
        <v>اسفند</v>
      </c>
      <c r="F120" s="149" t="s">
        <v>167</v>
      </c>
      <c r="G120" s="243" t="s">
        <v>344</v>
      </c>
      <c r="H120" s="247" t="s">
        <v>211</v>
      </c>
      <c r="I120" s="249"/>
      <c r="J120" s="251">
        <v>1</v>
      </c>
      <c r="K120" s="255">
        <v>850000</v>
      </c>
      <c r="L120" s="255">
        <f t="shared" si="7"/>
        <v>850000</v>
      </c>
      <c r="M120" s="257">
        <v>850000</v>
      </c>
      <c r="N120" s="258" t="s">
        <v>304</v>
      </c>
      <c r="O12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330000</v>
      </c>
      <c r="P120" s="258"/>
      <c r="Q120" s="259" t="str" cm="1">
        <f t="array" ref="Q120">IF(T[[#This Row],[نوع عملیات]]="فروش", _xlfn.XLOOKUP(T[[#This Row],[کالا]], _xlfn._xlws.FILTER(T[کالا], T[نوع عملیات]="خرید"), _xlfn._xlws.FILTER(T[فروشنده / مشتری], T[نوع عملیات]="خرید")), "")</f>
        <v>بازار</v>
      </c>
    </row>
    <row r="121" spans="2:17" ht="16.5" hidden="1" x14ac:dyDescent="0.75">
      <c r="B121" s="228">
        <v>3</v>
      </c>
      <c r="C121" s="148">
        <v>12</v>
      </c>
      <c r="D121" s="148">
        <v>23</v>
      </c>
      <c r="E121" s="148" t="str">
        <f t="shared" si="6"/>
        <v>اسفند</v>
      </c>
      <c r="F121" s="149" t="s">
        <v>167</v>
      </c>
      <c r="G121" s="243" t="s">
        <v>340</v>
      </c>
      <c r="H121" s="247" t="s">
        <v>435</v>
      </c>
      <c r="I121" s="249"/>
      <c r="J121" s="251">
        <v>1</v>
      </c>
      <c r="K121" s="255">
        <v>250000</v>
      </c>
      <c r="L121" s="255">
        <f t="shared" si="7"/>
        <v>250000</v>
      </c>
      <c r="M121" s="257"/>
      <c r="N121" s="258"/>
      <c r="O12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150000</v>
      </c>
      <c r="P121" s="258"/>
      <c r="Q121" s="259" t="str" cm="1">
        <f t="array" ref="Q121">IF(T[[#This Row],[نوع عملیات]]="فروش", _xlfn.XLOOKUP(T[[#This Row],[کالا]], _xlfn._xlws.FILTER(T[کالا], T[نوع عملیات]="خرید"), _xlfn._xlws.FILTER(T[فروشنده / مشتری], T[نوع عملیات]="خرید")), "")</f>
        <v>وان ترکیه</v>
      </c>
    </row>
    <row r="122" spans="2:17" ht="16.5" hidden="1" x14ac:dyDescent="0.75">
      <c r="B122" s="228">
        <v>3</v>
      </c>
      <c r="C122" s="148">
        <v>12</v>
      </c>
      <c r="D122" s="148">
        <v>23</v>
      </c>
      <c r="E122" s="148" t="str">
        <f t="shared" si="6"/>
        <v>اسفند</v>
      </c>
      <c r="F122" s="149" t="s">
        <v>167</v>
      </c>
      <c r="G122" s="243" t="s">
        <v>225</v>
      </c>
      <c r="H122" s="247" t="s">
        <v>405</v>
      </c>
      <c r="I122" s="249"/>
      <c r="J122" s="251">
        <v>2</v>
      </c>
      <c r="K122" s="255">
        <v>1100000</v>
      </c>
      <c r="L122" s="255">
        <f t="shared" si="7"/>
        <v>2200000</v>
      </c>
      <c r="M122" s="257"/>
      <c r="N122" s="258"/>
      <c r="O12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840000</v>
      </c>
      <c r="P122" s="258"/>
      <c r="Q122" s="259" t="str" cm="1">
        <f t="array" ref="Q122">IF(T[[#This Row],[نوع عملیات]]="فروش", _xlfn.XLOOKUP(T[[#This Row],[کالا]], _xlfn._xlws.FILTER(T[کالا], T[نوع عملیات]="خرید"), _xlfn._xlws.FILTER(T[فروشنده / مشتری], T[نوع عملیات]="خرید")), "")</f>
        <v>مهناز - تولیدی</v>
      </c>
    </row>
    <row r="123" spans="2:17" ht="16.5" hidden="1" x14ac:dyDescent="0.75">
      <c r="B123" s="228">
        <v>3</v>
      </c>
      <c r="C123" s="148">
        <v>12</v>
      </c>
      <c r="D123" s="148">
        <v>23</v>
      </c>
      <c r="E123" s="148" t="str">
        <f t="shared" si="6"/>
        <v>اسفند</v>
      </c>
      <c r="F123" s="149" t="s">
        <v>167</v>
      </c>
      <c r="G123" s="243" t="s">
        <v>404</v>
      </c>
      <c r="H123" s="247" t="s">
        <v>420</v>
      </c>
      <c r="I123" s="249"/>
      <c r="J123" s="251">
        <v>1</v>
      </c>
      <c r="K123" s="255">
        <v>2000000</v>
      </c>
      <c r="L123" s="255">
        <f t="shared" si="7"/>
        <v>2000000</v>
      </c>
      <c r="M123" s="257"/>
      <c r="N123" s="258"/>
      <c r="O12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700000</v>
      </c>
      <c r="P123" s="258"/>
      <c r="Q123" s="259" t="str" cm="1">
        <f t="array" ref="Q123">IF(T[[#This Row],[نوع عملیات]]="فروش", _xlfn.XLOOKUP(T[[#This Row],[کالا]], _xlfn._xlws.FILTER(T[کالا], T[نوع عملیات]="خرید"), _xlfn._xlws.FILTER(T[فروشنده / مشتری], T[نوع عملیات]="خرید")), "")</f>
        <v>بازار</v>
      </c>
    </row>
    <row r="124" spans="2:17" ht="16.5" hidden="1" x14ac:dyDescent="0.75">
      <c r="B124" s="228">
        <v>3</v>
      </c>
      <c r="C124" s="148">
        <v>12</v>
      </c>
      <c r="D124" s="148">
        <v>24</v>
      </c>
      <c r="E124" s="148" t="str">
        <f t="shared" si="6"/>
        <v>اسفند</v>
      </c>
      <c r="F124" s="149" t="s">
        <v>167</v>
      </c>
      <c r="G124" s="246" t="s">
        <v>398</v>
      </c>
      <c r="H124" s="247" t="s">
        <v>307</v>
      </c>
      <c r="I124" s="249"/>
      <c r="J124" s="251">
        <v>1</v>
      </c>
      <c r="K124" s="255">
        <v>450000</v>
      </c>
      <c r="L124" s="255">
        <f t="shared" si="7"/>
        <v>450000</v>
      </c>
      <c r="M124" s="257"/>
      <c r="N124" s="258"/>
      <c r="O12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300000</v>
      </c>
      <c r="P124" s="258"/>
      <c r="Q124" s="259" t="str" cm="1">
        <f t="array" ref="Q124">IF(T[[#This Row],[نوع عملیات]]="فروش", _xlfn.XLOOKUP(T[[#This Row],[کالا]], _xlfn._xlws.FILTER(T[کالا], T[نوع عملیات]="خرید"), _xlfn._xlws.FILTER(T[فروشنده / مشتری], T[نوع عملیات]="خرید")), "")</f>
        <v>بازار</v>
      </c>
    </row>
    <row r="125" spans="2:17" ht="16.5" hidden="1" x14ac:dyDescent="0.75">
      <c r="B125" s="228">
        <v>3</v>
      </c>
      <c r="C125" s="148">
        <v>12</v>
      </c>
      <c r="D125" s="148">
        <v>24</v>
      </c>
      <c r="E125" s="148" t="str">
        <f t="shared" si="6"/>
        <v>اسفند</v>
      </c>
      <c r="F125" s="149" t="s">
        <v>167</v>
      </c>
      <c r="G125" s="243" t="s">
        <v>395</v>
      </c>
      <c r="H125" s="247" t="s">
        <v>307</v>
      </c>
      <c r="I125" s="249"/>
      <c r="J125" s="251">
        <v>1</v>
      </c>
      <c r="K125" s="255">
        <v>450000</v>
      </c>
      <c r="L125" s="255">
        <f t="shared" si="7"/>
        <v>450000</v>
      </c>
      <c r="M125" s="257"/>
      <c r="N125" s="258"/>
      <c r="O12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125" s="258"/>
      <c r="Q125" s="259" t="str" cm="1">
        <f t="array" ref="Q125">IF(T[[#This Row],[نوع عملیات]]="فروش", _xlfn.XLOOKUP(T[[#This Row],[کالا]], _xlfn._xlws.FILTER(T[کالا], T[نوع عملیات]="خرید"), _xlfn._xlws.FILTER(T[فروشنده / مشتری], T[نوع عملیات]="خرید")), "")</f>
        <v>خودم</v>
      </c>
    </row>
    <row r="126" spans="2:17" ht="16.5" hidden="1" x14ac:dyDescent="0.75">
      <c r="B126" s="228">
        <v>3</v>
      </c>
      <c r="C126" s="148">
        <v>12</v>
      </c>
      <c r="D126" s="148">
        <v>24</v>
      </c>
      <c r="E126" s="148" t="str">
        <f t="shared" si="6"/>
        <v>اسفند</v>
      </c>
      <c r="F126" s="149" t="s">
        <v>167</v>
      </c>
      <c r="G126" s="243" t="s">
        <v>399</v>
      </c>
      <c r="H126" s="247" t="s">
        <v>307</v>
      </c>
      <c r="I126" s="249"/>
      <c r="J126" s="251">
        <v>1</v>
      </c>
      <c r="K126" s="255">
        <v>450000</v>
      </c>
      <c r="L126" s="255">
        <f t="shared" si="7"/>
        <v>450000</v>
      </c>
      <c r="M126" s="257"/>
      <c r="N126" s="258"/>
      <c r="O12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290000</v>
      </c>
      <c r="P126" s="258"/>
      <c r="Q126" s="259" t="str" cm="1">
        <f t="array" ref="Q126">IF(T[[#This Row],[نوع عملیات]]="فروش", _xlfn.XLOOKUP(T[[#This Row],[کالا]], _xlfn._xlws.FILTER(T[کالا], T[نوع عملیات]="خرید"), _xlfn._xlws.FILTER(T[فروشنده / مشتری], T[نوع عملیات]="خرید")), "")</f>
        <v>وان ترکیه</v>
      </c>
    </row>
    <row r="127" spans="2:17" ht="16.5" hidden="1" x14ac:dyDescent="0.75">
      <c r="B127" s="228">
        <v>3</v>
      </c>
      <c r="C127" s="148">
        <v>12</v>
      </c>
      <c r="D127" s="148">
        <v>24</v>
      </c>
      <c r="E127" s="148" t="str">
        <f t="shared" si="6"/>
        <v>اسفند</v>
      </c>
      <c r="F127" s="149" t="s">
        <v>167</v>
      </c>
      <c r="G127" s="243" t="s">
        <v>277</v>
      </c>
      <c r="H127" s="247" t="s">
        <v>307</v>
      </c>
      <c r="I127" s="162"/>
      <c r="J127" s="251">
        <v>1</v>
      </c>
      <c r="K127" s="255">
        <v>300000</v>
      </c>
      <c r="L127" s="255">
        <f t="shared" si="7"/>
        <v>300000</v>
      </c>
      <c r="M127" s="257">
        <v>1650000</v>
      </c>
      <c r="N127" s="258" t="s">
        <v>298</v>
      </c>
      <c r="O12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127" s="258"/>
      <c r="Q127" s="259" t="str" cm="1">
        <f t="array" ref="Q127">IF(T[[#This Row],[نوع عملیات]]="فروش", _xlfn.XLOOKUP(T[[#This Row],[کالا]], _xlfn._xlws.FILTER(T[کالا], T[نوع عملیات]="خرید"), _xlfn._xlws.FILTER(T[فروشنده / مشتری], T[نوع عملیات]="خرید")), "")</f>
        <v>وان ترکیه</v>
      </c>
    </row>
    <row r="128" spans="2:17" ht="16.5" hidden="1" x14ac:dyDescent="0.75">
      <c r="B128" s="228">
        <v>3</v>
      </c>
      <c r="C128" s="148">
        <v>12</v>
      </c>
      <c r="D128" s="148">
        <v>24</v>
      </c>
      <c r="E128" s="148" t="str">
        <f t="shared" si="6"/>
        <v>اسفند</v>
      </c>
      <c r="F128" s="149" t="s">
        <v>167</v>
      </c>
      <c r="G128" s="243" t="s">
        <v>210</v>
      </c>
      <c r="H128" s="247" t="s">
        <v>308</v>
      </c>
      <c r="I128" s="161"/>
      <c r="J128" s="251">
        <v>1</v>
      </c>
      <c r="K128" s="254">
        <v>900000</v>
      </c>
      <c r="L128" s="255">
        <f t="shared" si="7"/>
        <v>900000</v>
      </c>
      <c r="M128" s="257"/>
      <c r="N128" s="258"/>
      <c r="O12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128" s="258"/>
      <c r="Q128" s="259" t="str" cm="1">
        <f t="array" ref="Q128">IF(T[[#This Row],[نوع عملیات]]="فروش", _xlfn.XLOOKUP(T[[#This Row],[کالا]], _xlfn._xlws.FILTER(T[کالا], T[نوع عملیات]="خرید"), _xlfn._xlws.FILTER(T[فروشنده / مشتری], T[نوع عملیات]="خرید")), "")</f>
        <v>فریده</v>
      </c>
    </row>
    <row r="129" spans="2:17" ht="16.5" hidden="1" x14ac:dyDescent="0.75">
      <c r="B129" s="228">
        <v>3</v>
      </c>
      <c r="C129" s="148">
        <v>12</v>
      </c>
      <c r="D129" s="148">
        <v>24</v>
      </c>
      <c r="E129" s="148" t="str">
        <f t="shared" si="6"/>
        <v>اسفند</v>
      </c>
      <c r="F129" s="149" t="s">
        <v>167</v>
      </c>
      <c r="G129" s="243" t="s">
        <v>309</v>
      </c>
      <c r="H129" s="247" t="s">
        <v>308</v>
      </c>
      <c r="I129" s="161"/>
      <c r="J129" s="251">
        <v>1</v>
      </c>
      <c r="K129" s="254">
        <v>1000000</v>
      </c>
      <c r="L129" s="255">
        <f t="shared" si="7"/>
        <v>1000000</v>
      </c>
      <c r="M129" s="257"/>
      <c r="N129" s="258"/>
      <c r="O12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400000</v>
      </c>
      <c r="P129" s="258"/>
      <c r="Q129" s="259" t="str" cm="1">
        <f t="array" ref="Q129">IF(T[[#This Row],[نوع عملیات]]="فروش", _xlfn.XLOOKUP(T[[#This Row],[کالا]], _xlfn._xlws.FILTER(T[کالا], T[نوع عملیات]="خرید"), _xlfn._xlws.FILTER(T[فروشنده / مشتری], T[نوع عملیات]="خرید")), "")</f>
        <v>وان ترکیه</v>
      </c>
    </row>
    <row r="130" spans="2:17" ht="16.5" hidden="1" x14ac:dyDescent="0.75">
      <c r="B130" s="228">
        <v>3</v>
      </c>
      <c r="C130" s="148">
        <v>12</v>
      </c>
      <c r="D130" s="148">
        <v>24</v>
      </c>
      <c r="E130" s="148" t="str">
        <f t="shared" si="6"/>
        <v>اسفند</v>
      </c>
      <c r="F130" s="149" t="s">
        <v>167</v>
      </c>
      <c r="G130" s="243" t="s">
        <v>400</v>
      </c>
      <c r="H130" s="247" t="s">
        <v>308</v>
      </c>
      <c r="I130" s="161"/>
      <c r="J130" s="251">
        <v>1</v>
      </c>
      <c r="K130" s="254">
        <v>500000</v>
      </c>
      <c r="L130" s="255">
        <f t="shared" si="7"/>
        <v>500000</v>
      </c>
      <c r="M130" s="257"/>
      <c r="N130" s="258"/>
      <c r="O13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300000</v>
      </c>
      <c r="P130" s="258"/>
      <c r="Q130" s="259" t="str" cm="1">
        <f t="array" ref="Q130">IF(T[[#This Row],[نوع عملیات]]="فروش", _xlfn.XLOOKUP(T[[#This Row],[کالا]], _xlfn._xlws.FILTER(T[کالا], T[نوع عملیات]="خرید"), _xlfn._xlws.FILTER(T[فروشنده / مشتری], T[نوع عملیات]="خرید")), "")</f>
        <v>بازار</v>
      </c>
    </row>
    <row r="131" spans="2:17" ht="16.5" hidden="1" x14ac:dyDescent="0.75">
      <c r="B131" s="228">
        <v>3</v>
      </c>
      <c r="C131" s="148">
        <v>12</v>
      </c>
      <c r="D131" s="148">
        <v>24</v>
      </c>
      <c r="E131" s="148" t="str">
        <f t="shared" si="6"/>
        <v>اسفند</v>
      </c>
      <c r="F131" s="149" t="s">
        <v>167</v>
      </c>
      <c r="G131" s="243" t="s">
        <v>440</v>
      </c>
      <c r="H131" s="247" t="s">
        <v>308</v>
      </c>
      <c r="I131" s="161"/>
      <c r="J131" s="251">
        <v>1</v>
      </c>
      <c r="K131" s="254">
        <v>1300000</v>
      </c>
      <c r="L131" s="255">
        <f t="shared" si="7"/>
        <v>1300000</v>
      </c>
      <c r="M131" s="257"/>
      <c r="N131" s="258"/>
      <c r="O13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131" s="258"/>
      <c r="Q131" s="259" t="str" cm="1">
        <f t="array" ref="Q131">IF(T[[#This Row],[نوع عملیات]]="فروش", _xlfn.XLOOKUP(T[[#This Row],[کالا]], _xlfn._xlws.FILTER(T[کالا], T[نوع عملیات]="خرید"), _xlfn._xlws.FILTER(T[فروشنده / مشتری], T[نوع عملیات]="خرید")), "")</f>
        <v>وان ترکیه</v>
      </c>
    </row>
    <row r="132" spans="2:17" ht="16.5" hidden="1" customHeight="1" x14ac:dyDescent="0.75">
      <c r="B132" s="228">
        <v>3</v>
      </c>
      <c r="C132" s="148">
        <v>12</v>
      </c>
      <c r="D132" s="148">
        <v>24</v>
      </c>
      <c r="E132" s="148" t="str">
        <f t="shared" si="6"/>
        <v>اسفند</v>
      </c>
      <c r="F132" s="149" t="s">
        <v>167</v>
      </c>
      <c r="G132" s="243" t="s">
        <v>311</v>
      </c>
      <c r="H132" s="247" t="s">
        <v>211</v>
      </c>
      <c r="I132" s="188"/>
      <c r="J132" s="251">
        <v>1</v>
      </c>
      <c r="K132" s="254">
        <v>900000</v>
      </c>
      <c r="L132" s="255">
        <f t="shared" si="7"/>
        <v>900000</v>
      </c>
      <c r="M132" s="257">
        <v>900000</v>
      </c>
      <c r="N132" s="258" t="s">
        <v>304</v>
      </c>
      <c r="O13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v>
      </c>
      <c r="P132" s="258"/>
      <c r="Q132" s="259" t="str" cm="1">
        <f t="array" ref="Q132">IF(T[[#This Row],[نوع عملیات]]="فروش", _xlfn.XLOOKUP(T[[#This Row],[کالا]], _xlfn._xlws.FILTER(T[کالا], T[نوع عملیات]="خرید"), _xlfn._xlws.FILTER(T[فروشنده / مشتری], T[نوع عملیات]="خرید")), "")</f>
        <v>دلگشا</v>
      </c>
    </row>
    <row r="133" spans="2:17" ht="16.899999999999999" hidden="1" customHeight="1" x14ac:dyDescent="0.75">
      <c r="B133" s="227">
        <v>3</v>
      </c>
      <c r="C133" s="150">
        <v>12</v>
      </c>
      <c r="D133" s="150">
        <v>24</v>
      </c>
      <c r="E133" s="150" t="str">
        <f t="shared" ref="E133:E164" si="8">CHOOSE(C133, "فروردین", "اردیبهشت", "خرداد", "تیر", "مرداد", "شهریور", "مهر", "آبان", "آذر", "دی", "بهمن", "اسفند")</f>
        <v>اسفند</v>
      </c>
      <c r="F133" s="151" t="s">
        <v>167</v>
      </c>
      <c r="G133" s="243" t="s">
        <v>238</v>
      </c>
      <c r="H133" s="247" t="s">
        <v>441</v>
      </c>
      <c r="I133" s="161"/>
      <c r="J133" s="251">
        <v>1</v>
      </c>
      <c r="K133" s="254">
        <v>1100000</v>
      </c>
      <c r="L133" s="255">
        <f t="shared" si="7"/>
        <v>1100000</v>
      </c>
      <c r="M133" s="257"/>
      <c r="N133" s="258"/>
      <c r="O13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133" s="258"/>
      <c r="Q133" s="259" t="str" cm="1">
        <f t="array" ref="Q133">IF(T[[#This Row],[نوع عملیات]]="فروش", _xlfn.XLOOKUP(T[[#This Row],[کالا]], _xlfn._xlws.FILTER(T[کالا], T[نوع عملیات]="خرید"), _xlfn._xlws.FILTER(T[فروشنده / مشتری], T[نوع عملیات]="خرید")), "")</f>
        <v>مهناز - تولیدی</v>
      </c>
    </row>
    <row r="134" spans="2:17" ht="16.5" hidden="1" customHeight="1" x14ac:dyDescent="0.8">
      <c r="B134" s="228">
        <v>3</v>
      </c>
      <c r="C134" s="148">
        <v>12</v>
      </c>
      <c r="D134" s="148">
        <v>24</v>
      </c>
      <c r="E134" s="148" t="str">
        <f t="shared" si="8"/>
        <v>اسفند</v>
      </c>
      <c r="F134" s="149" t="s">
        <v>167</v>
      </c>
      <c r="G134" s="244" t="s">
        <v>225</v>
      </c>
      <c r="H134" s="247" t="s">
        <v>441</v>
      </c>
      <c r="I134" s="296"/>
      <c r="J134" s="251">
        <v>1</v>
      </c>
      <c r="K134" s="254">
        <v>1100000</v>
      </c>
      <c r="L134" s="255">
        <f t="shared" si="7"/>
        <v>1100000</v>
      </c>
      <c r="M134" s="257"/>
      <c r="N134" s="258"/>
      <c r="O13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134" s="258"/>
      <c r="Q134" s="259" t="str" cm="1">
        <f t="array" ref="Q134">IF(T[[#This Row],[نوع عملیات]]="فروش", _xlfn.XLOOKUP(T[[#This Row],[کالا]], _xlfn._xlws.FILTER(T[کالا], T[نوع عملیات]="خرید"), _xlfn._xlws.FILTER(T[فروشنده / مشتری], T[نوع عملیات]="خرید")), "")</f>
        <v>مهناز - تولیدی</v>
      </c>
    </row>
    <row r="135" spans="2:17" ht="16.5" hidden="1" x14ac:dyDescent="0.75">
      <c r="B135" s="228">
        <v>3</v>
      </c>
      <c r="C135" s="148">
        <v>12</v>
      </c>
      <c r="D135" s="148">
        <v>24</v>
      </c>
      <c r="E135" s="148" t="str">
        <f t="shared" si="8"/>
        <v>اسفند</v>
      </c>
      <c r="F135" s="149" t="s">
        <v>167</v>
      </c>
      <c r="G135" s="243" t="s">
        <v>401</v>
      </c>
      <c r="H135" s="247" t="s">
        <v>441</v>
      </c>
      <c r="I135" s="188"/>
      <c r="J135" s="251">
        <v>1</v>
      </c>
      <c r="K135" s="254">
        <v>1000000</v>
      </c>
      <c r="L135" s="255">
        <f t="shared" si="7"/>
        <v>1000000</v>
      </c>
      <c r="M135" s="257"/>
      <c r="N135" s="258"/>
      <c r="O13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1000000</v>
      </c>
      <c r="P135" s="258"/>
      <c r="Q135" s="259" t="str" cm="1">
        <f t="array" ref="Q135">IF(T[[#This Row],[نوع عملیات]]="فروش", _xlfn.XLOOKUP(T[[#This Row],[کالا]], _xlfn._xlws.FILTER(T[کالا], T[نوع عملیات]="خرید"), _xlfn._xlws.FILTER(T[فروشنده / مشتری], T[نوع عملیات]="خرید")), "")</f>
        <v>استانبول</v>
      </c>
    </row>
    <row r="136" spans="2:17" ht="16.5" hidden="1" customHeight="1" x14ac:dyDescent="0.75">
      <c r="B136" s="228">
        <v>3</v>
      </c>
      <c r="C136" s="148">
        <v>12</v>
      </c>
      <c r="D136" s="148">
        <v>24</v>
      </c>
      <c r="E136" s="148" t="str">
        <f t="shared" si="8"/>
        <v>اسفند</v>
      </c>
      <c r="F136" s="149" t="s">
        <v>167</v>
      </c>
      <c r="G136" s="243" t="s">
        <v>219</v>
      </c>
      <c r="H136" s="247" t="s">
        <v>441</v>
      </c>
      <c r="I136" s="188"/>
      <c r="J136" s="251">
        <v>1</v>
      </c>
      <c r="K136" s="254">
        <v>800000</v>
      </c>
      <c r="L136" s="255">
        <f t="shared" si="7"/>
        <v>800000</v>
      </c>
      <c r="M136" s="257">
        <v>4000000</v>
      </c>
      <c r="N136" s="258" t="s">
        <v>304</v>
      </c>
      <c r="O13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136" s="258"/>
      <c r="Q136" s="259" t="str" cm="1">
        <f t="array" ref="Q136">IF(T[[#This Row],[نوع عملیات]]="فروش", _xlfn.XLOOKUP(T[[#This Row],[کالا]], _xlfn._xlws.FILTER(T[کالا], T[نوع عملیات]="خرید"), _xlfn._xlws.FILTER(T[فروشنده / مشتری], T[نوع عملیات]="خرید")), "")</f>
        <v>مهناز - تولیدی</v>
      </c>
    </row>
    <row r="137" spans="2:17" ht="16.899999999999999" hidden="1" customHeight="1" x14ac:dyDescent="0.75">
      <c r="B137" s="227">
        <v>3</v>
      </c>
      <c r="C137" s="150">
        <v>12</v>
      </c>
      <c r="D137" s="150">
        <v>24</v>
      </c>
      <c r="E137" s="150" t="str">
        <f t="shared" si="8"/>
        <v>اسفند</v>
      </c>
      <c r="F137" s="151" t="s">
        <v>167</v>
      </c>
      <c r="G137" s="243" t="s">
        <v>238</v>
      </c>
      <c r="H137" s="247" t="s">
        <v>312</v>
      </c>
      <c r="I137" s="161"/>
      <c r="J137" s="251">
        <v>1</v>
      </c>
      <c r="K137" s="254">
        <v>1100000</v>
      </c>
      <c r="L137" s="255">
        <f t="shared" si="7"/>
        <v>1100000</v>
      </c>
      <c r="M137" s="257"/>
      <c r="N137" s="258"/>
      <c r="O13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137" s="258"/>
      <c r="Q137" s="259" t="str" cm="1">
        <f t="array" ref="Q137">IF(T[[#This Row],[نوع عملیات]]="فروش", _xlfn.XLOOKUP(T[[#This Row],[کالا]], _xlfn._xlws.FILTER(T[کالا], T[نوع عملیات]="خرید"), _xlfn._xlws.FILTER(T[فروشنده / مشتری], T[نوع عملیات]="خرید")), "")</f>
        <v>مهناز - تولیدی</v>
      </c>
    </row>
    <row r="138" spans="2:17" ht="16.5" hidden="1" customHeight="1" x14ac:dyDescent="0.8">
      <c r="B138" s="228">
        <v>3</v>
      </c>
      <c r="C138" s="148">
        <v>12</v>
      </c>
      <c r="D138" s="148">
        <v>24</v>
      </c>
      <c r="E138" s="148" t="str">
        <f t="shared" si="8"/>
        <v>اسفند</v>
      </c>
      <c r="F138" s="149" t="s">
        <v>167</v>
      </c>
      <c r="G138" s="244" t="s">
        <v>225</v>
      </c>
      <c r="H138" s="247" t="s">
        <v>312</v>
      </c>
      <c r="I138" s="296"/>
      <c r="J138" s="251">
        <v>1</v>
      </c>
      <c r="K138" s="254">
        <v>1100000</v>
      </c>
      <c r="L138" s="255">
        <f t="shared" si="7"/>
        <v>1100000</v>
      </c>
      <c r="M138" s="257"/>
      <c r="N138" s="258"/>
      <c r="O13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138" s="258"/>
      <c r="Q138" s="259" t="str" cm="1">
        <f t="array" ref="Q138">IF(T[[#This Row],[نوع عملیات]]="فروش", _xlfn.XLOOKUP(T[[#This Row],[کالا]], _xlfn._xlws.FILTER(T[کالا], T[نوع عملیات]="خرید"), _xlfn._xlws.FILTER(T[فروشنده / مشتری], T[نوع عملیات]="خرید")), "")</f>
        <v>مهناز - تولیدی</v>
      </c>
    </row>
    <row r="139" spans="2:17" ht="16.5" hidden="1" x14ac:dyDescent="0.75">
      <c r="B139" s="228">
        <v>3</v>
      </c>
      <c r="C139" s="148">
        <v>12</v>
      </c>
      <c r="D139" s="148">
        <v>24</v>
      </c>
      <c r="E139" s="148" t="str">
        <f t="shared" si="8"/>
        <v>اسفند</v>
      </c>
      <c r="F139" s="149" t="s">
        <v>167</v>
      </c>
      <c r="G139" s="243" t="s">
        <v>333</v>
      </c>
      <c r="H139" s="247" t="s">
        <v>312</v>
      </c>
      <c r="I139" s="188"/>
      <c r="J139" s="251">
        <v>1</v>
      </c>
      <c r="K139" s="254">
        <v>300000</v>
      </c>
      <c r="L139" s="255">
        <f t="shared" si="7"/>
        <v>300000</v>
      </c>
      <c r="M139" s="257"/>
      <c r="N139" s="258"/>
      <c r="O13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110000</v>
      </c>
      <c r="P139" s="258"/>
      <c r="Q139" s="259" t="str" cm="1">
        <f t="array" ref="Q139">IF(T[[#This Row],[نوع عملیات]]="فروش", _xlfn.XLOOKUP(T[[#This Row],[کالا]], _xlfn._xlws.FILTER(T[کالا], T[نوع عملیات]="خرید"), _xlfn._xlws.FILTER(T[فروشنده / مشتری], T[نوع عملیات]="خرید")), "")</f>
        <v>دلگشا</v>
      </c>
    </row>
    <row r="140" spans="2:17" ht="16.5" hidden="1" customHeight="1" x14ac:dyDescent="0.75">
      <c r="B140" s="228">
        <v>3</v>
      </c>
      <c r="C140" s="148">
        <v>12</v>
      </c>
      <c r="D140" s="148">
        <v>24</v>
      </c>
      <c r="E140" s="148" t="str">
        <f t="shared" si="8"/>
        <v>اسفند</v>
      </c>
      <c r="F140" s="149" t="s">
        <v>167</v>
      </c>
      <c r="G140" s="243" t="s">
        <v>219</v>
      </c>
      <c r="H140" s="247" t="s">
        <v>312</v>
      </c>
      <c r="I140" s="188"/>
      <c r="J140" s="251">
        <v>1</v>
      </c>
      <c r="K140" s="254">
        <v>500000</v>
      </c>
      <c r="L140" s="255">
        <f t="shared" si="7"/>
        <v>500000</v>
      </c>
      <c r="M140" s="257">
        <v>3000000</v>
      </c>
      <c r="N140" s="258" t="s">
        <v>346</v>
      </c>
      <c r="O14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140" s="258"/>
      <c r="Q140" s="259" t="str" cm="1">
        <f t="array" ref="Q140">IF(T[[#This Row],[نوع عملیات]]="فروش", _xlfn.XLOOKUP(T[[#This Row],[کالا]], _xlfn._xlws.FILTER(T[کالا], T[نوع عملیات]="خرید"), _xlfn._xlws.FILTER(T[فروشنده / مشتری], T[نوع عملیات]="خرید")), "")</f>
        <v>مهناز - تولیدی</v>
      </c>
    </row>
    <row r="141" spans="2:17" ht="16.899999999999999" hidden="1" customHeight="1" x14ac:dyDescent="0.75">
      <c r="B141" s="227">
        <v>3</v>
      </c>
      <c r="C141" s="150">
        <v>12</v>
      </c>
      <c r="D141" s="150">
        <v>24</v>
      </c>
      <c r="E141" s="150" t="str">
        <f t="shared" si="8"/>
        <v>اسفند</v>
      </c>
      <c r="F141" s="151" t="s">
        <v>167</v>
      </c>
      <c r="G141" s="243" t="s">
        <v>314</v>
      </c>
      <c r="H141" s="294" t="s">
        <v>612</v>
      </c>
      <c r="I141" s="161"/>
      <c r="J141" s="251">
        <v>1</v>
      </c>
      <c r="K141" s="254">
        <v>1100000</v>
      </c>
      <c r="L141" s="255">
        <f t="shared" si="7"/>
        <v>1100000</v>
      </c>
      <c r="M141" s="257">
        <v>1100000</v>
      </c>
      <c r="N141" s="258" t="s">
        <v>346</v>
      </c>
      <c r="O14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141" s="258"/>
      <c r="Q141" s="259" t="str" cm="1">
        <f t="array" ref="Q141">IF(T[[#This Row],[نوع عملیات]]="فروش", _xlfn.XLOOKUP(T[[#This Row],[کالا]], _xlfn._xlws.FILTER(T[کالا], T[نوع عملیات]="خرید"), _xlfn._xlws.FILTER(T[فروشنده / مشتری], T[نوع عملیات]="خرید")), "")</f>
        <v>دلگشا</v>
      </c>
    </row>
    <row r="142" spans="2:17" ht="16.5" hidden="1" x14ac:dyDescent="0.75">
      <c r="B142" s="227">
        <v>3</v>
      </c>
      <c r="C142" s="150">
        <v>12</v>
      </c>
      <c r="D142" s="150">
        <v>25</v>
      </c>
      <c r="E142" s="150" t="str">
        <f t="shared" si="8"/>
        <v>اسفند</v>
      </c>
      <c r="F142" s="151" t="s">
        <v>168</v>
      </c>
      <c r="G142" s="243" t="s">
        <v>250</v>
      </c>
      <c r="H142" s="247" t="s">
        <v>392</v>
      </c>
      <c r="I142" s="162" t="s">
        <v>491</v>
      </c>
      <c r="J142" s="251">
        <v>1</v>
      </c>
      <c r="K142" s="254">
        <v>280000</v>
      </c>
      <c r="L142" s="255">
        <f t="shared" si="7"/>
        <v>280000</v>
      </c>
      <c r="M142" s="257"/>
      <c r="N142" s="258" t="s">
        <v>346</v>
      </c>
      <c r="O14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42" s="258"/>
      <c r="Q142" s="259" t="str" cm="1">
        <f t="array" ref="Q142">IF(T[[#This Row],[نوع عملیات]]="فروش", _xlfn.XLOOKUP(T[[#This Row],[کالا]], _xlfn._xlws.FILTER(T[کالا], T[نوع عملیات]="خرید"), _xlfn._xlws.FILTER(T[فروشنده / مشتری], T[نوع عملیات]="خرید")), "")</f>
        <v/>
      </c>
    </row>
    <row r="143" spans="2:17" ht="16.5" hidden="1" customHeight="1" x14ac:dyDescent="0.8">
      <c r="B143" s="228">
        <v>3</v>
      </c>
      <c r="C143" s="148">
        <v>12</v>
      </c>
      <c r="D143" s="148">
        <v>25</v>
      </c>
      <c r="E143" s="148" t="str">
        <f t="shared" si="8"/>
        <v>اسفند</v>
      </c>
      <c r="F143" s="149" t="s">
        <v>167</v>
      </c>
      <c r="G143" s="244" t="s">
        <v>250</v>
      </c>
      <c r="H143" s="247" t="s">
        <v>130</v>
      </c>
      <c r="I143" s="296"/>
      <c r="J143" s="251">
        <v>1</v>
      </c>
      <c r="K143" s="305">
        <v>450000</v>
      </c>
      <c r="L143" s="304">
        <f t="shared" ref="L143:L174" si="9">J143*K143</f>
        <v>450000</v>
      </c>
      <c r="M143" s="257"/>
      <c r="N143" s="258"/>
      <c r="O14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170000</v>
      </c>
      <c r="P143" s="258"/>
      <c r="Q143" s="259" t="str" cm="1">
        <f t="array" ref="Q143">IF(T[[#This Row],[نوع عملیات]]="فروش", _xlfn.XLOOKUP(T[[#This Row],[کالا]], _xlfn._xlws.FILTER(T[کالا], T[نوع عملیات]="خرید"), _xlfn._xlws.FILTER(T[فروشنده / مشتری], T[نوع عملیات]="خرید")), "")</f>
        <v>بازار</v>
      </c>
    </row>
    <row r="144" spans="2:17" ht="16.5" hidden="1" x14ac:dyDescent="0.75">
      <c r="B144" s="228">
        <v>3</v>
      </c>
      <c r="C144" s="148">
        <v>12</v>
      </c>
      <c r="D144" s="148">
        <v>25</v>
      </c>
      <c r="E144" s="148" t="str">
        <f t="shared" si="8"/>
        <v>اسفند</v>
      </c>
      <c r="F144" s="149" t="s">
        <v>167</v>
      </c>
      <c r="G144" s="243" t="s">
        <v>234</v>
      </c>
      <c r="H144" s="247" t="s">
        <v>316</v>
      </c>
      <c r="I144" s="188"/>
      <c r="J144" s="251">
        <v>1</v>
      </c>
      <c r="K144" s="254">
        <v>1100000</v>
      </c>
      <c r="L144" s="255">
        <f t="shared" si="9"/>
        <v>1100000</v>
      </c>
      <c r="M144" s="257"/>
      <c r="N144" s="258"/>
      <c r="O14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144" s="258"/>
      <c r="Q144" s="259" t="str" cm="1">
        <f t="array" ref="Q144">IF(T[[#This Row],[نوع عملیات]]="فروش", _xlfn.XLOOKUP(T[[#This Row],[کالا]], _xlfn._xlws.FILTER(T[کالا], T[نوع عملیات]="خرید"), _xlfn._xlws.FILTER(T[فروشنده / مشتری], T[نوع عملیات]="خرید")), "")</f>
        <v>مهناز - تولیدی</v>
      </c>
    </row>
    <row r="145" spans="2:17" ht="16.5" hidden="1" x14ac:dyDescent="0.75">
      <c r="B145" s="228">
        <v>3</v>
      </c>
      <c r="C145" s="148">
        <v>12</v>
      </c>
      <c r="D145" s="148">
        <v>25</v>
      </c>
      <c r="E145" s="148" t="str">
        <f t="shared" si="8"/>
        <v>اسفند</v>
      </c>
      <c r="F145" s="149" t="s">
        <v>167</v>
      </c>
      <c r="G145" s="243" t="s">
        <v>236</v>
      </c>
      <c r="H145" s="247" t="s">
        <v>319</v>
      </c>
      <c r="I145" s="188"/>
      <c r="J145" s="251">
        <v>1</v>
      </c>
      <c r="K145" s="254">
        <v>1200000</v>
      </c>
      <c r="L145" s="255">
        <f t="shared" si="9"/>
        <v>1200000</v>
      </c>
      <c r="M145" s="257"/>
      <c r="N145" s="258"/>
      <c r="O14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550000</v>
      </c>
      <c r="P145" s="258"/>
      <c r="Q145" s="259" t="str" cm="1">
        <f t="array" ref="Q145">IF(T[[#This Row],[نوع عملیات]]="فروش", _xlfn.XLOOKUP(T[[#This Row],[کالا]], _xlfn._xlws.FILTER(T[کالا], T[نوع عملیات]="خرید"), _xlfn._xlws.FILTER(T[فروشنده / مشتری], T[نوع عملیات]="خرید")), "")</f>
        <v>مهناز - تولیدی</v>
      </c>
    </row>
    <row r="146" spans="2:17" ht="16.5" hidden="1" x14ac:dyDescent="0.75">
      <c r="B146" s="228">
        <v>3</v>
      </c>
      <c r="C146" s="148">
        <v>12</v>
      </c>
      <c r="D146" s="148">
        <v>25</v>
      </c>
      <c r="E146" s="148" t="str">
        <f t="shared" si="8"/>
        <v>اسفند</v>
      </c>
      <c r="F146" s="149" t="s">
        <v>167</v>
      </c>
      <c r="G146" s="243" t="s">
        <v>320</v>
      </c>
      <c r="H146" s="247" t="s">
        <v>319</v>
      </c>
      <c r="I146" s="188"/>
      <c r="J146" s="251">
        <v>1</v>
      </c>
      <c r="K146" s="254">
        <v>1150000</v>
      </c>
      <c r="L146" s="255">
        <f t="shared" si="9"/>
        <v>1150000</v>
      </c>
      <c r="M146" s="257"/>
      <c r="N146" s="258"/>
      <c r="O14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475000</v>
      </c>
      <c r="P146" s="258"/>
      <c r="Q146" s="259" t="str" cm="1">
        <f t="array" ref="Q146">IF(T[[#This Row],[نوع عملیات]]="فروش", _xlfn.XLOOKUP(T[[#This Row],[کالا]], _xlfn._xlws.FILTER(T[کالا], T[نوع عملیات]="خرید"), _xlfn._xlws.FILTER(T[فروشنده / مشتری], T[نوع عملیات]="خرید")), "")</f>
        <v>بازار</v>
      </c>
    </row>
    <row r="147" spans="2:17" ht="16.5" hidden="1" customHeight="1" x14ac:dyDescent="0.75">
      <c r="B147" s="228">
        <v>3</v>
      </c>
      <c r="C147" s="148">
        <v>12</v>
      </c>
      <c r="D147" s="148">
        <v>25</v>
      </c>
      <c r="E147" s="148" t="str">
        <f t="shared" si="8"/>
        <v>اسفند</v>
      </c>
      <c r="F147" s="149" t="s">
        <v>167</v>
      </c>
      <c r="G147" s="243" t="s">
        <v>402</v>
      </c>
      <c r="H147" s="247" t="s">
        <v>319</v>
      </c>
      <c r="I147" s="188"/>
      <c r="J147" s="251">
        <v>1</v>
      </c>
      <c r="K147" s="254">
        <v>450000</v>
      </c>
      <c r="L147" s="255">
        <f t="shared" si="9"/>
        <v>450000</v>
      </c>
      <c r="M147" s="257">
        <v>2800000</v>
      </c>
      <c r="N147" s="258" t="s">
        <v>298</v>
      </c>
      <c r="O14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147" s="258"/>
      <c r="Q147" s="259" t="str" cm="1">
        <f t="array" ref="Q147">IF(T[[#This Row],[نوع عملیات]]="فروش", _xlfn.XLOOKUP(T[[#This Row],[کالا]], _xlfn._xlws.FILTER(T[کالا], T[نوع عملیات]="خرید"), _xlfn._xlws.FILTER(T[فروشنده / مشتری], T[نوع عملیات]="خرید")), "")</f>
        <v>وان ترکیه</v>
      </c>
    </row>
    <row r="148" spans="2:17" ht="16.5" hidden="1" customHeight="1" x14ac:dyDescent="0.75">
      <c r="B148" s="227">
        <v>3</v>
      </c>
      <c r="C148" s="150">
        <v>12</v>
      </c>
      <c r="D148" s="150">
        <v>25</v>
      </c>
      <c r="E148" s="150" t="str">
        <f t="shared" si="8"/>
        <v>اسفند</v>
      </c>
      <c r="F148" s="151" t="s">
        <v>167</v>
      </c>
      <c r="G148" s="243" t="s">
        <v>403</v>
      </c>
      <c r="H148" s="247" t="s">
        <v>321</v>
      </c>
      <c r="I148" s="161"/>
      <c r="J148" s="251">
        <v>1</v>
      </c>
      <c r="K148" s="254">
        <v>100000</v>
      </c>
      <c r="L148" s="255">
        <f t="shared" si="9"/>
        <v>100000</v>
      </c>
      <c r="M148" s="300">
        <v>100000</v>
      </c>
      <c r="N148" s="262" t="s">
        <v>304</v>
      </c>
      <c r="O1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148" s="262"/>
      <c r="Q148" s="264" t="str" cm="1">
        <f t="array" ref="Q148">IF(T[[#This Row],[نوع عملیات]]="فروش", _xlfn.XLOOKUP(T[[#This Row],[کالا]], _xlfn._xlws.FILTER(T[کالا], T[نوع عملیات]="خرید"), _xlfn._xlws.FILTER(T[فروشنده / مشتری], T[نوع عملیات]="خرید")), "")</f>
        <v>بازار</v>
      </c>
    </row>
    <row r="149" spans="2:17" ht="16.5" hidden="1" customHeight="1" x14ac:dyDescent="0.75">
      <c r="B149" s="227">
        <v>3</v>
      </c>
      <c r="C149" s="150">
        <v>12</v>
      </c>
      <c r="D149" s="150">
        <v>26</v>
      </c>
      <c r="E149" s="150" t="str">
        <f t="shared" si="8"/>
        <v>اسفند</v>
      </c>
      <c r="F149" s="151" t="s">
        <v>167</v>
      </c>
      <c r="G149" s="244" t="s">
        <v>207</v>
      </c>
      <c r="H149" s="247" t="s">
        <v>434</v>
      </c>
      <c r="I149" s="162"/>
      <c r="J149" s="251">
        <v>1</v>
      </c>
      <c r="K149" s="254">
        <v>500000</v>
      </c>
      <c r="L149" s="255">
        <f t="shared" si="9"/>
        <v>500000</v>
      </c>
      <c r="M149" s="253"/>
      <c r="N149" s="262"/>
      <c r="O1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215000</v>
      </c>
      <c r="P149" s="262"/>
      <c r="Q149" s="264" t="str" cm="1">
        <f t="array" ref="Q149">IF(T[[#This Row],[نوع عملیات]]="فروش", _xlfn.XLOOKUP(T[[#This Row],[کالا]], _xlfn._xlws.FILTER(T[کالا], T[نوع عملیات]="خرید"), _xlfn._xlws.FILTER(T[فروشنده / مشتری], T[نوع عملیات]="خرید")), "")</f>
        <v>فریده</v>
      </c>
    </row>
    <row r="150" spans="2:17" ht="16.5" hidden="1" customHeight="1" x14ac:dyDescent="0.75">
      <c r="B150" s="227">
        <v>3</v>
      </c>
      <c r="C150" s="150">
        <v>12</v>
      </c>
      <c r="D150" s="150">
        <v>26</v>
      </c>
      <c r="E150" s="150" t="str">
        <f t="shared" si="8"/>
        <v>اسفند</v>
      </c>
      <c r="F150" s="151" t="s">
        <v>167</v>
      </c>
      <c r="G150" s="244" t="s">
        <v>212</v>
      </c>
      <c r="H150" s="247" t="s">
        <v>434</v>
      </c>
      <c r="I150" s="162"/>
      <c r="J150" s="251">
        <v>1</v>
      </c>
      <c r="K150" s="254">
        <v>1200000</v>
      </c>
      <c r="L150" s="255">
        <f t="shared" si="9"/>
        <v>1200000</v>
      </c>
      <c r="M150" s="253"/>
      <c r="N150" s="262"/>
      <c r="O15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520000</v>
      </c>
      <c r="P150" s="262"/>
      <c r="Q150" s="264" t="str" cm="1">
        <f t="array" ref="Q150">IF(T[[#This Row],[نوع عملیات]]="فروش", _xlfn.XLOOKUP(T[[#This Row],[کالا]], _xlfn._xlws.FILTER(T[کالا], T[نوع عملیات]="خرید"), _xlfn._xlws.FILTER(T[فروشنده / مشتری], T[نوع عملیات]="خرید")), "")</f>
        <v>فریده</v>
      </c>
    </row>
    <row r="151" spans="2:17" ht="16.5" hidden="1" customHeight="1" x14ac:dyDescent="0.75">
      <c r="B151" s="227">
        <v>3</v>
      </c>
      <c r="C151" s="150">
        <v>12</v>
      </c>
      <c r="D151" s="150">
        <v>26</v>
      </c>
      <c r="E151" s="150" t="str">
        <f t="shared" si="8"/>
        <v>اسفند</v>
      </c>
      <c r="F151" s="151" t="s">
        <v>167</v>
      </c>
      <c r="G151" s="244" t="s">
        <v>322</v>
      </c>
      <c r="H151" s="247" t="s">
        <v>434</v>
      </c>
      <c r="I151" s="162"/>
      <c r="J151" s="251">
        <v>1</v>
      </c>
      <c r="K151" s="254">
        <v>450000</v>
      </c>
      <c r="L151" s="255">
        <f t="shared" si="9"/>
        <v>450000</v>
      </c>
      <c r="M151" s="253"/>
      <c r="N151" s="262"/>
      <c r="O1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260000</v>
      </c>
      <c r="P151" s="262"/>
      <c r="Q151" s="264" t="str" cm="1">
        <f t="array" ref="Q151">IF(T[[#This Row],[نوع عملیات]]="فروش", _xlfn.XLOOKUP(T[[#This Row],[کالا]], _xlfn._xlws.FILTER(T[کالا], T[نوع عملیات]="خرید"), _xlfn._xlws.FILTER(T[فروشنده / مشتری], T[نوع عملیات]="خرید")), "")</f>
        <v>بازار</v>
      </c>
    </row>
    <row r="152" spans="2:17" ht="16.5" hidden="1" customHeight="1" x14ac:dyDescent="0.75">
      <c r="B152" s="227">
        <v>3</v>
      </c>
      <c r="C152" s="150">
        <v>12</v>
      </c>
      <c r="D152" s="150">
        <v>26</v>
      </c>
      <c r="E152" s="150" t="str">
        <f t="shared" si="8"/>
        <v>اسفند</v>
      </c>
      <c r="F152" s="151" t="s">
        <v>167</v>
      </c>
      <c r="G152" s="244" t="s">
        <v>203</v>
      </c>
      <c r="H152" s="247" t="s">
        <v>434</v>
      </c>
      <c r="I152" s="162"/>
      <c r="J152" s="251">
        <v>1</v>
      </c>
      <c r="K152" s="254">
        <v>950000</v>
      </c>
      <c r="L152" s="255">
        <f t="shared" si="9"/>
        <v>950000</v>
      </c>
      <c r="M152" s="253"/>
      <c r="N152" s="262"/>
      <c r="O1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152" s="262"/>
      <c r="Q152" s="264" t="str" cm="1">
        <f t="array" ref="Q152">IF(T[[#This Row],[نوع عملیات]]="فروش", _xlfn.XLOOKUP(T[[#This Row],[کالا]], _xlfn._xlws.FILTER(T[کالا], T[نوع عملیات]="خرید"), _xlfn._xlws.FILTER(T[فروشنده / مشتری], T[نوع عملیات]="خرید")), "")</f>
        <v>فریده</v>
      </c>
    </row>
    <row r="153" spans="2:17" ht="16.5" hidden="1" customHeight="1" x14ac:dyDescent="0.75">
      <c r="B153" s="228">
        <v>3</v>
      </c>
      <c r="C153" s="148">
        <v>12</v>
      </c>
      <c r="D153" s="148">
        <v>26</v>
      </c>
      <c r="E153" s="148" t="str">
        <f t="shared" si="8"/>
        <v>اسفند</v>
      </c>
      <c r="F153" s="149" t="s">
        <v>167</v>
      </c>
      <c r="G153" s="244" t="s">
        <v>404</v>
      </c>
      <c r="H153" s="247" t="s">
        <v>434</v>
      </c>
      <c r="I153" s="249"/>
      <c r="J153" s="251">
        <v>1</v>
      </c>
      <c r="K153" s="254">
        <v>2000000</v>
      </c>
      <c r="L153" s="255">
        <f t="shared" si="9"/>
        <v>2000000</v>
      </c>
      <c r="M153" s="299"/>
      <c r="N153" s="258"/>
      <c r="O15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700000</v>
      </c>
      <c r="P153" s="258"/>
      <c r="Q153" s="259" t="str" cm="1">
        <f t="array" ref="Q153">IF(T[[#This Row],[نوع عملیات]]="فروش", _xlfn.XLOOKUP(T[[#This Row],[کالا]], _xlfn._xlws.FILTER(T[کالا], T[نوع عملیات]="خرید"), _xlfn._xlws.FILTER(T[فروشنده / مشتری], T[نوع عملیات]="خرید")), "")</f>
        <v>بازار</v>
      </c>
    </row>
    <row r="154" spans="2:17" ht="16.5" hidden="1" customHeight="1" x14ac:dyDescent="0.75">
      <c r="B154" s="228">
        <v>3</v>
      </c>
      <c r="C154" s="148">
        <v>12</v>
      </c>
      <c r="D154" s="148">
        <v>26</v>
      </c>
      <c r="E154" s="148" t="str">
        <f t="shared" si="8"/>
        <v>اسفند</v>
      </c>
      <c r="F154" s="149" t="s">
        <v>168</v>
      </c>
      <c r="G154" s="243" t="s">
        <v>136</v>
      </c>
      <c r="H154" s="247" t="s">
        <v>392</v>
      </c>
      <c r="I154" s="162" t="s">
        <v>491</v>
      </c>
      <c r="J154" s="251">
        <v>2</v>
      </c>
      <c r="K154" s="254">
        <v>250000</v>
      </c>
      <c r="L154" s="255">
        <f t="shared" si="9"/>
        <v>500000</v>
      </c>
      <c r="M154" s="257"/>
      <c r="N154" s="258" t="s">
        <v>346</v>
      </c>
      <c r="O15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54" s="258" t="s">
        <v>193</v>
      </c>
      <c r="Q154" s="259" t="str" cm="1">
        <f t="array" ref="Q154">IF(T[[#This Row],[نوع عملیات]]="فروش", _xlfn.XLOOKUP(T[[#This Row],[کالا]], _xlfn._xlws.FILTER(T[کالا], T[نوع عملیات]="خرید"), _xlfn._xlws.FILTER(T[فروشنده / مشتری], T[نوع عملیات]="خرید")), "")</f>
        <v/>
      </c>
    </row>
    <row r="155" spans="2:17" ht="16.5" hidden="1" customHeight="1" x14ac:dyDescent="0.75">
      <c r="B155" s="228">
        <v>3</v>
      </c>
      <c r="C155" s="148">
        <v>12</v>
      </c>
      <c r="D155" s="148">
        <v>26</v>
      </c>
      <c r="E155" s="148" t="str">
        <f t="shared" si="8"/>
        <v>اسفند</v>
      </c>
      <c r="F155" s="149" t="s">
        <v>167</v>
      </c>
      <c r="G155" s="243" t="s">
        <v>207</v>
      </c>
      <c r="H155" s="247" t="s">
        <v>211</v>
      </c>
      <c r="I155" s="188"/>
      <c r="J155" s="251">
        <v>1</v>
      </c>
      <c r="K155" s="254">
        <v>550000</v>
      </c>
      <c r="L155" s="255">
        <f t="shared" si="9"/>
        <v>550000</v>
      </c>
      <c r="M155" s="257"/>
      <c r="N155" s="258" t="s">
        <v>304</v>
      </c>
      <c r="O15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265000</v>
      </c>
      <c r="P155" s="258"/>
      <c r="Q155" s="259" t="str" cm="1">
        <f t="array" ref="Q155">IF(T[[#This Row],[نوع عملیات]]="فروش", _xlfn.XLOOKUP(T[[#This Row],[کالا]], _xlfn._xlws.FILTER(T[کالا], T[نوع عملیات]="خرید"), _xlfn._xlws.FILTER(T[فروشنده / مشتری], T[نوع عملیات]="خرید")), "")</f>
        <v>فریده</v>
      </c>
    </row>
    <row r="156" spans="2:17" ht="16.5" hidden="1" customHeight="1" x14ac:dyDescent="0.75">
      <c r="B156" s="286">
        <v>3</v>
      </c>
      <c r="C156" s="287">
        <v>12</v>
      </c>
      <c r="D156" s="287">
        <v>26</v>
      </c>
      <c r="E156" s="288" t="str">
        <f t="shared" si="8"/>
        <v>اسفند</v>
      </c>
      <c r="F156" s="292" t="s">
        <v>167</v>
      </c>
      <c r="G156" s="243" t="s">
        <v>206</v>
      </c>
      <c r="H156" s="247" t="s">
        <v>211</v>
      </c>
      <c r="I156" s="249"/>
      <c r="J156" s="251">
        <v>1</v>
      </c>
      <c r="K156" s="254">
        <v>450000</v>
      </c>
      <c r="L156" s="255">
        <f t="shared" si="9"/>
        <v>450000</v>
      </c>
      <c r="M156" s="257">
        <v>1000000</v>
      </c>
      <c r="N156" s="258" t="s">
        <v>304</v>
      </c>
      <c r="O15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v>
      </c>
      <c r="P156" s="258"/>
      <c r="Q156" s="259" t="str" cm="1">
        <f t="array" ref="Q156">IF(T[[#This Row],[نوع عملیات]]="فروش", _xlfn.XLOOKUP(T[[#This Row],[کالا]], _xlfn._xlws.FILTER(T[کالا], T[نوع عملیات]="خرید"), _xlfn._xlws.FILTER(T[فروشنده / مشتری], T[نوع عملیات]="خرید")), "")</f>
        <v>فریده</v>
      </c>
    </row>
    <row r="157" spans="2:17" ht="16.5" hidden="1" customHeight="1" x14ac:dyDescent="0.75">
      <c r="B157" s="286">
        <v>3</v>
      </c>
      <c r="C157" s="287">
        <v>12</v>
      </c>
      <c r="D157" s="287">
        <v>26</v>
      </c>
      <c r="E157" s="288" t="str">
        <f t="shared" si="8"/>
        <v>اسفند</v>
      </c>
      <c r="F157" s="292" t="s">
        <v>167</v>
      </c>
      <c r="G157" s="243" t="s">
        <v>323</v>
      </c>
      <c r="H157" s="247" t="s">
        <v>130</v>
      </c>
      <c r="I157" s="249"/>
      <c r="J157" s="251">
        <v>1</v>
      </c>
      <c r="K157" s="254">
        <v>250000</v>
      </c>
      <c r="L157" s="255">
        <f t="shared" si="9"/>
        <v>250000</v>
      </c>
      <c r="M157" s="257"/>
      <c r="N157" s="258"/>
      <c r="O15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157" s="258"/>
      <c r="Q157" s="259" t="str" cm="1">
        <f t="array" ref="Q157">IF(T[[#This Row],[نوع عملیات]]="فروش", _xlfn.XLOOKUP(T[[#This Row],[کالا]], _xlfn._xlws.FILTER(T[کالا], T[نوع عملیات]="خرید"), _xlfn._xlws.FILTER(T[فروشنده / مشتری], T[نوع عملیات]="خرید")), "")</f>
        <v>بازار</v>
      </c>
    </row>
    <row r="158" spans="2:17" ht="16.5" hidden="1" customHeight="1" x14ac:dyDescent="0.75">
      <c r="B158" s="228">
        <v>3</v>
      </c>
      <c r="C158" s="148">
        <v>12</v>
      </c>
      <c r="D158" s="148">
        <v>26</v>
      </c>
      <c r="E158" s="148" t="str">
        <f t="shared" si="8"/>
        <v>اسفند</v>
      </c>
      <c r="F158" s="149" t="s">
        <v>168</v>
      </c>
      <c r="G158" s="243" t="s">
        <v>240</v>
      </c>
      <c r="H158" s="247" t="s">
        <v>392</v>
      </c>
      <c r="I158" s="162" t="s">
        <v>491</v>
      </c>
      <c r="J158" s="251">
        <v>2</v>
      </c>
      <c r="K158" s="254">
        <v>335000</v>
      </c>
      <c r="L158" s="255">
        <f t="shared" si="9"/>
        <v>670000</v>
      </c>
      <c r="M158" s="257"/>
      <c r="N158" s="258" t="s">
        <v>346</v>
      </c>
      <c r="O15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58" s="258"/>
      <c r="Q158" s="259" t="str" cm="1">
        <f t="array" ref="Q158">IF(T[[#This Row],[نوع عملیات]]="فروش", _xlfn.XLOOKUP(T[[#This Row],[کالا]], _xlfn._xlws.FILTER(T[کالا], T[نوع عملیات]="خرید"), _xlfn._xlws.FILTER(T[فروشنده / مشتری], T[نوع عملیات]="خرید")), "")</f>
        <v/>
      </c>
    </row>
    <row r="159" spans="2:17" ht="16.5" hidden="1" customHeight="1" x14ac:dyDescent="0.75">
      <c r="B159" s="228">
        <v>3</v>
      </c>
      <c r="C159" s="148">
        <v>12</v>
      </c>
      <c r="D159" s="148">
        <v>26</v>
      </c>
      <c r="E159" s="148" t="str">
        <f t="shared" si="8"/>
        <v>اسفند</v>
      </c>
      <c r="F159" s="149" t="s">
        <v>168</v>
      </c>
      <c r="G159" s="243" t="s">
        <v>242</v>
      </c>
      <c r="H159" s="247" t="s">
        <v>392</v>
      </c>
      <c r="I159" s="162" t="s">
        <v>491</v>
      </c>
      <c r="J159" s="251">
        <v>1</v>
      </c>
      <c r="K159" s="254">
        <v>500000</v>
      </c>
      <c r="L159" s="255">
        <f t="shared" si="9"/>
        <v>500000</v>
      </c>
      <c r="M159" s="257"/>
      <c r="N159" s="258" t="s">
        <v>346</v>
      </c>
      <c r="O15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59" s="258"/>
      <c r="Q159" s="259" t="str" cm="1">
        <f t="array" ref="Q159">IF(T[[#This Row],[نوع عملیات]]="فروش", _xlfn.XLOOKUP(T[[#This Row],[کالا]], _xlfn._xlws.FILTER(T[کالا], T[نوع عملیات]="خرید"), _xlfn._xlws.FILTER(T[فروشنده / مشتری], T[نوع عملیات]="خرید")), "")</f>
        <v/>
      </c>
    </row>
    <row r="160" spans="2:17" ht="16.5" hidden="1" customHeight="1" x14ac:dyDescent="0.75">
      <c r="B160" s="228">
        <v>3</v>
      </c>
      <c r="C160" s="148">
        <v>12</v>
      </c>
      <c r="D160" s="148">
        <v>26</v>
      </c>
      <c r="E160" s="148" t="str">
        <f t="shared" si="8"/>
        <v>اسفند</v>
      </c>
      <c r="F160" s="149" t="s">
        <v>168</v>
      </c>
      <c r="G160" s="243" t="s">
        <v>243</v>
      </c>
      <c r="H160" s="247" t="s">
        <v>392</v>
      </c>
      <c r="I160" s="162" t="s">
        <v>491</v>
      </c>
      <c r="J160" s="251">
        <v>1</v>
      </c>
      <c r="K160" s="254">
        <v>570000</v>
      </c>
      <c r="L160" s="255">
        <f t="shared" si="9"/>
        <v>570000</v>
      </c>
      <c r="M160" s="257"/>
      <c r="N160" s="258" t="s">
        <v>346</v>
      </c>
      <c r="O16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0" s="258"/>
      <c r="Q160" s="259" t="str" cm="1">
        <f t="array" ref="Q160">IF(T[[#This Row],[نوع عملیات]]="فروش", _xlfn.XLOOKUP(T[[#This Row],[کالا]], _xlfn._xlws.FILTER(T[کالا], T[نوع عملیات]="خرید"), _xlfn._xlws.FILTER(T[فروشنده / مشتری], T[نوع عملیات]="خرید")), "")</f>
        <v/>
      </c>
    </row>
    <row r="161" spans="2:17" ht="16.5" hidden="1" customHeight="1" x14ac:dyDescent="0.75">
      <c r="B161" s="228">
        <v>3</v>
      </c>
      <c r="C161" s="148">
        <v>12</v>
      </c>
      <c r="D161" s="148">
        <v>26</v>
      </c>
      <c r="E161" s="148" t="str">
        <f t="shared" si="8"/>
        <v>اسفند</v>
      </c>
      <c r="F161" s="149" t="s">
        <v>168</v>
      </c>
      <c r="G161" s="243" t="s">
        <v>244</v>
      </c>
      <c r="H161" s="247" t="s">
        <v>392</v>
      </c>
      <c r="I161" s="162" t="s">
        <v>491</v>
      </c>
      <c r="J161" s="251">
        <v>6</v>
      </c>
      <c r="K161" s="254">
        <v>320000</v>
      </c>
      <c r="L161" s="255">
        <f t="shared" si="9"/>
        <v>1920000</v>
      </c>
      <c r="M161" s="257">
        <v>5380000</v>
      </c>
      <c r="N161" s="258" t="s">
        <v>346</v>
      </c>
      <c r="O16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1" s="258"/>
      <c r="Q161" s="259" t="str" cm="1">
        <f t="array" ref="Q161">IF(T[[#This Row],[نوع عملیات]]="فروش", _xlfn.XLOOKUP(T[[#This Row],[کالا]], _xlfn._xlws.FILTER(T[کالا], T[نوع عملیات]="خرید"), _xlfn._xlws.FILTER(T[فروشنده / مشتری], T[نوع عملیات]="خرید")), "")</f>
        <v/>
      </c>
    </row>
    <row r="162" spans="2:17" ht="16.5" hidden="1" customHeight="1" x14ac:dyDescent="0.75">
      <c r="B162" s="228">
        <v>3</v>
      </c>
      <c r="C162" s="148">
        <v>12</v>
      </c>
      <c r="D162" s="148">
        <v>26</v>
      </c>
      <c r="E162" s="148" t="str">
        <f t="shared" si="8"/>
        <v>اسفند</v>
      </c>
      <c r="F162" s="149" t="s">
        <v>168</v>
      </c>
      <c r="G162" s="243" t="s">
        <v>247</v>
      </c>
      <c r="H162" s="247" t="s">
        <v>443</v>
      </c>
      <c r="I162" s="160" t="s">
        <v>487</v>
      </c>
      <c r="J162" s="251">
        <v>6</v>
      </c>
      <c r="K162" s="254">
        <v>198000</v>
      </c>
      <c r="L162" s="255">
        <f t="shared" si="9"/>
        <v>1188000</v>
      </c>
      <c r="M162" s="257">
        <v>1188000</v>
      </c>
      <c r="N162" s="258" t="s">
        <v>346</v>
      </c>
      <c r="O16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2" s="258"/>
      <c r="Q162" s="259" t="str" cm="1">
        <f t="array" ref="Q162">IF(T[[#This Row],[نوع عملیات]]="فروش", _xlfn.XLOOKUP(T[[#This Row],[کالا]], _xlfn._xlws.FILTER(T[کالا], T[نوع عملیات]="خرید"), _xlfn._xlws.FILTER(T[فروشنده / مشتری], T[نوع عملیات]="خرید")), "")</f>
        <v/>
      </c>
    </row>
    <row r="163" spans="2:17" ht="16.5" hidden="1" x14ac:dyDescent="0.75">
      <c r="B163" s="228">
        <v>3</v>
      </c>
      <c r="C163" s="148">
        <v>12</v>
      </c>
      <c r="D163" s="148">
        <v>26</v>
      </c>
      <c r="E163" s="148" t="str">
        <f t="shared" si="8"/>
        <v>اسفند</v>
      </c>
      <c r="F163" s="149" t="s">
        <v>168</v>
      </c>
      <c r="G163" s="243" t="s">
        <v>331</v>
      </c>
      <c r="H163" s="247" t="s">
        <v>392</v>
      </c>
      <c r="I163" s="162" t="s">
        <v>491</v>
      </c>
      <c r="J163" s="251">
        <v>1</v>
      </c>
      <c r="K163" s="254">
        <v>200000</v>
      </c>
      <c r="L163" s="255">
        <f t="shared" si="9"/>
        <v>200000</v>
      </c>
      <c r="M163" s="257"/>
      <c r="N163" s="258" t="s">
        <v>346</v>
      </c>
      <c r="O16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3" s="258"/>
      <c r="Q163" s="259" t="str" cm="1">
        <f t="array" ref="Q163">IF(T[[#This Row],[نوع عملیات]]="فروش", _xlfn.XLOOKUP(T[[#This Row],[کالا]], _xlfn._xlws.FILTER(T[کالا], T[نوع عملیات]="خرید"), _xlfn._xlws.FILTER(T[فروشنده / مشتری], T[نوع عملیات]="خرید")), "")</f>
        <v/>
      </c>
    </row>
    <row r="164" spans="2:17" ht="16.5" hidden="1" x14ac:dyDescent="0.75">
      <c r="B164" s="228">
        <v>3</v>
      </c>
      <c r="C164" s="148">
        <v>12</v>
      </c>
      <c r="D164" s="148">
        <v>26</v>
      </c>
      <c r="E164" s="148" t="str">
        <f t="shared" si="8"/>
        <v>اسفند</v>
      </c>
      <c r="F164" s="149" t="s">
        <v>168</v>
      </c>
      <c r="G164" s="243" t="s">
        <v>249</v>
      </c>
      <c r="H164" s="247" t="s">
        <v>392</v>
      </c>
      <c r="I164" s="162" t="s">
        <v>491</v>
      </c>
      <c r="J164" s="251">
        <v>5</v>
      </c>
      <c r="K164" s="254">
        <v>166000</v>
      </c>
      <c r="L164" s="255">
        <f t="shared" si="9"/>
        <v>830000</v>
      </c>
      <c r="M164" s="257"/>
      <c r="N164" s="258" t="s">
        <v>346</v>
      </c>
      <c r="O16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4" s="258"/>
      <c r="Q164" s="259" t="str" cm="1">
        <f t="array" ref="Q164">IF(T[[#This Row],[نوع عملیات]]="فروش", _xlfn.XLOOKUP(T[[#This Row],[کالا]], _xlfn._xlws.FILTER(T[کالا], T[نوع عملیات]="خرید"), _xlfn._xlws.FILTER(T[فروشنده / مشتری], T[نوع عملیات]="خرید")), "")</f>
        <v/>
      </c>
    </row>
    <row r="165" spans="2:17" ht="16.5" hidden="1" x14ac:dyDescent="0.75">
      <c r="B165" s="228">
        <v>3</v>
      </c>
      <c r="C165" s="148">
        <v>12</v>
      </c>
      <c r="D165" s="148">
        <v>26</v>
      </c>
      <c r="E165" s="148" t="str">
        <f t="shared" ref="E165:E182" si="10">CHOOSE(C165, "فروردین", "اردیبهشت", "خرداد", "تیر", "مرداد", "شهریور", "مهر", "آبان", "آذر", "دی", "بهمن", "اسفند")</f>
        <v>اسفند</v>
      </c>
      <c r="F165" s="149" t="s">
        <v>168</v>
      </c>
      <c r="G165" s="243" t="s">
        <v>332</v>
      </c>
      <c r="H165" s="247" t="s">
        <v>392</v>
      </c>
      <c r="I165" s="162" t="s">
        <v>491</v>
      </c>
      <c r="J165" s="251">
        <v>1</v>
      </c>
      <c r="K165" s="254">
        <v>300000</v>
      </c>
      <c r="L165" s="255">
        <f t="shared" si="9"/>
        <v>300000</v>
      </c>
      <c r="M165" s="257"/>
      <c r="N165" s="258" t="s">
        <v>346</v>
      </c>
      <c r="O16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5" s="258"/>
      <c r="Q165" s="259" t="str" cm="1">
        <f t="array" ref="Q165">IF(T[[#This Row],[نوع عملیات]]="فروش", _xlfn.XLOOKUP(T[[#This Row],[کالا]], _xlfn._xlws.FILTER(T[کالا], T[نوع عملیات]="خرید"), _xlfn._xlws.FILTER(T[فروشنده / مشتری], T[نوع عملیات]="خرید")), "")</f>
        <v/>
      </c>
    </row>
    <row r="166" spans="2:17" ht="16.5" hidden="1" x14ac:dyDescent="0.75">
      <c r="B166" s="228">
        <v>3</v>
      </c>
      <c r="C166" s="148">
        <v>12</v>
      </c>
      <c r="D166" s="148">
        <v>26</v>
      </c>
      <c r="E166" s="148" t="str">
        <f t="shared" si="10"/>
        <v>اسفند</v>
      </c>
      <c r="F166" s="149" t="s">
        <v>168</v>
      </c>
      <c r="G166" s="243" t="s">
        <v>250</v>
      </c>
      <c r="H166" s="247" t="s">
        <v>392</v>
      </c>
      <c r="I166" s="162" t="s">
        <v>491</v>
      </c>
      <c r="J166" s="251">
        <v>2</v>
      </c>
      <c r="K166" s="254">
        <v>280000</v>
      </c>
      <c r="L166" s="255">
        <f t="shared" si="9"/>
        <v>560000</v>
      </c>
      <c r="M166" s="257"/>
      <c r="N166" s="258" t="s">
        <v>346</v>
      </c>
      <c r="O16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6" s="258"/>
      <c r="Q166" s="259" t="str" cm="1">
        <f t="array" ref="Q166">IF(T[[#This Row],[نوع عملیات]]="فروش", _xlfn.XLOOKUP(T[[#This Row],[کالا]], _xlfn._xlws.FILTER(T[کالا], T[نوع عملیات]="خرید"), _xlfn._xlws.FILTER(T[فروشنده / مشتری], T[نوع عملیات]="خرید")), "")</f>
        <v/>
      </c>
    </row>
    <row r="167" spans="2:17" ht="16.5" hidden="1" x14ac:dyDescent="0.75">
      <c r="B167" s="228">
        <v>3</v>
      </c>
      <c r="C167" s="148">
        <v>12</v>
      </c>
      <c r="D167" s="148">
        <v>26</v>
      </c>
      <c r="E167" s="148" t="str">
        <f t="shared" si="10"/>
        <v>اسفند</v>
      </c>
      <c r="F167" s="149" t="s">
        <v>168</v>
      </c>
      <c r="G167" s="243" t="s">
        <v>251</v>
      </c>
      <c r="H167" s="247" t="s">
        <v>392</v>
      </c>
      <c r="I167" s="162" t="s">
        <v>491</v>
      </c>
      <c r="J167" s="251">
        <v>2</v>
      </c>
      <c r="K167" s="254">
        <v>199000</v>
      </c>
      <c r="L167" s="255">
        <f t="shared" si="9"/>
        <v>398000</v>
      </c>
      <c r="M167" s="257"/>
      <c r="N167" s="258" t="s">
        <v>346</v>
      </c>
      <c r="O16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7" s="258"/>
      <c r="Q167" s="259" t="str" cm="1">
        <f t="array" ref="Q167">IF(T[[#This Row],[نوع عملیات]]="فروش", _xlfn.XLOOKUP(T[[#This Row],[کالا]], _xlfn._xlws.FILTER(T[کالا], T[نوع عملیات]="خرید"), _xlfn._xlws.FILTER(T[فروشنده / مشتری], T[نوع عملیات]="خرید")), "")</f>
        <v/>
      </c>
    </row>
    <row r="168" spans="2:17" ht="16.5" hidden="1" customHeight="1" x14ac:dyDescent="0.75">
      <c r="B168" s="228">
        <v>3</v>
      </c>
      <c r="C168" s="148">
        <v>12</v>
      </c>
      <c r="D168" s="148">
        <v>26</v>
      </c>
      <c r="E168" s="148" t="str">
        <f t="shared" si="10"/>
        <v>اسفند</v>
      </c>
      <c r="F168" s="149" t="s">
        <v>168</v>
      </c>
      <c r="G168" s="243" t="s">
        <v>241</v>
      </c>
      <c r="H168" s="247" t="s">
        <v>451</v>
      </c>
      <c r="I168" s="160" t="s">
        <v>451</v>
      </c>
      <c r="J168" s="251">
        <v>1</v>
      </c>
      <c r="K168" s="254">
        <v>0</v>
      </c>
      <c r="L168" s="255">
        <f t="shared" si="9"/>
        <v>0</v>
      </c>
      <c r="M168" s="257"/>
      <c r="N168" s="258"/>
      <c r="O16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8" s="258"/>
      <c r="Q168" s="259" t="str" cm="1">
        <f t="array" ref="Q168">IF(T[[#This Row],[نوع عملیات]]="فروش", _xlfn.XLOOKUP(T[[#This Row],[کالا]], _xlfn._xlws.FILTER(T[کالا], T[نوع عملیات]="خرید"), _xlfn._xlws.FILTER(T[فروشنده / مشتری], T[نوع عملیات]="خرید")), "")</f>
        <v/>
      </c>
    </row>
    <row r="169" spans="2:17" ht="16.5" hidden="1" customHeight="1" x14ac:dyDescent="0.75">
      <c r="B169" s="228">
        <v>3</v>
      </c>
      <c r="C169" s="148">
        <v>12</v>
      </c>
      <c r="D169" s="148">
        <v>26</v>
      </c>
      <c r="E169" s="148" t="str">
        <f t="shared" si="10"/>
        <v>اسفند</v>
      </c>
      <c r="F169" s="149" t="s">
        <v>168</v>
      </c>
      <c r="G169" s="243" t="s">
        <v>133</v>
      </c>
      <c r="H169" s="247" t="s">
        <v>451</v>
      </c>
      <c r="I169" s="161" t="s">
        <v>451</v>
      </c>
      <c r="J169" s="251">
        <v>1</v>
      </c>
      <c r="K169" s="254">
        <v>0</v>
      </c>
      <c r="L169" s="255">
        <f t="shared" si="9"/>
        <v>0</v>
      </c>
      <c r="M169" s="257"/>
      <c r="N169" s="258"/>
      <c r="O16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69" s="258"/>
      <c r="Q169" s="259" t="str" cm="1">
        <f t="array" ref="Q169">IF(T[[#This Row],[نوع عملیات]]="فروش", _xlfn.XLOOKUP(T[[#This Row],[کالا]], _xlfn._xlws.FILTER(T[کالا], T[نوع عملیات]="خرید"), _xlfn._xlws.FILTER(T[فروشنده / مشتری], T[نوع عملیات]="خرید")), "")</f>
        <v/>
      </c>
    </row>
    <row r="170" spans="2:17" ht="16.5" hidden="1" customHeight="1" x14ac:dyDescent="0.75">
      <c r="B170" s="228">
        <v>3</v>
      </c>
      <c r="C170" s="148">
        <v>12</v>
      </c>
      <c r="D170" s="148">
        <v>26</v>
      </c>
      <c r="E170" s="148" t="str">
        <f t="shared" si="10"/>
        <v>اسفند</v>
      </c>
      <c r="F170" s="149" t="s">
        <v>168</v>
      </c>
      <c r="G170" s="243" t="s">
        <v>334</v>
      </c>
      <c r="H170" s="247" t="s">
        <v>451</v>
      </c>
      <c r="I170" s="188" t="s">
        <v>451</v>
      </c>
      <c r="J170" s="251">
        <v>1</v>
      </c>
      <c r="K170" s="254">
        <v>0</v>
      </c>
      <c r="L170" s="255">
        <f t="shared" si="9"/>
        <v>0</v>
      </c>
      <c r="M170" s="257"/>
      <c r="N170" s="258"/>
      <c r="O17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0" s="258"/>
      <c r="Q170" s="259" t="str" cm="1">
        <f t="array" ref="Q170">IF(T[[#This Row],[نوع عملیات]]="فروش", _xlfn.XLOOKUP(T[[#This Row],[کالا]], _xlfn._xlws.FILTER(T[کالا], T[نوع عملیات]="خرید"), _xlfn._xlws.FILTER(T[فروشنده / مشتری], T[نوع عملیات]="خرید")), "")</f>
        <v/>
      </c>
    </row>
    <row r="171" spans="2:17" ht="16.5" hidden="1" x14ac:dyDescent="0.75">
      <c r="B171" s="228">
        <v>3</v>
      </c>
      <c r="C171" s="148">
        <v>12</v>
      </c>
      <c r="D171" s="148">
        <v>26</v>
      </c>
      <c r="E171" s="148" t="str">
        <f t="shared" si="10"/>
        <v>اسفند</v>
      </c>
      <c r="F171" s="149" t="s">
        <v>168</v>
      </c>
      <c r="G171" s="243" t="s">
        <v>260</v>
      </c>
      <c r="H171" s="247" t="s">
        <v>451</v>
      </c>
      <c r="I171" s="161" t="s">
        <v>451</v>
      </c>
      <c r="J171" s="251">
        <v>1</v>
      </c>
      <c r="K171" s="254">
        <v>0</v>
      </c>
      <c r="L171" s="255">
        <f t="shared" si="9"/>
        <v>0</v>
      </c>
      <c r="M171" s="257"/>
      <c r="N171" s="258"/>
      <c r="O17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1" s="258"/>
      <c r="Q171" s="259" t="str" cm="1">
        <f t="array" ref="Q171">IF(T[[#This Row],[نوع عملیات]]="فروش", _xlfn.XLOOKUP(T[[#This Row],[کالا]], _xlfn._xlws.FILTER(T[کالا], T[نوع عملیات]="خرید"), _xlfn._xlws.FILTER(T[فروشنده / مشتری], T[نوع عملیات]="خرید")), "")</f>
        <v/>
      </c>
    </row>
    <row r="172" spans="2:17" ht="16.5" hidden="1" x14ac:dyDescent="0.75">
      <c r="B172" s="228">
        <v>3</v>
      </c>
      <c r="C172" s="148">
        <v>12</v>
      </c>
      <c r="D172" s="148">
        <v>26</v>
      </c>
      <c r="E172" s="148" t="str">
        <f t="shared" si="10"/>
        <v>اسفند</v>
      </c>
      <c r="F172" s="149" t="s">
        <v>168</v>
      </c>
      <c r="G172" s="243" t="s">
        <v>261</v>
      </c>
      <c r="H172" s="247" t="s">
        <v>451</v>
      </c>
      <c r="I172" s="161" t="s">
        <v>451</v>
      </c>
      <c r="J172" s="251">
        <v>1</v>
      </c>
      <c r="K172" s="254">
        <v>0</v>
      </c>
      <c r="L172" s="255">
        <f t="shared" si="9"/>
        <v>0</v>
      </c>
      <c r="M172" s="257"/>
      <c r="N172" s="258"/>
      <c r="O17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2" s="258"/>
      <c r="Q172" s="259" t="str" cm="1">
        <f t="array" ref="Q172">IF(T[[#This Row],[نوع عملیات]]="فروش", _xlfn.XLOOKUP(T[[#This Row],[کالا]], _xlfn._xlws.FILTER(T[کالا], T[نوع عملیات]="خرید"), _xlfn._xlws.FILTER(T[فروشنده / مشتری], T[نوع عملیات]="خرید")), "")</f>
        <v/>
      </c>
    </row>
    <row r="173" spans="2:17" ht="16.5" hidden="1" x14ac:dyDescent="0.75">
      <c r="B173" s="228">
        <v>3</v>
      </c>
      <c r="C173" s="148">
        <v>12</v>
      </c>
      <c r="D173" s="148">
        <v>26</v>
      </c>
      <c r="E173" s="148" t="str">
        <f t="shared" si="10"/>
        <v>اسفند</v>
      </c>
      <c r="F173" s="149" t="s">
        <v>168</v>
      </c>
      <c r="G173" s="243" t="s">
        <v>262</v>
      </c>
      <c r="H173" s="247" t="s">
        <v>451</v>
      </c>
      <c r="I173" s="161" t="s">
        <v>451</v>
      </c>
      <c r="J173" s="251">
        <v>1</v>
      </c>
      <c r="K173" s="254">
        <v>0</v>
      </c>
      <c r="L173" s="255">
        <f t="shared" si="9"/>
        <v>0</v>
      </c>
      <c r="M173" s="257"/>
      <c r="N173" s="258"/>
      <c r="O17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3" s="258"/>
      <c r="Q173" s="259" t="str" cm="1">
        <f t="array" ref="Q173">IF(T[[#This Row],[نوع عملیات]]="فروش", _xlfn.XLOOKUP(T[[#This Row],[کالا]], _xlfn._xlws.FILTER(T[کالا], T[نوع عملیات]="خرید"), _xlfn._xlws.FILTER(T[فروشنده / مشتری], T[نوع عملیات]="خرید")), "")</f>
        <v/>
      </c>
    </row>
    <row r="174" spans="2:17" ht="16.5" hidden="1" x14ac:dyDescent="0.75">
      <c r="B174" s="227">
        <v>3</v>
      </c>
      <c r="C174" s="150">
        <v>12</v>
      </c>
      <c r="D174" s="150">
        <v>26</v>
      </c>
      <c r="E174" s="150" t="str">
        <f t="shared" si="10"/>
        <v>اسفند</v>
      </c>
      <c r="F174" s="151" t="s">
        <v>168</v>
      </c>
      <c r="G174" s="243" t="s">
        <v>272</v>
      </c>
      <c r="H174" s="247" t="s">
        <v>451</v>
      </c>
      <c r="I174" s="161" t="s">
        <v>451</v>
      </c>
      <c r="J174" s="251">
        <v>1</v>
      </c>
      <c r="K174" s="254">
        <v>0</v>
      </c>
      <c r="L174" s="255">
        <f t="shared" si="9"/>
        <v>0</v>
      </c>
      <c r="M174" s="257"/>
      <c r="N174" s="258"/>
      <c r="O17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4" s="258"/>
      <c r="Q174" s="259" t="str" cm="1">
        <f t="array" ref="Q174">IF(T[[#This Row],[نوع عملیات]]="فروش", _xlfn.XLOOKUP(T[[#This Row],[کالا]], _xlfn._xlws.FILTER(T[کالا], T[نوع عملیات]="خرید"), _xlfn._xlws.FILTER(T[فروشنده / مشتری], T[نوع عملیات]="خرید")), "")</f>
        <v/>
      </c>
    </row>
    <row r="175" spans="2:17" ht="16.5" hidden="1" x14ac:dyDescent="0.75">
      <c r="B175" s="227">
        <v>3</v>
      </c>
      <c r="C175" s="150">
        <v>12</v>
      </c>
      <c r="D175" s="150">
        <v>26</v>
      </c>
      <c r="E175" s="150" t="str">
        <f t="shared" si="10"/>
        <v>اسفند</v>
      </c>
      <c r="F175" s="151" t="s">
        <v>168</v>
      </c>
      <c r="G175" s="244" t="s">
        <v>345</v>
      </c>
      <c r="H175" s="247" t="s">
        <v>451</v>
      </c>
      <c r="I175" s="161" t="s">
        <v>451</v>
      </c>
      <c r="J175" s="251">
        <v>1</v>
      </c>
      <c r="K175" s="254">
        <v>0</v>
      </c>
      <c r="L175" s="255">
        <f t="shared" ref="L175:L182" si="11">J175*K175</f>
        <v>0</v>
      </c>
      <c r="M175" s="257"/>
      <c r="N175" s="258"/>
      <c r="O17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5" s="258"/>
      <c r="Q175" s="259" t="str" cm="1">
        <f t="array" ref="Q175">IF(T[[#This Row],[نوع عملیات]]="فروش", _xlfn.XLOOKUP(T[[#This Row],[کالا]], _xlfn._xlws.FILTER(T[کالا], T[نوع عملیات]="خرید"), _xlfn._xlws.FILTER(T[فروشنده / مشتری], T[نوع عملیات]="خرید")), "")</f>
        <v/>
      </c>
    </row>
    <row r="176" spans="2:17" ht="16.5" hidden="1" x14ac:dyDescent="0.75">
      <c r="B176" s="228">
        <v>3</v>
      </c>
      <c r="C176" s="148">
        <v>12</v>
      </c>
      <c r="D176" s="148">
        <v>26</v>
      </c>
      <c r="E176" s="148" t="str">
        <f t="shared" si="10"/>
        <v>اسفند</v>
      </c>
      <c r="F176" s="149" t="s">
        <v>168</v>
      </c>
      <c r="G176" s="243" t="s">
        <v>257</v>
      </c>
      <c r="H176" s="247" t="s">
        <v>451</v>
      </c>
      <c r="I176" s="161" t="s">
        <v>451</v>
      </c>
      <c r="J176" s="251">
        <v>1</v>
      </c>
      <c r="K176" s="254">
        <v>0</v>
      </c>
      <c r="L176" s="255">
        <f t="shared" si="11"/>
        <v>0</v>
      </c>
      <c r="M176" s="257"/>
      <c r="N176" s="258"/>
      <c r="O17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6" s="258"/>
      <c r="Q176" s="259" t="str" cm="1">
        <f t="array" ref="Q176">IF(T[[#This Row],[نوع عملیات]]="فروش", _xlfn.XLOOKUP(T[[#This Row],[کالا]], _xlfn._xlws.FILTER(T[کالا], T[نوع عملیات]="خرید"), _xlfn._xlws.FILTER(T[فروشنده / مشتری], T[نوع عملیات]="خرید")), "")</f>
        <v/>
      </c>
    </row>
    <row r="177" spans="2:17" ht="16.5" hidden="1" x14ac:dyDescent="0.75">
      <c r="B177" s="227">
        <v>3</v>
      </c>
      <c r="C177" s="150">
        <v>12</v>
      </c>
      <c r="D177" s="150">
        <v>26</v>
      </c>
      <c r="E177" s="150" t="str">
        <f t="shared" si="10"/>
        <v>اسفند</v>
      </c>
      <c r="F177" s="151" t="s">
        <v>168</v>
      </c>
      <c r="G177" s="244" t="s">
        <v>421</v>
      </c>
      <c r="H177" s="247" t="s">
        <v>451</v>
      </c>
      <c r="I177" s="161" t="s">
        <v>451</v>
      </c>
      <c r="J177" s="251">
        <v>1</v>
      </c>
      <c r="K177" s="254">
        <v>0</v>
      </c>
      <c r="L177" s="255">
        <f t="shared" si="11"/>
        <v>0</v>
      </c>
      <c r="M177" s="257"/>
      <c r="N177" s="258"/>
      <c r="O17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7" s="258"/>
      <c r="Q177" s="259" t="str" cm="1">
        <f t="array" ref="Q177">IF(T[[#This Row],[نوع عملیات]]="فروش", _xlfn.XLOOKUP(T[[#This Row],[کالا]], _xlfn._xlws.FILTER(T[کالا], T[نوع عملیات]="خرید"), _xlfn._xlws.FILTER(T[فروشنده / مشتری], T[نوع عملیات]="خرید")), "")</f>
        <v/>
      </c>
    </row>
    <row r="178" spans="2:17" ht="16.5" hidden="1" x14ac:dyDescent="0.75">
      <c r="B178" s="227">
        <v>3</v>
      </c>
      <c r="C178" s="150">
        <v>12</v>
      </c>
      <c r="D178" s="150">
        <v>26</v>
      </c>
      <c r="E178" s="150" t="str">
        <f t="shared" si="10"/>
        <v>اسفند</v>
      </c>
      <c r="F178" s="151" t="s">
        <v>168</v>
      </c>
      <c r="G178" s="244" t="s">
        <v>425</v>
      </c>
      <c r="H178" s="247" t="s">
        <v>451</v>
      </c>
      <c r="I178" s="161" t="s">
        <v>451</v>
      </c>
      <c r="J178" s="251">
        <v>1</v>
      </c>
      <c r="K178" s="254">
        <v>0</v>
      </c>
      <c r="L178" s="255">
        <f t="shared" si="11"/>
        <v>0</v>
      </c>
      <c r="M178" s="257"/>
      <c r="N178" s="258"/>
      <c r="O17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8" s="258"/>
      <c r="Q178" s="259" t="str" cm="1">
        <f t="array" ref="Q178">IF(T[[#This Row],[نوع عملیات]]="فروش", _xlfn.XLOOKUP(T[[#This Row],[کالا]], _xlfn._xlws.FILTER(T[کالا], T[نوع عملیات]="خرید"), _xlfn._xlws.FILTER(T[فروشنده / مشتری], T[نوع عملیات]="خرید")), "")</f>
        <v/>
      </c>
    </row>
    <row r="179" spans="2:17" ht="16.5" hidden="1" x14ac:dyDescent="0.75">
      <c r="B179" s="228">
        <v>3</v>
      </c>
      <c r="C179" s="148">
        <v>12</v>
      </c>
      <c r="D179" s="148">
        <v>26</v>
      </c>
      <c r="E179" s="148" t="str">
        <f t="shared" si="10"/>
        <v>اسفند</v>
      </c>
      <c r="F179" s="149" t="s">
        <v>168</v>
      </c>
      <c r="G179" s="246" t="s">
        <v>398</v>
      </c>
      <c r="H179" s="247" t="s">
        <v>392</v>
      </c>
      <c r="I179" s="162" t="s">
        <v>491</v>
      </c>
      <c r="J179" s="251">
        <v>1</v>
      </c>
      <c r="K179" s="254">
        <v>150000</v>
      </c>
      <c r="L179" s="255">
        <f t="shared" si="11"/>
        <v>150000</v>
      </c>
      <c r="M179" s="257"/>
      <c r="N179" s="258" t="s">
        <v>346</v>
      </c>
      <c r="O17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79" s="258"/>
      <c r="Q179" s="259" t="str" cm="1">
        <f t="array" ref="Q179">IF(T[[#This Row],[نوع عملیات]]="فروش", _xlfn.XLOOKUP(T[[#This Row],[کالا]], _xlfn._xlws.FILTER(T[کالا], T[نوع عملیات]="خرید"), _xlfn._xlws.FILTER(T[فروشنده / مشتری], T[نوع عملیات]="خرید")), "")</f>
        <v/>
      </c>
    </row>
    <row r="180" spans="2:17" ht="16.5" hidden="1" x14ac:dyDescent="0.75">
      <c r="B180" s="228">
        <v>3</v>
      </c>
      <c r="C180" s="148">
        <v>12</v>
      </c>
      <c r="D180" s="148">
        <v>26</v>
      </c>
      <c r="E180" s="148" t="str">
        <f t="shared" si="10"/>
        <v>اسفند</v>
      </c>
      <c r="F180" s="149" t="s">
        <v>168</v>
      </c>
      <c r="G180" s="243" t="s">
        <v>253</v>
      </c>
      <c r="H180" s="247" t="s">
        <v>392</v>
      </c>
      <c r="I180" s="162" t="s">
        <v>491</v>
      </c>
      <c r="J180" s="251">
        <v>2</v>
      </c>
      <c r="K180" s="254">
        <v>350000</v>
      </c>
      <c r="L180" s="255">
        <f t="shared" si="11"/>
        <v>700000</v>
      </c>
      <c r="M180" s="257"/>
      <c r="N180" s="258" t="s">
        <v>346</v>
      </c>
      <c r="O18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0" s="258"/>
      <c r="Q180" s="259" t="str" cm="1">
        <f t="array" ref="Q180">IF(T[[#This Row],[نوع عملیات]]="فروش", _xlfn.XLOOKUP(T[[#This Row],[کالا]], _xlfn._xlws.FILTER(T[کالا], T[نوع عملیات]="خرید"), _xlfn._xlws.FILTER(T[فروشنده / مشتری], T[نوع عملیات]="خرید")), "")</f>
        <v/>
      </c>
    </row>
    <row r="181" spans="2:17" ht="16.5" hidden="1" x14ac:dyDescent="0.75">
      <c r="B181" s="228">
        <v>3</v>
      </c>
      <c r="C181" s="148">
        <v>12</v>
      </c>
      <c r="D181" s="148">
        <v>26</v>
      </c>
      <c r="E181" s="148" t="str">
        <f t="shared" si="10"/>
        <v>اسفند</v>
      </c>
      <c r="F181" s="149" t="s">
        <v>168</v>
      </c>
      <c r="G181" s="243" t="s">
        <v>255</v>
      </c>
      <c r="H181" s="247" t="s">
        <v>392</v>
      </c>
      <c r="I181" s="162" t="s">
        <v>491</v>
      </c>
      <c r="J181" s="251">
        <v>5</v>
      </c>
      <c r="K181" s="254">
        <v>450000</v>
      </c>
      <c r="L181" s="255">
        <f t="shared" si="11"/>
        <v>2250000</v>
      </c>
      <c r="M181" s="257"/>
      <c r="N181" s="258" t="s">
        <v>346</v>
      </c>
      <c r="O18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1" s="258"/>
      <c r="Q181" s="259" t="str" cm="1">
        <f t="array" ref="Q181">IF(T[[#This Row],[نوع عملیات]]="فروش", _xlfn.XLOOKUP(T[[#This Row],[کالا]], _xlfn._xlws.FILTER(T[کالا], T[نوع عملیات]="خرید"), _xlfn._xlws.FILTER(T[فروشنده / مشتری], T[نوع عملیات]="خرید")), "")</f>
        <v/>
      </c>
    </row>
    <row r="182" spans="2:17" ht="16.5" hidden="1" x14ac:dyDescent="0.75">
      <c r="B182" s="228">
        <v>3</v>
      </c>
      <c r="C182" s="148">
        <v>12</v>
      </c>
      <c r="D182" s="148">
        <v>26</v>
      </c>
      <c r="E182" s="148" t="str">
        <f t="shared" si="10"/>
        <v>اسفند</v>
      </c>
      <c r="F182" s="149" t="s">
        <v>168</v>
      </c>
      <c r="G182" s="243" t="s">
        <v>256</v>
      </c>
      <c r="H182" s="247" t="s">
        <v>392</v>
      </c>
      <c r="I182" s="162" t="s">
        <v>491</v>
      </c>
      <c r="J182" s="251">
        <v>8</v>
      </c>
      <c r="K182" s="254">
        <v>147000</v>
      </c>
      <c r="L182" s="255">
        <f t="shared" si="11"/>
        <v>1176000</v>
      </c>
      <c r="M182" s="257"/>
      <c r="N182" s="258" t="s">
        <v>346</v>
      </c>
      <c r="O18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2" s="258" t="s">
        <v>193</v>
      </c>
      <c r="Q182" s="259" t="str" cm="1">
        <f t="array" ref="Q182">IF(T[[#This Row],[نوع عملیات]]="فروش", _xlfn.XLOOKUP(T[[#This Row],[کالا]], _xlfn._xlws.FILTER(T[کالا], T[نوع عملیات]="خرید"), _xlfn._xlws.FILTER(T[فروشنده / مشتری], T[نوع عملیات]="خرید")), "")</f>
        <v/>
      </c>
    </row>
    <row r="183" spans="2:17" ht="16.5" hidden="1" x14ac:dyDescent="0.75">
      <c r="B183" s="228"/>
      <c r="C183" s="148"/>
      <c r="D183" s="148"/>
      <c r="E183" s="148"/>
      <c r="F183" s="149"/>
      <c r="G183" s="243"/>
      <c r="H183" s="247"/>
      <c r="I183" s="161"/>
      <c r="J183" s="251"/>
      <c r="K183" s="254"/>
      <c r="L183" s="255"/>
      <c r="M183" s="257"/>
      <c r="N183" s="258"/>
      <c r="O18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3" s="258"/>
      <c r="Q183" s="259" t="str" cm="1">
        <f t="array" ref="Q183">IF(T[[#This Row],[نوع عملیات]]="فروش", _xlfn.XLOOKUP(T[[#This Row],[کالا]], _xlfn._xlws.FILTER(T[کالا], T[نوع عملیات]="خرید"), _xlfn._xlws.FILTER(T[فروشنده / مشتری], T[نوع عملیات]="خرید")), "")</f>
        <v/>
      </c>
    </row>
    <row r="184" spans="2:17" ht="16.5" hidden="1" x14ac:dyDescent="0.75">
      <c r="B184" s="228">
        <v>3</v>
      </c>
      <c r="C184" s="148">
        <v>12</v>
      </c>
      <c r="D184" s="148">
        <v>26</v>
      </c>
      <c r="E184" s="148" t="str">
        <f t="shared" ref="E184:E215" si="12">CHOOSE(C184, "فروردین", "اردیبهشت", "خرداد", "تیر", "مرداد", "شهریور", "مهر", "آبان", "آذر", "دی", "بهمن", "اسفند")</f>
        <v>اسفند</v>
      </c>
      <c r="F184" s="149" t="s">
        <v>168</v>
      </c>
      <c r="G184" s="243" t="s">
        <v>259</v>
      </c>
      <c r="H184" s="247" t="s">
        <v>439</v>
      </c>
      <c r="I184" s="162" t="s">
        <v>497</v>
      </c>
      <c r="J184" s="251">
        <v>1</v>
      </c>
      <c r="K184" s="254">
        <v>0</v>
      </c>
      <c r="L184" s="255">
        <f t="shared" ref="L184:L215" si="13">J184*K184</f>
        <v>0</v>
      </c>
      <c r="M184" s="257"/>
      <c r="N184" s="258"/>
      <c r="O18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4" s="258"/>
      <c r="Q184" s="259" t="str" cm="1">
        <f t="array" ref="Q184">IF(T[[#This Row],[نوع عملیات]]="فروش", _xlfn.XLOOKUP(T[[#This Row],[کالا]], _xlfn._xlws.FILTER(T[کالا], T[نوع عملیات]="خرید"), _xlfn._xlws.FILTER(T[فروشنده / مشتری], T[نوع عملیات]="خرید")), "")</f>
        <v/>
      </c>
    </row>
    <row r="185" spans="2:17" ht="16.5" hidden="1" x14ac:dyDescent="0.75">
      <c r="B185" s="228">
        <v>3</v>
      </c>
      <c r="C185" s="148">
        <v>12</v>
      </c>
      <c r="D185" s="148">
        <v>26</v>
      </c>
      <c r="E185" s="148" t="str">
        <f t="shared" si="12"/>
        <v>اسفند</v>
      </c>
      <c r="F185" s="149" t="s">
        <v>168</v>
      </c>
      <c r="G185" s="243" t="s">
        <v>138</v>
      </c>
      <c r="H185" s="247" t="s">
        <v>392</v>
      </c>
      <c r="I185" s="162" t="s">
        <v>491</v>
      </c>
      <c r="J185" s="251">
        <v>2</v>
      </c>
      <c r="K185" s="254">
        <v>390000</v>
      </c>
      <c r="L185" s="255">
        <f t="shared" si="13"/>
        <v>780000</v>
      </c>
      <c r="M185" s="257"/>
      <c r="N185" s="258" t="s">
        <v>346</v>
      </c>
      <c r="O18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5" s="258"/>
      <c r="Q185" s="259" t="str" cm="1">
        <f t="array" ref="Q185">IF(T[[#This Row],[نوع عملیات]]="فروش", _xlfn.XLOOKUP(T[[#This Row],[کالا]], _xlfn._xlws.FILTER(T[کالا], T[نوع عملیات]="خرید"), _xlfn._xlws.FILTER(T[فروشنده / مشتری], T[نوع عملیات]="خرید")), "")</f>
        <v/>
      </c>
    </row>
    <row r="186" spans="2:17" ht="16.5" hidden="1" x14ac:dyDescent="0.75">
      <c r="B186" s="228">
        <v>3</v>
      </c>
      <c r="C186" s="148">
        <v>12</v>
      </c>
      <c r="D186" s="148">
        <v>26</v>
      </c>
      <c r="E186" s="148" t="str">
        <f t="shared" si="12"/>
        <v>اسفند</v>
      </c>
      <c r="F186" s="149" t="s">
        <v>168</v>
      </c>
      <c r="G186" s="243" t="s">
        <v>134</v>
      </c>
      <c r="H186" s="247" t="s">
        <v>392</v>
      </c>
      <c r="I186" s="162" t="s">
        <v>491</v>
      </c>
      <c r="J186" s="251">
        <v>3</v>
      </c>
      <c r="K186" s="254">
        <v>740000</v>
      </c>
      <c r="L186" s="255">
        <f t="shared" si="13"/>
        <v>2220000</v>
      </c>
      <c r="M186" s="257"/>
      <c r="N186" s="258" t="s">
        <v>346</v>
      </c>
      <c r="O18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6" s="258"/>
      <c r="Q186" s="259" t="str" cm="1">
        <f t="array" ref="Q186">IF(T[[#This Row],[نوع عملیات]]="فروش", _xlfn.XLOOKUP(T[[#This Row],[کالا]], _xlfn._xlws.FILTER(T[کالا], T[نوع عملیات]="خرید"), _xlfn._xlws.FILTER(T[فروشنده / مشتری], T[نوع عملیات]="خرید")), "")</f>
        <v/>
      </c>
    </row>
    <row r="187" spans="2:17" ht="16.5" hidden="1" customHeight="1" x14ac:dyDescent="0.75">
      <c r="B187" s="228">
        <v>3</v>
      </c>
      <c r="C187" s="148">
        <v>12</v>
      </c>
      <c r="D187" s="148">
        <v>26</v>
      </c>
      <c r="E187" s="148" t="str">
        <f t="shared" si="12"/>
        <v>اسفند</v>
      </c>
      <c r="F187" s="149" t="s">
        <v>168</v>
      </c>
      <c r="G187" s="243" t="s">
        <v>239</v>
      </c>
      <c r="H187" s="247" t="s">
        <v>433</v>
      </c>
      <c r="I187" s="162" t="s">
        <v>496</v>
      </c>
      <c r="J187" s="251">
        <v>1</v>
      </c>
      <c r="K187" s="254">
        <v>400000</v>
      </c>
      <c r="L187" s="255">
        <f t="shared" si="13"/>
        <v>400000</v>
      </c>
      <c r="M187" s="257"/>
      <c r="N187" s="258" t="s">
        <v>216</v>
      </c>
      <c r="O18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7" s="258"/>
      <c r="Q187" s="259" t="str" cm="1">
        <f t="array" ref="Q187">IF(T[[#This Row],[نوع عملیات]]="فروش", _xlfn.XLOOKUP(T[[#This Row],[کالا]], _xlfn._xlws.FILTER(T[کالا], T[نوع عملیات]="خرید"), _xlfn._xlws.FILTER(T[فروشنده / مشتری], T[نوع عملیات]="خرید")), "")</f>
        <v/>
      </c>
    </row>
    <row r="188" spans="2:17" ht="16.5" hidden="1" customHeight="1" x14ac:dyDescent="0.75">
      <c r="B188" s="228">
        <v>3</v>
      </c>
      <c r="C188" s="148">
        <v>12</v>
      </c>
      <c r="D188" s="148">
        <v>26</v>
      </c>
      <c r="E188" s="148" t="str">
        <f t="shared" si="12"/>
        <v>اسفند</v>
      </c>
      <c r="F188" s="149" t="s">
        <v>168</v>
      </c>
      <c r="G188" s="243" t="s">
        <v>246</v>
      </c>
      <c r="H188" s="247" t="s">
        <v>433</v>
      </c>
      <c r="I188" s="162" t="s">
        <v>496</v>
      </c>
      <c r="J188" s="251">
        <v>1</v>
      </c>
      <c r="K188" s="254">
        <v>320000</v>
      </c>
      <c r="L188" s="255">
        <f t="shared" si="13"/>
        <v>320000</v>
      </c>
      <c r="M188" s="257"/>
      <c r="N188" s="258" t="s">
        <v>216</v>
      </c>
      <c r="O18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8" s="258"/>
      <c r="Q188" s="259" t="str" cm="1">
        <f t="array" ref="Q188">IF(T[[#This Row],[نوع عملیات]]="فروش", _xlfn.XLOOKUP(T[[#This Row],[کالا]], _xlfn._xlws.FILTER(T[کالا], T[نوع عملیات]="خرید"), _xlfn._xlws.FILTER(T[فروشنده / مشتری], T[نوع عملیات]="خرید")), "")</f>
        <v/>
      </c>
    </row>
    <row r="189" spans="2:17" ht="16.5" hidden="1" customHeight="1" x14ac:dyDescent="0.75">
      <c r="B189" s="228">
        <v>3</v>
      </c>
      <c r="C189" s="148">
        <v>12</v>
      </c>
      <c r="D189" s="148">
        <v>26</v>
      </c>
      <c r="E189" s="148" t="str">
        <f t="shared" si="12"/>
        <v>اسفند</v>
      </c>
      <c r="F189" s="149" t="s">
        <v>168</v>
      </c>
      <c r="G189" s="243" t="s">
        <v>330</v>
      </c>
      <c r="H189" s="247" t="s">
        <v>433</v>
      </c>
      <c r="I189" s="162" t="s">
        <v>496</v>
      </c>
      <c r="J189" s="251">
        <v>1</v>
      </c>
      <c r="K189" s="254">
        <v>450000</v>
      </c>
      <c r="L189" s="255">
        <f t="shared" si="13"/>
        <v>450000</v>
      </c>
      <c r="M189" s="257"/>
      <c r="N189" s="258" t="s">
        <v>216</v>
      </c>
      <c r="O18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89" s="258"/>
      <c r="Q189" s="259" t="str" cm="1">
        <f t="array" ref="Q189">IF(T[[#This Row],[نوع عملیات]]="فروش", _xlfn.XLOOKUP(T[[#This Row],[کالا]], _xlfn._xlws.FILTER(T[کالا], T[نوع عملیات]="خرید"), _xlfn._xlws.FILTER(T[فروشنده / مشتری], T[نوع عملیات]="خرید")), "")</f>
        <v/>
      </c>
    </row>
    <row r="190" spans="2:17" ht="16.5" hidden="1" x14ac:dyDescent="0.75">
      <c r="B190" s="228">
        <v>3</v>
      </c>
      <c r="C190" s="148">
        <v>12</v>
      </c>
      <c r="D190" s="148">
        <v>26</v>
      </c>
      <c r="E190" s="148" t="str">
        <f t="shared" si="12"/>
        <v>اسفند</v>
      </c>
      <c r="F190" s="149" t="s">
        <v>168</v>
      </c>
      <c r="G190" s="243" t="s">
        <v>252</v>
      </c>
      <c r="H190" s="247" t="s">
        <v>433</v>
      </c>
      <c r="I190" s="162" t="s">
        <v>496</v>
      </c>
      <c r="J190" s="251">
        <v>1</v>
      </c>
      <c r="K190" s="254">
        <v>400000</v>
      </c>
      <c r="L190" s="255">
        <f t="shared" si="13"/>
        <v>400000</v>
      </c>
      <c r="M190" s="257"/>
      <c r="N190" s="258" t="s">
        <v>216</v>
      </c>
      <c r="O19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0" s="258"/>
      <c r="Q190" s="259" t="str" cm="1">
        <f t="array" ref="Q190">IF(T[[#This Row],[نوع عملیات]]="فروش", _xlfn.XLOOKUP(T[[#This Row],[کالا]], _xlfn._xlws.FILTER(T[کالا], T[نوع عملیات]="خرید"), _xlfn._xlws.FILTER(T[فروشنده / مشتری], T[نوع عملیات]="خرید")), "")</f>
        <v/>
      </c>
    </row>
    <row r="191" spans="2:17" ht="16.5" hidden="1" x14ac:dyDescent="0.75">
      <c r="B191" s="228">
        <v>3</v>
      </c>
      <c r="C191" s="148">
        <v>12</v>
      </c>
      <c r="D191" s="148">
        <v>26</v>
      </c>
      <c r="E191" s="148" t="str">
        <f t="shared" si="12"/>
        <v>اسفند</v>
      </c>
      <c r="F191" s="149" t="s">
        <v>168</v>
      </c>
      <c r="G191" s="243" t="s">
        <v>335</v>
      </c>
      <c r="H191" s="247" t="s">
        <v>433</v>
      </c>
      <c r="I191" s="162" t="s">
        <v>496</v>
      </c>
      <c r="J191" s="251">
        <v>2</v>
      </c>
      <c r="K191" s="254">
        <v>450000</v>
      </c>
      <c r="L191" s="255">
        <f t="shared" si="13"/>
        <v>900000</v>
      </c>
      <c r="M191" s="257"/>
      <c r="N191" s="258" t="s">
        <v>216</v>
      </c>
      <c r="O19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1" s="258"/>
      <c r="Q191" s="259" t="str" cm="1">
        <f t="array" ref="Q191">IF(T[[#This Row],[نوع عملیات]]="فروش", _xlfn.XLOOKUP(T[[#This Row],[کالا]], _xlfn._xlws.FILTER(T[کالا], T[نوع عملیات]="خرید"), _xlfn._xlws.FILTER(T[فروشنده / مشتری], T[نوع عملیات]="خرید")), "")</f>
        <v/>
      </c>
    </row>
    <row r="192" spans="2:17" ht="16.5" hidden="1" x14ac:dyDescent="0.75">
      <c r="B192" s="228">
        <v>3</v>
      </c>
      <c r="C192" s="148">
        <v>12</v>
      </c>
      <c r="D192" s="148">
        <v>26</v>
      </c>
      <c r="E192" s="148" t="str">
        <f t="shared" si="12"/>
        <v>اسفند</v>
      </c>
      <c r="F192" s="149" t="s">
        <v>168</v>
      </c>
      <c r="G192" s="243" t="s">
        <v>137</v>
      </c>
      <c r="H192" s="247" t="s">
        <v>433</v>
      </c>
      <c r="I192" s="162" t="s">
        <v>496</v>
      </c>
      <c r="J192" s="251">
        <v>4</v>
      </c>
      <c r="K192" s="254">
        <v>3300000</v>
      </c>
      <c r="L192" s="255">
        <f t="shared" si="13"/>
        <v>13200000</v>
      </c>
      <c r="M192" s="257"/>
      <c r="N192" s="258" t="s">
        <v>216</v>
      </c>
      <c r="O19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2" s="258" t="s">
        <v>193</v>
      </c>
      <c r="Q192" s="259" t="str" cm="1">
        <f t="array" ref="Q192">IF(T[[#This Row],[نوع عملیات]]="فروش", _xlfn.XLOOKUP(T[[#This Row],[کالا]], _xlfn._xlws.FILTER(T[کالا], T[نوع عملیات]="خرید"), _xlfn._xlws.FILTER(T[فروشنده / مشتری], T[نوع عملیات]="خرید")), "")</f>
        <v/>
      </c>
    </row>
    <row r="193" spans="2:17" ht="16.5" hidden="1" x14ac:dyDescent="0.75">
      <c r="B193" s="228">
        <v>3</v>
      </c>
      <c r="C193" s="148">
        <v>12</v>
      </c>
      <c r="D193" s="148">
        <v>26</v>
      </c>
      <c r="E193" s="148" t="str">
        <f t="shared" si="12"/>
        <v>اسفند</v>
      </c>
      <c r="F193" s="149" t="s">
        <v>168</v>
      </c>
      <c r="G193" s="243" t="s">
        <v>340</v>
      </c>
      <c r="H193" s="247" t="s">
        <v>433</v>
      </c>
      <c r="I193" s="162" t="s">
        <v>496</v>
      </c>
      <c r="J193" s="251">
        <v>2</v>
      </c>
      <c r="K193" s="254">
        <v>100000</v>
      </c>
      <c r="L193" s="255">
        <f t="shared" si="13"/>
        <v>200000</v>
      </c>
      <c r="M193" s="257"/>
      <c r="N193" s="258" t="s">
        <v>216</v>
      </c>
      <c r="O19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3" s="258" t="s">
        <v>193</v>
      </c>
      <c r="Q193" s="259" t="str" cm="1">
        <f t="array" ref="Q193">IF(T[[#This Row],[نوع عملیات]]="فروش", _xlfn.XLOOKUP(T[[#This Row],[کالا]], _xlfn._xlws.FILTER(T[کالا], T[نوع عملیات]="خرید"), _xlfn._xlws.FILTER(T[فروشنده / مشتری], T[نوع عملیات]="خرید")), "")</f>
        <v/>
      </c>
    </row>
    <row r="194" spans="2:17" ht="16.5" hidden="1" x14ac:dyDescent="0.75">
      <c r="B194" s="228">
        <v>3</v>
      </c>
      <c r="C194" s="148">
        <v>12</v>
      </c>
      <c r="D194" s="148">
        <v>26</v>
      </c>
      <c r="E194" s="148" t="str">
        <f t="shared" si="12"/>
        <v>اسفند</v>
      </c>
      <c r="F194" s="149" t="s">
        <v>168</v>
      </c>
      <c r="G194" s="243" t="s">
        <v>263</v>
      </c>
      <c r="H194" s="247" t="s">
        <v>433</v>
      </c>
      <c r="I194" s="162" t="s">
        <v>496</v>
      </c>
      <c r="J194" s="251">
        <v>2</v>
      </c>
      <c r="K194" s="254">
        <v>700000</v>
      </c>
      <c r="L194" s="255">
        <f t="shared" si="13"/>
        <v>1400000</v>
      </c>
      <c r="M194" s="257"/>
      <c r="N194" s="258" t="s">
        <v>216</v>
      </c>
      <c r="O19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4" s="258"/>
      <c r="Q194" s="259" t="str" cm="1">
        <f t="array" ref="Q194">IF(T[[#This Row],[نوع عملیات]]="فروش", _xlfn.XLOOKUP(T[[#This Row],[کالا]], _xlfn._xlws.FILTER(T[کالا], T[نوع عملیات]="خرید"), _xlfn._xlws.FILTER(T[فروشنده / مشتری], T[نوع عملیات]="خرید")), "")</f>
        <v/>
      </c>
    </row>
    <row r="195" spans="2:17" ht="16.5" hidden="1" x14ac:dyDescent="0.75">
      <c r="B195" s="228">
        <v>3</v>
      </c>
      <c r="C195" s="148">
        <v>12</v>
      </c>
      <c r="D195" s="148">
        <v>26</v>
      </c>
      <c r="E195" s="148" t="str">
        <f t="shared" si="12"/>
        <v>اسفند</v>
      </c>
      <c r="F195" s="149" t="s">
        <v>168</v>
      </c>
      <c r="G195" s="243" t="s">
        <v>265</v>
      </c>
      <c r="H195" s="247" t="s">
        <v>433</v>
      </c>
      <c r="I195" s="162" t="s">
        <v>496</v>
      </c>
      <c r="J195" s="251">
        <v>3</v>
      </c>
      <c r="K195" s="254">
        <v>200000</v>
      </c>
      <c r="L195" s="255">
        <f t="shared" si="13"/>
        <v>600000</v>
      </c>
      <c r="M195" s="257"/>
      <c r="N195" s="258" t="s">
        <v>216</v>
      </c>
      <c r="O19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5" s="258"/>
      <c r="Q195" s="259" t="str" cm="1">
        <f t="array" ref="Q195">IF(T[[#This Row],[نوع عملیات]]="فروش", _xlfn.XLOOKUP(T[[#This Row],[کالا]], _xlfn._xlws.FILTER(T[کالا], T[نوع عملیات]="خرید"), _xlfn._xlws.FILTER(T[فروشنده / مشتری], T[نوع عملیات]="خرید")), "")</f>
        <v/>
      </c>
    </row>
    <row r="196" spans="2:17" ht="16.5" hidden="1" x14ac:dyDescent="0.75">
      <c r="B196" s="228">
        <v>3</v>
      </c>
      <c r="C196" s="148">
        <v>12</v>
      </c>
      <c r="D196" s="148">
        <v>26</v>
      </c>
      <c r="E196" s="148" t="str">
        <f t="shared" si="12"/>
        <v>اسفند</v>
      </c>
      <c r="F196" s="149" t="s">
        <v>168</v>
      </c>
      <c r="G196" s="243" t="s">
        <v>264</v>
      </c>
      <c r="H196" s="247" t="s">
        <v>452</v>
      </c>
      <c r="I196" s="161" t="s">
        <v>452</v>
      </c>
      <c r="J196" s="251">
        <v>1</v>
      </c>
      <c r="K196" s="254">
        <v>450000</v>
      </c>
      <c r="L196" s="255">
        <f t="shared" si="13"/>
        <v>450000</v>
      </c>
      <c r="M196" s="257">
        <v>450000</v>
      </c>
      <c r="N196" s="258" t="s">
        <v>346</v>
      </c>
      <c r="O19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6" s="258"/>
      <c r="Q196" s="259" t="str" cm="1">
        <f t="array" ref="Q196">IF(T[[#This Row],[نوع عملیات]]="فروش", _xlfn.XLOOKUP(T[[#This Row],[کالا]], _xlfn._xlws.FILTER(T[کالا], T[نوع عملیات]="خرید"), _xlfn._xlws.FILTER(T[فروشنده / مشتری], T[نوع عملیات]="خرید")), "")</f>
        <v/>
      </c>
    </row>
    <row r="197" spans="2:17" ht="16.5" hidden="1" customHeight="1" x14ac:dyDescent="0.75">
      <c r="B197" s="228">
        <v>3</v>
      </c>
      <c r="C197" s="148">
        <v>12</v>
      </c>
      <c r="D197" s="148">
        <v>26</v>
      </c>
      <c r="E197" s="148" t="str">
        <f t="shared" si="12"/>
        <v>اسفند</v>
      </c>
      <c r="F197" s="149" t="s">
        <v>168</v>
      </c>
      <c r="G197" s="243" t="s">
        <v>347</v>
      </c>
      <c r="H197" s="247" t="s">
        <v>450</v>
      </c>
      <c r="I197" s="162" t="s">
        <v>494</v>
      </c>
      <c r="J197" s="251">
        <v>8</v>
      </c>
      <c r="K197" s="254">
        <v>850000</v>
      </c>
      <c r="L197" s="255">
        <f t="shared" si="13"/>
        <v>6800000</v>
      </c>
      <c r="M197" s="257"/>
      <c r="N197" s="258"/>
      <c r="O19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7" s="258"/>
      <c r="Q197" s="259" t="str" cm="1">
        <f t="array" ref="Q197">IF(T[[#This Row],[نوع عملیات]]="فروش", _xlfn.XLOOKUP(T[[#This Row],[کالا]], _xlfn._xlws.FILTER(T[کالا], T[نوع عملیات]="خرید"), _xlfn._xlws.FILTER(T[فروشنده / مشتری], T[نوع عملیات]="خرید")), "")</f>
        <v/>
      </c>
    </row>
    <row r="198" spans="2:17" ht="16.5" hidden="1" customHeight="1" x14ac:dyDescent="0.75">
      <c r="B198" s="228">
        <v>3</v>
      </c>
      <c r="C198" s="148">
        <v>12</v>
      </c>
      <c r="D198" s="148">
        <v>26</v>
      </c>
      <c r="E198" s="148" t="str">
        <f t="shared" si="12"/>
        <v>اسفند</v>
      </c>
      <c r="F198" s="149" t="s">
        <v>168</v>
      </c>
      <c r="G198" s="243" t="s">
        <v>245</v>
      </c>
      <c r="H198" s="247" t="s">
        <v>450</v>
      </c>
      <c r="I198" s="162" t="s">
        <v>494</v>
      </c>
      <c r="J198" s="251">
        <v>2</v>
      </c>
      <c r="K198" s="254">
        <v>640000</v>
      </c>
      <c r="L198" s="255">
        <f t="shared" si="13"/>
        <v>1280000</v>
      </c>
      <c r="M198" s="257"/>
      <c r="N198" s="258"/>
      <c r="O19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8" s="258"/>
      <c r="Q198" s="259" t="str" cm="1">
        <f t="array" ref="Q198">IF(T[[#This Row],[نوع عملیات]]="فروش", _xlfn.XLOOKUP(T[[#This Row],[کالا]], _xlfn._xlws.FILTER(T[کالا], T[نوع عملیات]="خرید"), _xlfn._xlws.FILTER(T[فروشنده / مشتری], T[نوع عملیات]="خرید")), "")</f>
        <v/>
      </c>
    </row>
    <row r="199" spans="2:17" ht="16.5" hidden="1" x14ac:dyDescent="0.75">
      <c r="B199" s="228">
        <v>3</v>
      </c>
      <c r="C199" s="148">
        <v>12</v>
      </c>
      <c r="D199" s="148">
        <v>26</v>
      </c>
      <c r="E199" s="148" t="str">
        <f t="shared" si="12"/>
        <v>اسفند</v>
      </c>
      <c r="F199" s="149" t="s">
        <v>168</v>
      </c>
      <c r="G199" s="243" t="s">
        <v>248</v>
      </c>
      <c r="H199" s="247" t="s">
        <v>450</v>
      </c>
      <c r="I199" s="162" t="s">
        <v>494</v>
      </c>
      <c r="J199" s="251">
        <v>2</v>
      </c>
      <c r="K199" s="254">
        <v>200000</v>
      </c>
      <c r="L199" s="255">
        <f t="shared" si="13"/>
        <v>400000</v>
      </c>
      <c r="M199" s="257"/>
      <c r="N199" s="258"/>
      <c r="O19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99" s="258"/>
      <c r="Q199" s="259" t="str" cm="1">
        <f t="array" ref="Q199">IF(T[[#This Row],[نوع عملیات]]="فروش", _xlfn.XLOOKUP(T[[#This Row],[کالا]], _xlfn._xlws.FILTER(T[کالا], T[نوع عملیات]="خرید"), _xlfn._xlws.FILTER(T[فروشنده / مشتری], T[نوع عملیات]="خرید")), "")</f>
        <v/>
      </c>
    </row>
    <row r="200" spans="2:17" ht="16.5" hidden="1" x14ac:dyDescent="0.75">
      <c r="B200" s="228">
        <v>3</v>
      </c>
      <c r="C200" s="148">
        <v>12</v>
      </c>
      <c r="D200" s="148">
        <v>26</v>
      </c>
      <c r="E200" s="148" t="str">
        <f t="shared" si="12"/>
        <v>اسفند</v>
      </c>
      <c r="F200" s="149" t="s">
        <v>168</v>
      </c>
      <c r="G200" s="243" t="s">
        <v>333</v>
      </c>
      <c r="H200" s="247" t="s">
        <v>450</v>
      </c>
      <c r="I200" s="162" t="s">
        <v>494</v>
      </c>
      <c r="J200" s="251">
        <v>8</v>
      </c>
      <c r="K200" s="254">
        <v>190000</v>
      </c>
      <c r="L200" s="255">
        <f t="shared" si="13"/>
        <v>1520000</v>
      </c>
      <c r="M200" s="257"/>
      <c r="N200" s="258"/>
      <c r="O20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0" s="258"/>
      <c r="Q200" s="259" t="str" cm="1">
        <f t="array" ref="Q200">IF(T[[#This Row],[نوع عملیات]]="فروش", _xlfn.XLOOKUP(T[[#This Row],[کالا]], _xlfn._xlws.FILTER(T[کالا], T[نوع عملیات]="خرید"), _xlfn._xlws.FILTER(T[فروشنده / مشتری], T[نوع عملیات]="خرید")), "")</f>
        <v/>
      </c>
    </row>
    <row r="201" spans="2:17" ht="16.5" hidden="1" x14ac:dyDescent="0.75">
      <c r="B201" s="228">
        <v>3</v>
      </c>
      <c r="C201" s="148">
        <v>12</v>
      </c>
      <c r="D201" s="148">
        <v>26</v>
      </c>
      <c r="E201" s="148" t="str">
        <f t="shared" si="12"/>
        <v>اسفند</v>
      </c>
      <c r="F201" s="149" t="s">
        <v>168</v>
      </c>
      <c r="G201" s="243" t="s">
        <v>336</v>
      </c>
      <c r="H201" s="247" t="s">
        <v>450</v>
      </c>
      <c r="I201" s="162" t="s">
        <v>494</v>
      </c>
      <c r="J201" s="251">
        <v>1</v>
      </c>
      <c r="K201" s="254">
        <v>1500000</v>
      </c>
      <c r="L201" s="255">
        <f t="shared" si="13"/>
        <v>1500000</v>
      </c>
      <c r="M201" s="257"/>
      <c r="N201" s="258"/>
      <c r="O20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1" s="258"/>
      <c r="Q201" s="259" t="str" cm="1">
        <f t="array" ref="Q201">IF(T[[#This Row],[نوع عملیات]]="فروش", _xlfn.XLOOKUP(T[[#This Row],[کالا]], _xlfn._xlws.FILTER(T[کالا], T[نوع عملیات]="خرید"), _xlfn._xlws.FILTER(T[فروشنده / مشتری], T[نوع عملیات]="خرید")), "")</f>
        <v/>
      </c>
    </row>
    <row r="202" spans="2:17" ht="16.5" hidden="1" x14ac:dyDescent="0.75">
      <c r="B202" s="228">
        <v>3</v>
      </c>
      <c r="C202" s="148">
        <v>12</v>
      </c>
      <c r="D202" s="148">
        <v>26</v>
      </c>
      <c r="E202" s="148" t="str">
        <f t="shared" si="12"/>
        <v>اسفند</v>
      </c>
      <c r="F202" s="149" t="s">
        <v>168</v>
      </c>
      <c r="G202" s="243" t="s">
        <v>337</v>
      </c>
      <c r="H202" s="247" t="s">
        <v>450</v>
      </c>
      <c r="I202" s="162" t="s">
        <v>494</v>
      </c>
      <c r="J202" s="251">
        <v>3</v>
      </c>
      <c r="K202" s="254">
        <v>1700000</v>
      </c>
      <c r="L202" s="255">
        <f t="shared" si="13"/>
        <v>5100000</v>
      </c>
      <c r="M202" s="257"/>
      <c r="N202" s="258"/>
      <c r="O20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2" s="258"/>
      <c r="Q202" s="259" t="str" cm="1">
        <f t="array" ref="Q202">IF(T[[#This Row],[نوع عملیات]]="فروش", _xlfn.XLOOKUP(T[[#This Row],[کالا]], _xlfn._xlws.FILTER(T[کالا], T[نوع عملیات]="خرید"), _xlfn._xlws.FILTER(T[فروشنده / مشتری], T[نوع عملیات]="خرید")), "")</f>
        <v/>
      </c>
    </row>
    <row r="203" spans="2:17" ht="16.5" hidden="1" x14ac:dyDescent="0.75">
      <c r="B203" s="228">
        <v>3</v>
      </c>
      <c r="C203" s="148">
        <v>12</v>
      </c>
      <c r="D203" s="148">
        <v>26</v>
      </c>
      <c r="E203" s="150" t="str">
        <f t="shared" si="12"/>
        <v>اسفند</v>
      </c>
      <c r="F203" s="151" t="s">
        <v>168</v>
      </c>
      <c r="G203" s="243" t="s">
        <v>254</v>
      </c>
      <c r="H203" s="247" t="s">
        <v>450</v>
      </c>
      <c r="I203" s="162" t="s">
        <v>494</v>
      </c>
      <c r="J203" s="251">
        <v>1</v>
      </c>
      <c r="K203" s="254">
        <v>1100000</v>
      </c>
      <c r="L203" s="255">
        <f t="shared" si="13"/>
        <v>1100000</v>
      </c>
      <c r="M203" s="257"/>
      <c r="N203" s="258"/>
      <c r="O20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3" s="258"/>
      <c r="Q203" s="259" t="str" cm="1">
        <f t="array" ref="Q203">IF(T[[#This Row],[نوع عملیات]]="فروش", _xlfn.XLOOKUP(T[[#This Row],[کالا]], _xlfn._xlws.FILTER(T[کالا], T[نوع عملیات]="خرید"), _xlfn._xlws.FILTER(T[فروشنده / مشتری], T[نوع عملیات]="خرید")), "")</f>
        <v/>
      </c>
    </row>
    <row r="204" spans="2:17" ht="16.5" hidden="1" x14ac:dyDescent="0.75">
      <c r="B204" s="228">
        <v>3</v>
      </c>
      <c r="C204" s="148">
        <v>12</v>
      </c>
      <c r="D204" s="148">
        <v>26</v>
      </c>
      <c r="E204" s="148" t="str">
        <f t="shared" si="12"/>
        <v>اسفند</v>
      </c>
      <c r="F204" s="149" t="s">
        <v>168</v>
      </c>
      <c r="G204" s="243" t="s">
        <v>338</v>
      </c>
      <c r="H204" s="247" t="s">
        <v>450</v>
      </c>
      <c r="I204" s="162" t="s">
        <v>494</v>
      </c>
      <c r="J204" s="251">
        <v>2</v>
      </c>
      <c r="K204" s="254">
        <v>500000</v>
      </c>
      <c r="L204" s="255">
        <f t="shared" si="13"/>
        <v>1000000</v>
      </c>
      <c r="M204" s="257"/>
      <c r="N204" s="258"/>
      <c r="O20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4" s="258"/>
      <c r="Q204" s="259" t="str" cm="1">
        <f t="array" ref="Q204">IF(T[[#This Row],[نوع عملیات]]="فروش", _xlfn.XLOOKUP(T[[#This Row],[کالا]], _xlfn._xlws.FILTER(T[کالا], T[نوع عملیات]="خرید"), _xlfn._xlws.FILTER(T[فروشنده / مشتری], T[نوع عملیات]="خرید")), "")</f>
        <v/>
      </c>
    </row>
    <row r="205" spans="2:17" ht="16.5" hidden="1" x14ac:dyDescent="0.75">
      <c r="B205" s="228">
        <v>3</v>
      </c>
      <c r="C205" s="148">
        <v>12</v>
      </c>
      <c r="D205" s="148">
        <v>26</v>
      </c>
      <c r="E205" s="148" t="str">
        <f t="shared" si="12"/>
        <v>اسفند</v>
      </c>
      <c r="F205" s="149" t="s">
        <v>168</v>
      </c>
      <c r="G205" s="243" t="s">
        <v>339</v>
      </c>
      <c r="H205" s="247" t="s">
        <v>450</v>
      </c>
      <c r="I205" s="162" t="s">
        <v>494</v>
      </c>
      <c r="J205" s="251">
        <v>1</v>
      </c>
      <c r="K205" s="254">
        <v>580000</v>
      </c>
      <c r="L205" s="255">
        <f t="shared" si="13"/>
        <v>580000</v>
      </c>
      <c r="M205" s="257"/>
      <c r="N205" s="258"/>
      <c r="O20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5" s="258"/>
      <c r="Q205" s="259" t="str" cm="1">
        <f t="array" ref="Q205">IF(T[[#This Row],[نوع عملیات]]="فروش", _xlfn.XLOOKUP(T[[#This Row],[کالا]], _xlfn._xlws.FILTER(T[کالا], T[نوع عملیات]="خرید"), _xlfn._xlws.FILTER(T[فروشنده / مشتری], T[نوع عملیات]="خرید")), "")</f>
        <v/>
      </c>
    </row>
    <row r="206" spans="2:17" ht="16.5" hidden="1" x14ac:dyDescent="0.75">
      <c r="B206" s="228">
        <v>3</v>
      </c>
      <c r="C206" s="148">
        <v>12</v>
      </c>
      <c r="D206" s="148">
        <v>26</v>
      </c>
      <c r="E206" s="148" t="str">
        <f t="shared" si="12"/>
        <v>اسفند</v>
      </c>
      <c r="F206" s="149" t="s">
        <v>168</v>
      </c>
      <c r="G206" s="243" t="s">
        <v>258</v>
      </c>
      <c r="H206" s="247" t="s">
        <v>450</v>
      </c>
      <c r="I206" s="162" t="s">
        <v>494</v>
      </c>
      <c r="J206" s="251">
        <v>2</v>
      </c>
      <c r="K206" s="254">
        <v>350000</v>
      </c>
      <c r="L206" s="255">
        <f t="shared" si="13"/>
        <v>700000</v>
      </c>
      <c r="M206" s="257"/>
      <c r="N206" s="258"/>
      <c r="O20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6" s="258"/>
      <c r="Q206" s="259" t="str" cm="1">
        <f t="array" ref="Q206">IF(T[[#This Row],[نوع عملیات]]="فروش", _xlfn.XLOOKUP(T[[#This Row],[کالا]], _xlfn._xlws.FILTER(T[کالا], T[نوع عملیات]="خرید"), _xlfn._xlws.FILTER(T[فروشنده / مشتری], T[نوع عملیات]="خرید")), "")</f>
        <v/>
      </c>
    </row>
    <row r="207" spans="2:17" ht="16.5" hidden="1" x14ac:dyDescent="0.75">
      <c r="B207" s="228">
        <v>3</v>
      </c>
      <c r="C207" s="148">
        <v>12</v>
      </c>
      <c r="D207" s="148">
        <v>26</v>
      </c>
      <c r="E207" s="148" t="str">
        <f t="shared" si="12"/>
        <v>اسفند</v>
      </c>
      <c r="F207" s="149" t="s">
        <v>168</v>
      </c>
      <c r="G207" s="243" t="s">
        <v>341</v>
      </c>
      <c r="H207" s="247" t="s">
        <v>450</v>
      </c>
      <c r="I207" s="162" t="s">
        <v>494</v>
      </c>
      <c r="J207" s="251">
        <v>2</v>
      </c>
      <c r="K207" s="254">
        <v>450000</v>
      </c>
      <c r="L207" s="255">
        <f t="shared" si="13"/>
        <v>900000</v>
      </c>
      <c r="M207" s="257"/>
      <c r="N207" s="258"/>
      <c r="O20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7" s="258"/>
      <c r="Q207" s="259" t="str" cm="1">
        <f t="array" ref="Q207">IF(T[[#This Row],[نوع عملیات]]="فروش", _xlfn.XLOOKUP(T[[#This Row],[کالا]], _xlfn._xlws.FILTER(T[کالا], T[نوع عملیات]="خرید"), _xlfn._xlws.FILTER(T[فروشنده / مشتری], T[نوع عملیات]="خرید")), "")</f>
        <v/>
      </c>
    </row>
    <row r="208" spans="2:17" ht="16.5" hidden="1" x14ac:dyDescent="0.75">
      <c r="B208" s="228">
        <v>3</v>
      </c>
      <c r="C208" s="148">
        <v>12</v>
      </c>
      <c r="D208" s="148">
        <v>26</v>
      </c>
      <c r="E208" s="148" t="str">
        <f t="shared" si="12"/>
        <v>اسفند</v>
      </c>
      <c r="F208" s="149" t="s">
        <v>168</v>
      </c>
      <c r="G208" s="243" t="s">
        <v>139</v>
      </c>
      <c r="H208" s="247" t="s">
        <v>450</v>
      </c>
      <c r="I208" s="162" t="s">
        <v>494</v>
      </c>
      <c r="J208" s="251">
        <v>2</v>
      </c>
      <c r="K208" s="254">
        <v>350000</v>
      </c>
      <c r="L208" s="255">
        <f t="shared" si="13"/>
        <v>700000</v>
      </c>
      <c r="M208" s="257"/>
      <c r="N208" s="258"/>
      <c r="O20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8" s="258" t="s">
        <v>193</v>
      </c>
      <c r="Q208" s="259" t="str" cm="1">
        <f t="array" ref="Q208">IF(T[[#This Row],[نوع عملیات]]="فروش", _xlfn.XLOOKUP(T[[#This Row],[کالا]], _xlfn._xlws.FILTER(T[کالا], T[نوع عملیات]="خرید"), _xlfn._xlws.FILTER(T[فروشنده / مشتری], T[نوع عملیات]="خرید")), "")</f>
        <v/>
      </c>
    </row>
    <row r="209" spans="2:17" ht="16.5" hidden="1" x14ac:dyDescent="0.75">
      <c r="B209" s="228">
        <v>3</v>
      </c>
      <c r="C209" s="148">
        <v>12</v>
      </c>
      <c r="D209" s="148">
        <v>26</v>
      </c>
      <c r="E209" s="148" t="str">
        <f t="shared" si="12"/>
        <v>اسفند</v>
      </c>
      <c r="F209" s="149" t="s">
        <v>168</v>
      </c>
      <c r="G209" s="243" t="s">
        <v>342</v>
      </c>
      <c r="H209" s="247" t="s">
        <v>450</v>
      </c>
      <c r="I209" s="162" t="s">
        <v>494</v>
      </c>
      <c r="J209" s="251">
        <v>2</v>
      </c>
      <c r="K209" s="254">
        <v>550000</v>
      </c>
      <c r="L209" s="255">
        <f t="shared" si="13"/>
        <v>1100000</v>
      </c>
      <c r="M209" s="257"/>
      <c r="N209" s="258"/>
      <c r="O20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09" s="258"/>
      <c r="Q209" s="259" t="str" cm="1">
        <f t="array" ref="Q209">IF(T[[#This Row],[نوع عملیات]]="فروش", _xlfn.XLOOKUP(T[[#This Row],[کالا]], _xlfn._xlws.FILTER(T[کالا], T[نوع عملیات]="خرید"), _xlfn._xlws.FILTER(T[فروشنده / مشتری], T[نوع عملیات]="خرید")), "")</f>
        <v/>
      </c>
    </row>
    <row r="210" spans="2:17" ht="16.5" hidden="1" x14ac:dyDescent="0.75">
      <c r="B210" s="228">
        <v>3</v>
      </c>
      <c r="C210" s="148">
        <v>12</v>
      </c>
      <c r="D210" s="148">
        <v>26</v>
      </c>
      <c r="E210" s="148" t="str">
        <f t="shared" si="12"/>
        <v>اسفند</v>
      </c>
      <c r="F210" s="149" t="s">
        <v>168</v>
      </c>
      <c r="G210" s="243" t="s">
        <v>267</v>
      </c>
      <c r="H210" s="247" t="s">
        <v>450</v>
      </c>
      <c r="I210" s="162" t="s">
        <v>494</v>
      </c>
      <c r="J210" s="251">
        <v>5</v>
      </c>
      <c r="K210" s="254">
        <v>700000</v>
      </c>
      <c r="L210" s="255">
        <f t="shared" si="13"/>
        <v>3500000</v>
      </c>
      <c r="M210" s="257">
        <v>26180000</v>
      </c>
      <c r="N210" s="258" t="s">
        <v>346</v>
      </c>
      <c r="O21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0" s="258" t="s">
        <v>193</v>
      </c>
      <c r="Q210" s="259" t="str" cm="1">
        <f t="array" ref="Q210">IF(T[[#This Row],[نوع عملیات]]="فروش", _xlfn.XLOOKUP(T[[#This Row],[کالا]], _xlfn._xlws.FILTER(T[کالا], T[نوع عملیات]="خرید"), _xlfn._xlws.FILTER(T[فروشنده / مشتری], T[نوع عملیات]="خرید")), "")</f>
        <v/>
      </c>
    </row>
    <row r="211" spans="2:17" ht="16.5" hidden="1" x14ac:dyDescent="0.75">
      <c r="B211" s="228">
        <v>3</v>
      </c>
      <c r="C211" s="148">
        <v>12</v>
      </c>
      <c r="D211" s="148">
        <v>26</v>
      </c>
      <c r="E211" s="148" t="str">
        <f t="shared" si="12"/>
        <v>اسفند</v>
      </c>
      <c r="F211" s="149" t="s">
        <v>168</v>
      </c>
      <c r="G211" s="243" t="s">
        <v>343</v>
      </c>
      <c r="H211" s="247" t="s">
        <v>392</v>
      </c>
      <c r="I211" s="162" t="s">
        <v>491</v>
      </c>
      <c r="J211" s="251">
        <v>5</v>
      </c>
      <c r="K211" s="254">
        <v>670000</v>
      </c>
      <c r="L211" s="255">
        <f t="shared" si="13"/>
        <v>3350000</v>
      </c>
      <c r="M211" s="257"/>
      <c r="N211" s="258" t="s">
        <v>346</v>
      </c>
      <c r="O21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1" s="258" t="s">
        <v>193</v>
      </c>
      <c r="Q211" s="259" t="str" cm="1">
        <f t="array" ref="Q211">IF(T[[#This Row],[نوع عملیات]]="فروش", _xlfn.XLOOKUP(T[[#This Row],[کالا]], _xlfn._xlws.FILTER(T[کالا], T[نوع عملیات]="خرید"), _xlfn._xlws.FILTER(T[فروشنده / مشتری], T[نوع عملیات]="خرید")), "")</f>
        <v/>
      </c>
    </row>
    <row r="212" spans="2:17" ht="16.5" hidden="1" x14ac:dyDescent="0.75">
      <c r="B212" s="228">
        <v>3</v>
      </c>
      <c r="C212" s="148">
        <v>12</v>
      </c>
      <c r="D212" s="148">
        <v>26</v>
      </c>
      <c r="E212" s="148" t="str">
        <f t="shared" si="12"/>
        <v>اسفند</v>
      </c>
      <c r="F212" s="149" t="s">
        <v>168</v>
      </c>
      <c r="G212" s="243" t="s">
        <v>268</v>
      </c>
      <c r="H212" s="247" t="s">
        <v>392</v>
      </c>
      <c r="I212" s="162" t="s">
        <v>491</v>
      </c>
      <c r="J212" s="251">
        <v>4</v>
      </c>
      <c r="K212" s="254">
        <v>580000</v>
      </c>
      <c r="L212" s="255">
        <f t="shared" si="13"/>
        <v>2320000</v>
      </c>
      <c r="M212" s="257"/>
      <c r="N212" s="258" t="s">
        <v>346</v>
      </c>
      <c r="O21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2" s="258"/>
      <c r="Q212" s="259" t="str" cm="1">
        <f t="array" ref="Q212">IF(T[[#This Row],[نوع عملیات]]="فروش", _xlfn.XLOOKUP(T[[#This Row],[کالا]], _xlfn._xlws.FILTER(T[کالا], T[نوع عملیات]="خرید"), _xlfn._xlws.FILTER(T[فروشنده / مشتری], T[نوع عملیات]="خرید")), "")</f>
        <v/>
      </c>
    </row>
    <row r="213" spans="2:17" ht="16.5" hidden="1" x14ac:dyDescent="0.75">
      <c r="B213" s="228">
        <v>3</v>
      </c>
      <c r="C213" s="148">
        <v>12</v>
      </c>
      <c r="D213" s="148">
        <v>26</v>
      </c>
      <c r="E213" s="148" t="str">
        <f t="shared" si="12"/>
        <v>اسفند</v>
      </c>
      <c r="F213" s="149" t="s">
        <v>168</v>
      </c>
      <c r="G213" s="243" t="s">
        <v>269</v>
      </c>
      <c r="H213" s="247" t="s">
        <v>392</v>
      </c>
      <c r="I213" s="162" t="s">
        <v>491</v>
      </c>
      <c r="J213" s="251">
        <v>4</v>
      </c>
      <c r="K213" s="254">
        <v>400000</v>
      </c>
      <c r="L213" s="255">
        <f t="shared" si="13"/>
        <v>1600000</v>
      </c>
      <c r="M213" s="257"/>
      <c r="N213" s="258" t="s">
        <v>346</v>
      </c>
      <c r="O21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3" s="258"/>
      <c r="Q213" s="259" t="str" cm="1">
        <f t="array" ref="Q213">IF(T[[#This Row],[نوع عملیات]]="فروش", _xlfn.XLOOKUP(T[[#This Row],[کالا]], _xlfn._xlws.FILTER(T[کالا], T[نوع عملیات]="خرید"), _xlfn._xlws.FILTER(T[فروشنده / مشتری], T[نوع عملیات]="خرید")), "")</f>
        <v/>
      </c>
    </row>
    <row r="214" spans="2:17" ht="16.5" hidden="1" x14ac:dyDescent="0.75">
      <c r="B214" s="228">
        <v>3</v>
      </c>
      <c r="C214" s="148">
        <v>12</v>
      </c>
      <c r="D214" s="148">
        <v>26</v>
      </c>
      <c r="E214" s="148" t="str">
        <f t="shared" si="12"/>
        <v>اسفند</v>
      </c>
      <c r="F214" s="149" t="s">
        <v>168</v>
      </c>
      <c r="G214" s="243" t="s">
        <v>344</v>
      </c>
      <c r="H214" s="247" t="s">
        <v>392</v>
      </c>
      <c r="I214" s="162" t="s">
        <v>491</v>
      </c>
      <c r="J214" s="251">
        <v>6</v>
      </c>
      <c r="K214" s="254">
        <v>520000</v>
      </c>
      <c r="L214" s="255">
        <f t="shared" si="13"/>
        <v>3120000</v>
      </c>
      <c r="M214" s="257"/>
      <c r="N214" s="258" t="s">
        <v>346</v>
      </c>
      <c r="O21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4" s="258"/>
      <c r="Q214" s="259" t="str" cm="1">
        <f t="array" ref="Q214">IF(T[[#This Row],[نوع عملیات]]="فروش", _xlfn.XLOOKUP(T[[#This Row],[کالا]], _xlfn._xlws.FILTER(T[کالا], T[نوع عملیات]="خرید"), _xlfn._xlws.FILTER(T[فروشنده / مشتری], T[نوع عملیات]="خرید")), "")</f>
        <v/>
      </c>
    </row>
    <row r="215" spans="2:17" ht="16.5" hidden="1" x14ac:dyDescent="0.75">
      <c r="B215" s="228">
        <v>3</v>
      </c>
      <c r="C215" s="148">
        <v>12</v>
      </c>
      <c r="D215" s="148">
        <v>26</v>
      </c>
      <c r="E215" s="148" t="str">
        <f t="shared" si="12"/>
        <v>اسفند</v>
      </c>
      <c r="F215" s="149" t="s">
        <v>168</v>
      </c>
      <c r="G215" s="243" t="s">
        <v>270</v>
      </c>
      <c r="H215" s="247" t="s">
        <v>392</v>
      </c>
      <c r="I215" s="162" t="s">
        <v>491</v>
      </c>
      <c r="J215" s="251">
        <v>3</v>
      </c>
      <c r="K215" s="254">
        <v>220000</v>
      </c>
      <c r="L215" s="255">
        <f t="shared" si="13"/>
        <v>660000</v>
      </c>
      <c r="M215" s="257"/>
      <c r="N215" s="258" t="s">
        <v>346</v>
      </c>
      <c r="O21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5" s="258"/>
      <c r="Q215" s="259" t="str" cm="1">
        <f t="array" ref="Q215">IF(T[[#This Row],[نوع عملیات]]="فروش", _xlfn.XLOOKUP(T[[#This Row],[کالا]], _xlfn._xlws.FILTER(T[کالا], T[نوع عملیات]="خرید"), _xlfn._xlws.FILTER(T[فروشنده / مشتری], T[نوع عملیات]="خرید")), "")</f>
        <v/>
      </c>
    </row>
    <row r="216" spans="2:17" ht="16.5" hidden="1" x14ac:dyDescent="0.75">
      <c r="B216" s="227">
        <v>3</v>
      </c>
      <c r="C216" s="150">
        <v>12</v>
      </c>
      <c r="D216" s="150">
        <v>26</v>
      </c>
      <c r="E216" s="150" t="str">
        <f t="shared" ref="E216:E247" si="14">CHOOSE(C216, "فروردین", "اردیبهشت", "خرداد", "تیر", "مرداد", "شهریور", "مهر", "آبان", "آذر", "دی", "بهمن", "اسفند")</f>
        <v>اسفند</v>
      </c>
      <c r="F216" s="151" t="s">
        <v>168</v>
      </c>
      <c r="G216" s="243" t="s">
        <v>271</v>
      </c>
      <c r="H216" s="247" t="s">
        <v>392</v>
      </c>
      <c r="I216" s="162" t="s">
        <v>491</v>
      </c>
      <c r="J216" s="251">
        <v>4</v>
      </c>
      <c r="K216" s="254">
        <v>578000</v>
      </c>
      <c r="L216" s="255">
        <f t="shared" ref="L216:L244" si="15">J216*K216</f>
        <v>2312000</v>
      </c>
      <c r="M216" s="257"/>
      <c r="N216" s="258" t="s">
        <v>346</v>
      </c>
      <c r="O21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6" s="258"/>
      <c r="Q216" s="259" t="str" cm="1">
        <f t="array" ref="Q216">IF(T[[#This Row],[نوع عملیات]]="فروش", _xlfn.XLOOKUP(T[[#This Row],[کالا]], _xlfn._xlws.FILTER(T[کالا], T[نوع عملیات]="خرید"), _xlfn._xlws.FILTER(T[فروشنده / مشتری], T[نوع عملیات]="خرید")), "")</f>
        <v/>
      </c>
    </row>
    <row r="217" spans="2:17" ht="16.5" hidden="1" x14ac:dyDescent="0.75">
      <c r="B217" s="227">
        <v>3</v>
      </c>
      <c r="C217" s="150">
        <v>12</v>
      </c>
      <c r="D217" s="150">
        <v>26</v>
      </c>
      <c r="E217" s="150" t="str">
        <f t="shared" si="14"/>
        <v>اسفند</v>
      </c>
      <c r="F217" s="151" t="s">
        <v>168</v>
      </c>
      <c r="G217" s="243" t="s">
        <v>273</v>
      </c>
      <c r="H217" s="247" t="s">
        <v>433</v>
      </c>
      <c r="I217" s="162" t="s">
        <v>496</v>
      </c>
      <c r="J217" s="251">
        <v>2</v>
      </c>
      <c r="K217" s="254">
        <v>400000</v>
      </c>
      <c r="L217" s="255">
        <f t="shared" si="15"/>
        <v>800000</v>
      </c>
      <c r="M217" s="257"/>
      <c r="N217" s="258" t="s">
        <v>216</v>
      </c>
      <c r="O21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7" s="258"/>
      <c r="Q217" s="259" t="str" cm="1">
        <f t="array" ref="Q217">IF(T[[#This Row],[نوع عملیات]]="فروش", _xlfn.XLOOKUP(T[[#This Row],[کالا]], _xlfn._xlws.FILTER(T[کالا], T[نوع عملیات]="خرید"), _xlfn._xlws.FILTER(T[فروشنده / مشتری], T[نوع عملیات]="خرید")), "")</f>
        <v/>
      </c>
    </row>
    <row r="218" spans="2:17" ht="16.5" hidden="1" x14ac:dyDescent="0.75">
      <c r="B218" s="227">
        <v>3</v>
      </c>
      <c r="C218" s="150">
        <v>12</v>
      </c>
      <c r="D218" s="150">
        <v>26</v>
      </c>
      <c r="E218" s="150" t="str">
        <f t="shared" si="14"/>
        <v>اسفند</v>
      </c>
      <c r="F218" s="151" t="s">
        <v>168</v>
      </c>
      <c r="G218" s="244" t="s">
        <v>274</v>
      </c>
      <c r="H218" s="247" t="s">
        <v>392</v>
      </c>
      <c r="I218" s="162" t="s">
        <v>491</v>
      </c>
      <c r="J218" s="251">
        <v>16</v>
      </c>
      <c r="K218" s="254">
        <v>50000</v>
      </c>
      <c r="L218" s="255">
        <f t="shared" si="15"/>
        <v>800000</v>
      </c>
      <c r="M218" s="257"/>
      <c r="N218" s="258" t="s">
        <v>346</v>
      </c>
      <c r="O21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8" s="258"/>
      <c r="Q218" s="259" t="str" cm="1">
        <f t="array" ref="Q218">IF(T[[#This Row],[نوع عملیات]]="فروش", _xlfn.XLOOKUP(T[[#This Row],[کالا]], _xlfn._xlws.FILTER(T[کالا], T[نوع عملیات]="خرید"), _xlfn._xlws.FILTER(T[فروشنده / مشتری], T[نوع عملیات]="خرید")), "")</f>
        <v/>
      </c>
    </row>
    <row r="219" spans="2:17" ht="16.5" hidden="1" customHeight="1" x14ac:dyDescent="0.75">
      <c r="B219" s="227">
        <v>3</v>
      </c>
      <c r="C219" s="150">
        <v>12</v>
      </c>
      <c r="D219" s="150">
        <v>26</v>
      </c>
      <c r="E219" s="150" t="str">
        <f t="shared" si="14"/>
        <v>اسفند</v>
      </c>
      <c r="F219" s="151" t="s">
        <v>168</v>
      </c>
      <c r="G219" s="244" t="s">
        <v>275</v>
      </c>
      <c r="H219" s="247" t="s">
        <v>453</v>
      </c>
      <c r="I219" s="162" t="s">
        <v>495</v>
      </c>
      <c r="J219" s="251">
        <v>2</v>
      </c>
      <c r="K219" s="254">
        <v>200000</v>
      </c>
      <c r="L219" s="255">
        <f t="shared" si="15"/>
        <v>400000</v>
      </c>
      <c r="M219" s="257"/>
      <c r="N219" s="258" t="s">
        <v>346</v>
      </c>
      <c r="O21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19" s="258"/>
      <c r="Q219" s="259" t="str" cm="1">
        <f t="array" ref="Q219">IF(T[[#This Row],[نوع عملیات]]="فروش", _xlfn.XLOOKUP(T[[#This Row],[کالا]], _xlfn._xlws.FILTER(T[کالا], T[نوع عملیات]="خرید"), _xlfn._xlws.FILTER(T[فروشنده / مشتری], T[نوع عملیات]="خرید")), "")</f>
        <v/>
      </c>
    </row>
    <row r="220" spans="2:17" ht="16.5" hidden="1" x14ac:dyDescent="0.75">
      <c r="B220" s="227">
        <v>3</v>
      </c>
      <c r="C220" s="150">
        <v>12</v>
      </c>
      <c r="D220" s="150">
        <v>26</v>
      </c>
      <c r="E220" s="150" t="str">
        <f t="shared" si="14"/>
        <v>اسفند</v>
      </c>
      <c r="F220" s="151" t="s">
        <v>168</v>
      </c>
      <c r="G220" s="244" t="s">
        <v>276</v>
      </c>
      <c r="H220" s="247" t="s">
        <v>453</v>
      </c>
      <c r="I220" s="162" t="s">
        <v>495</v>
      </c>
      <c r="J220" s="251">
        <v>1</v>
      </c>
      <c r="K220" s="254">
        <v>200000</v>
      </c>
      <c r="L220" s="255">
        <f t="shared" si="15"/>
        <v>200000</v>
      </c>
      <c r="M220" s="257">
        <v>600000</v>
      </c>
      <c r="N220" s="258" t="s">
        <v>346</v>
      </c>
      <c r="O22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20" s="258"/>
      <c r="Q220" s="259" t="str" cm="1">
        <f t="array" ref="Q220">IF(T[[#This Row],[نوع عملیات]]="فروش", _xlfn.XLOOKUP(T[[#This Row],[کالا]], _xlfn._xlws.FILTER(T[کالا], T[نوع عملیات]="خرید"), _xlfn._xlws.FILTER(T[فروشنده / مشتری], T[نوع عملیات]="خرید")), "")</f>
        <v/>
      </c>
    </row>
    <row r="221" spans="2:17" ht="16.5" hidden="1" x14ac:dyDescent="0.75">
      <c r="B221" s="227">
        <v>3</v>
      </c>
      <c r="C221" s="150">
        <v>12</v>
      </c>
      <c r="D221" s="150">
        <v>26</v>
      </c>
      <c r="E221" s="150" t="str">
        <f t="shared" si="14"/>
        <v>اسفند</v>
      </c>
      <c r="F221" s="151" t="s">
        <v>168</v>
      </c>
      <c r="G221" s="244" t="s">
        <v>277</v>
      </c>
      <c r="H221" s="247" t="s">
        <v>433</v>
      </c>
      <c r="I221" s="162" t="s">
        <v>496</v>
      </c>
      <c r="J221" s="251">
        <v>8</v>
      </c>
      <c r="K221" s="254">
        <v>200000</v>
      </c>
      <c r="L221" s="255">
        <f t="shared" si="15"/>
        <v>1600000</v>
      </c>
      <c r="M221" s="257"/>
      <c r="N221" s="258" t="s">
        <v>216</v>
      </c>
      <c r="O22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21" s="258"/>
      <c r="Q221" s="259" t="str" cm="1">
        <f t="array" ref="Q221">IF(T[[#This Row],[نوع عملیات]]="فروش", _xlfn.XLOOKUP(T[[#This Row],[کالا]], _xlfn._xlws.FILTER(T[کالا], T[نوع عملیات]="خرید"), _xlfn._xlws.FILTER(T[فروشنده / مشتری], T[نوع عملیات]="خرید")), "")</f>
        <v/>
      </c>
    </row>
    <row r="222" spans="2:17" ht="16.5" hidden="1" x14ac:dyDescent="0.75">
      <c r="B222" s="227">
        <v>3</v>
      </c>
      <c r="C222" s="150">
        <v>12</v>
      </c>
      <c r="D222" s="150">
        <v>26</v>
      </c>
      <c r="E222" s="150" t="str">
        <f t="shared" si="14"/>
        <v>اسفند</v>
      </c>
      <c r="F222" s="151" t="s">
        <v>168</v>
      </c>
      <c r="G222" s="244" t="s">
        <v>278</v>
      </c>
      <c r="H222" s="247" t="s">
        <v>392</v>
      </c>
      <c r="I222" s="162" t="s">
        <v>491</v>
      </c>
      <c r="J222" s="251">
        <v>9</v>
      </c>
      <c r="K222" s="254">
        <v>18500</v>
      </c>
      <c r="L222" s="255">
        <f t="shared" si="15"/>
        <v>166500</v>
      </c>
      <c r="M222" s="257">
        <v>23892500</v>
      </c>
      <c r="N222" s="258" t="s">
        <v>346</v>
      </c>
      <c r="O22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22" s="258"/>
      <c r="Q222" s="259" t="str" cm="1">
        <f t="array" ref="Q222">IF(T[[#This Row],[نوع عملیات]]="فروش", _xlfn.XLOOKUP(T[[#This Row],[کالا]], _xlfn._xlws.FILTER(T[کالا], T[نوع عملیات]="خرید"), _xlfn._xlws.FILTER(T[فروشنده / مشتری], T[نوع عملیات]="خرید")), "")</f>
        <v/>
      </c>
    </row>
    <row r="223" spans="2:17" ht="16.5" hidden="1" x14ac:dyDescent="0.75">
      <c r="B223" s="228">
        <v>3</v>
      </c>
      <c r="C223" s="148">
        <v>12</v>
      </c>
      <c r="D223" s="148">
        <v>26</v>
      </c>
      <c r="E223" s="148" t="str">
        <f t="shared" si="14"/>
        <v>اسفند</v>
      </c>
      <c r="F223" s="149" t="s">
        <v>168</v>
      </c>
      <c r="G223" s="244" t="s">
        <v>279</v>
      </c>
      <c r="H223" s="247" t="s">
        <v>433</v>
      </c>
      <c r="I223" s="162" t="s">
        <v>496</v>
      </c>
      <c r="J223" s="251">
        <v>6</v>
      </c>
      <c r="K223" s="255">
        <v>200000</v>
      </c>
      <c r="L223" s="255">
        <f t="shared" si="15"/>
        <v>1200000</v>
      </c>
      <c r="M223" s="257"/>
      <c r="N223" s="258" t="s">
        <v>216</v>
      </c>
      <c r="O22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23" s="258"/>
      <c r="Q223" s="259" t="str" cm="1">
        <f t="array" ref="Q223">IF(T[[#This Row],[نوع عملیات]]="فروش", _xlfn.XLOOKUP(T[[#This Row],[کالا]], _xlfn._xlws.FILTER(T[کالا], T[نوع عملیات]="خرید"), _xlfn._xlws.FILTER(T[فروشنده / مشتری], T[نوع عملیات]="خرید")), "")</f>
        <v/>
      </c>
    </row>
    <row r="224" spans="2:17" ht="16.5" hidden="1" x14ac:dyDescent="0.75">
      <c r="B224" s="228">
        <v>3</v>
      </c>
      <c r="C224" s="148">
        <v>12</v>
      </c>
      <c r="D224" s="148">
        <v>26</v>
      </c>
      <c r="E224" s="148" t="str">
        <f t="shared" si="14"/>
        <v>اسفند</v>
      </c>
      <c r="F224" s="149" t="s">
        <v>168</v>
      </c>
      <c r="G224" s="244" t="s">
        <v>428</v>
      </c>
      <c r="H224" s="247" t="s">
        <v>433</v>
      </c>
      <c r="I224" s="162" t="s">
        <v>496</v>
      </c>
      <c r="J224" s="251">
        <v>2</v>
      </c>
      <c r="K224" s="255">
        <v>40000</v>
      </c>
      <c r="L224" s="255">
        <f t="shared" si="15"/>
        <v>80000</v>
      </c>
      <c r="M224" s="257">
        <v>23960000</v>
      </c>
      <c r="N224" s="258" t="s">
        <v>216</v>
      </c>
      <c r="O22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24" s="258"/>
      <c r="Q224" s="259" t="str" cm="1">
        <f t="array" ref="Q224">IF(T[[#This Row],[نوع عملیات]]="فروش", _xlfn.XLOOKUP(T[[#This Row],[کالا]], _xlfn._xlws.FILTER(T[کالا], T[نوع عملیات]="خرید"), _xlfn._xlws.FILTER(T[فروشنده / مشتری], T[نوع عملیات]="خرید")), "")</f>
        <v/>
      </c>
    </row>
    <row r="225" spans="2:17" ht="16.5" hidden="1" x14ac:dyDescent="0.75">
      <c r="B225" s="228">
        <v>3</v>
      </c>
      <c r="C225" s="148">
        <v>12</v>
      </c>
      <c r="D225" s="148">
        <v>27</v>
      </c>
      <c r="E225" s="148" t="str">
        <f t="shared" si="14"/>
        <v>اسفند</v>
      </c>
      <c r="F225" s="149" t="s">
        <v>302</v>
      </c>
      <c r="G225" s="243"/>
      <c r="H225" s="247" t="s">
        <v>420</v>
      </c>
      <c r="I225" s="249"/>
      <c r="J225" s="251"/>
      <c r="K225" s="255"/>
      <c r="L225" s="255">
        <f t="shared" si="15"/>
        <v>0</v>
      </c>
      <c r="M225" s="257">
        <v>1000000</v>
      </c>
      <c r="N225" s="258" t="s">
        <v>346</v>
      </c>
      <c r="O22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25" s="258"/>
      <c r="Q225" s="259" t="str" cm="1">
        <f t="array" ref="Q225">IF(T[[#This Row],[نوع عملیات]]="فروش", _xlfn.XLOOKUP(T[[#This Row],[کالا]], _xlfn._xlws.FILTER(T[کالا], T[نوع عملیات]="خرید"), _xlfn._xlws.FILTER(T[فروشنده / مشتری], T[نوع عملیات]="خرید")), "")</f>
        <v/>
      </c>
    </row>
    <row r="226" spans="2:17" ht="16.5" hidden="1" x14ac:dyDescent="0.75">
      <c r="B226" s="228">
        <v>3</v>
      </c>
      <c r="C226" s="148">
        <v>12</v>
      </c>
      <c r="D226" s="148">
        <v>27</v>
      </c>
      <c r="E226" s="148" t="str">
        <f t="shared" si="14"/>
        <v>اسفند</v>
      </c>
      <c r="F226" s="149" t="s">
        <v>167</v>
      </c>
      <c r="G226" s="243" t="s">
        <v>232</v>
      </c>
      <c r="H226" s="247" t="s">
        <v>211</v>
      </c>
      <c r="I226" s="188"/>
      <c r="J226" s="251">
        <v>1</v>
      </c>
      <c r="K226" s="255">
        <v>850000</v>
      </c>
      <c r="L226" s="255">
        <f t="shared" si="15"/>
        <v>850000</v>
      </c>
      <c r="M226" s="257"/>
      <c r="N226" s="258"/>
      <c r="O22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226" s="258"/>
      <c r="Q226" s="259" t="str" cm="1">
        <f t="array" ref="Q226">IF(T[[#This Row],[نوع عملیات]]="فروش", _xlfn.XLOOKUP(T[[#This Row],[کالا]], _xlfn._xlws.FILTER(T[کالا], T[نوع عملیات]="خرید"), _xlfn._xlws.FILTER(T[فروشنده / مشتری], T[نوع عملیات]="خرید")), "")</f>
        <v>مهناز - تولیدی</v>
      </c>
    </row>
    <row r="227" spans="2:17" ht="16.5" hidden="1" x14ac:dyDescent="0.75">
      <c r="B227" s="228">
        <v>3</v>
      </c>
      <c r="C227" s="148">
        <v>12</v>
      </c>
      <c r="D227" s="148">
        <v>27</v>
      </c>
      <c r="E227" s="148" t="str">
        <f t="shared" si="14"/>
        <v>اسفند</v>
      </c>
      <c r="F227" s="149" t="s">
        <v>167</v>
      </c>
      <c r="G227" s="243" t="s">
        <v>136</v>
      </c>
      <c r="H227" s="247" t="s">
        <v>211</v>
      </c>
      <c r="I227" s="188"/>
      <c r="J227" s="251">
        <v>1</v>
      </c>
      <c r="K227" s="255">
        <v>500000</v>
      </c>
      <c r="L227" s="255">
        <f t="shared" si="15"/>
        <v>500000</v>
      </c>
      <c r="M227" s="257">
        <v>1350000</v>
      </c>
      <c r="N227" s="258" t="s">
        <v>346</v>
      </c>
      <c r="O22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227" s="258"/>
      <c r="Q227" s="259" t="str" cm="1">
        <f t="array" ref="Q227">IF(T[[#This Row],[نوع عملیات]]="فروش", _xlfn.XLOOKUP(T[[#This Row],[کالا]], _xlfn._xlws.FILTER(T[کالا], T[نوع عملیات]="خرید"), _xlfn._xlws.FILTER(T[فروشنده / مشتری], T[نوع عملیات]="خرید")), "")</f>
        <v>بازار</v>
      </c>
    </row>
    <row r="228" spans="2:17" ht="16.5" hidden="1" x14ac:dyDescent="0.75">
      <c r="B228" s="228">
        <v>3</v>
      </c>
      <c r="C228" s="148">
        <v>12</v>
      </c>
      <c r="D228" s="148">
        <v>27</v>
      </c>
      <c r="E228" s="148" t="str">
        <f t="shared" si="14"/>
        <v>اسفند</v>
      </c>
      <c r="F228" s="149" t="s">
        <v>167</v>
      </c>
      <c r="G228" s="243" t="s">
        <v>347</v>
      </c>
      <c r="H228" s="247" t="s">
        <v>612</v>
      </c>
      <c r="I228" s="188"/>
      <c r="J228" s="251">
        <v>1</v>
      </c>
      <c r="K228" s="255">
        <v>1100000</v>
      </c>
      <c r="L228" s="255">
        <f t="shared" si="15"/>
        <v>1100000</v>
      </c>
      <c r="M228" s="257">
        <v>1100000</v>
      </c>
      <c r="N228" s="258" t="s">
        <v>346</v>
      </c>
      <c r="O22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228" s="258"/>
      <c r="Q228" s="259" t="str" cm="1">
        <f t="array" ref="Q228">IF(T[[#This Row],[نوع عملیات]]="فروش", _xlfn.XLOOKUP(T[[#This Row],[کالا]], _xlfn._xlws.FILTER(T[کالا], T[نوع عملیات]="خرید"), _xlfn._xlws.FILTER(T[فروشنده / مشتری], T[نوع عملیات]="خرید")), "")</f>
        <v>دلگشا</v>
      </c>
    </row>
    <row r="229" spans="2:17" ht="16.5" hidden="1" x14ac:dyDescent="0.75">
      <c r="B229" s="228">
        <v>3</v>
      </c>
      <c r="C229" s="148">
        <v>12</v>
      </c>
      <c r="D229" s="148">
        <v>27</v>
      </c>
      <c r="E229" s="148" t="str">
        <f t="shared" si="14"/>
        <v>اسفند</v>
      </c>
      <c r="F229" s="149" t="s">
        <v>167</v>
      </c>
      <c r="G229" s="243" t="s">
        <v>201</v>
      </c>
      <c r="H229" s="247" t="s">
        <v>324</v>
      </c>
      <c r="I229" s="188"/>
      <c r="J229" s="251">
        <v>1</v>
      </c>
      <c r="K229" s="255">
        <v>1500000</v>
      </c>
      <c r="L229" s="255">
        <f t="shared" si="15"/>
        <v>1500000</v>
      </c>
      <c r="M229" s="257"/>
      <c r="N229" s="258"/>
      <c r="O22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220000</v>
      </c>
      <c r="P229" s="258"/>
      <c r="Q229" s="259" t="str" cm="1">
        <f t="array" ref="Q229">IF(T[[#This Row],[نوع عملیات]]="فروش", _xlfn.XLOOKUP(T[[#This Row],[کالا]], _xlfn._xlws.FILTER(T[کالا], T[نوع عملیات]="خرید"), _xlfn._xlws.FILTER(T[فروشنده / مشتری], T[نوع عملیات]="خرید")), "")</f>
        <v>فریده</v>
      </c>
    </row>
    <row r="230" spans="2:17" ht="16.5" hidden="1" x14ac:dyDescent="0.75">
      <c r="B230" s="228">
        <v>3</v>
      </c>
      <c r="C230" s="148">
        <v>12</v>
      </c>
      <c r="D230" s="148">
        <v>27</v>
      </c>
      <c r="E230" s="148" t="str">
        <f t="shared" si="14"/>
        <v>اسفند</v>
      </c>
      <c r="F230" s="149" t="s">
        <v>167</v>
      </c>
      <c r="G230" s="243" t="s">
        <v>243</v>
      </c>
      <c r="H230" s="247" t="s">
        <v>624</v>
      </c>
      <c r="I230" s="188"/>
      <c r="J230" s="251">
        <v>1</v>
      </c>
      <c r="K230" s="255">
        <v>1000000</v>
      </c>
      <c r="L230" s="255">
        <f t="shared" si="15"/>
        <v>1000000</v>
      </c>
      <c r="M230" s="257"/>
      <c r="N230" s="258"/>
      <c r="O23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430000</v>
      </c>
      <c r="P230" s="258"/>
      <c r="Q230" s="259" t="str" cm="1">
        <f t="array" ref="Q230">IF(T[[#This Row],[نوع عملیات]]="فروش", _xlfn.XLOOKUP(T[[#This Row],[کالا]], _xlfn._xlws.FILTER(T[کالا], T[نوع عملیات]="خرید"), _xlfn._xlws.FILTER(T[فروشنده / مشتری], T[نوع عملیات]="خرید")), "")</f>
        <v>بازار</v>
      </c>
    </row>
    <row r="231" spans="2:17" ht="16.5" hidden="1" x14ac:dyDescent="0.75">
      <c r="B231" s="228">
        <v>3</v>
      </c>
      <c r="C231" s="148">
        <v>12</v>
      </c>
      <c r="D231" s="148">
        <v>27</v>
      </c>
      <c r="E231" s="148" t="str">
        <f t="shared" si="14"/>
        <v>اسفند</v>
      </c>
      <c r="F231" s="149" t="s">
        <v>167</v>
      </c>
      <c r="G231" s="243" t="s">
        <v>219</v>
      </c>
      <c r="H231" s="247" t="s">
        <v>624</v>
      </c>
      <c r="I231" s="188"/>
      <c r="J231" s="251">
        <v>1</v>
      </c>
      <c r="K231" s="255">
        <v>800000</v>
      </c>
      <c r="L231" s="255">
        <f t="shared" si="15"/>
        <v>800000</v>
      </c>
      <c r="M231" s="257">
        <v>1800000</v>
      </c>
      <c r="N231" s="258" t="s">
        <v>346</v>
      </c>
      <c r="O23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231" s="258"/>
      <c r="Q231" s="259" t="str" cm="1">
        <f t="array" ref="Q231">IF(T[[#This Row],[نوع عملیات]]="فروش", _xlfn.XLOOKUP(T[[#This Row],[کالا]], _xlfn._xlws.FILTER(T[کالا], T[نوع عملیات]="خرید"), _xlfn._xlws.FILTER(T[فروشنده / مشتری], T[نوع عملیات]="خرید")), "")</f>
        <v>مهناز - تولیدی</v>
      </c>
    </row>
    <row r="232" spans="2:17" ht="16.5" hidden="1" x14ac:dyDescent="0.75">
      <c r="B232" s="228">
        <v>3</v>
      </c>
      <c r="C232" s="148">
        <v>12</v>
      </c>
      <c r="D232" s="148">
        <v>27</v>
      </c>
      <c r="E232" s="148" t="str">
        <f t="shared" si="14"/>
        <v>اسفند</v>
      </c>
      <c r="F232" s="149" t="s">
        <v>167</v>
      </c>
      <c r="G232" s="243" t="s">
        <v>334</v>
      </c>
      <c r="H232" s="247" t="s">
        <v>435</v>
      </c>
      <c r="I232" s="188"/>
      <c r="J232" s="251">
        <v>1</v>
      </c>
      <c r="K232" s="255">
        <v>500000</v>
      </c>
      <c r="L232" s="255">
        <f t="shared" si="15"/>
        <v>500000</v>
      </c>
      <c r="M232" s="257"/>
      <c r="N232" s="258"/>
      <c r="O23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232" s="258"/>
      <c r="Q232" s="259" t="str" cm="1">
        <f t="array" ref="Q232">IF(T[[#This Row],[نوع عملیات]]="فروش", _xlfn.XLOOKUP(T[[#This Row],[کالا]], _xlfn._xlws.FILTER(T[کالا], T[نوع عملیات]="خرید"), _xlfn._xlws.FILTER(T[فروشنده / مشتری], T[نوع عملیات]="خرید")), "")</f>
        <v>خودم</v>
      </c>
    </row>
    <row r="233" spans="2:17" ht="16.5" hidden="1" x14ac:dyDescent="0.75">
      <c r="B233" s="228">
        <v>3</v>
      </c>
      <c r="C233" s="148">
        <v>12</v>
      </c>
      <c r="D233" s="148">
        <v>27</v>
      </c>
      <c r="E233" s="148" t="str">
        <f t="shared" si="14"/>
        <v>اسفند</v>
      </c>
      <c r="F233" s="149" t="s">
        <v>167</v>
      </c>
      <c r="G233" s="243" t="s">
        <v>134</v>
      </c>
      <c r="H233" s="247" t="s">
        <v>211</v>
      </c>
      <c r="I233" s="161"/>
      <c r="J233" s="251">
        <v>1</v>
      </c>
      <c r="K233" s="254">
        <v>1150000</v>
      </c>
      <c r="L233" s="255">
        <f t="shared" si="15"/>
        <v>1150000</v>
      </c>
      <c r="M233" s="257"/>
      <c r="N233" s="258"/>
      <c r="O23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410000</v>
      </c>
      <c r="P233" s="258"/>
      <c r="Q233" s="259" t="str" cm="1">
        <f t="array" ref="Q233">IF(T[[#This Row],[نوع عملیات]]="فروش", _xlfn.XLOOKUP(T[[#This Row],[کالا]], _xlfn._xlws.FILTER(T[کالا], T[نوع عملیات]="خرید"), _xlfn._xlws.FILTER(T[فروشنده / مشتری], T[نوع عملیات]="خرید")), "")</f>
        <v>بازار</v>
      </c>
    </row>
    <row r="234" spans="2:17" ht="16.5" hidden="1" x14ac:dyDescent="0.75">
      <c r="B234" s="228">
        <v>3</v>
      </c>
      <c r="C234" s="148">
        <v>12</v>
      </c>
      <c r="D234" s="148">
        <v>27</v>
      </c>
      <c r="E234" s="148" t="str">
        <f t="shared" si="14"/>
        <v>اسفند</v>
      </c>
      <c r="F234" s="149" t="s">
        <v>167</v>
      </c>
      <c r="G234" s="243" t="s">
        <v>266</v>
      </c>
      <c r="H234" s="247" t="s">
        <v>211</v>
      </c>
      <c r="I234" s="188"/>
      <c r="J234" s="251">
        <v>1</v>
      </c>
      <c r="K234" s="255">
        <v>450000</v>
      </c>
      <c r="L234" s="255">
        <f t="shared" si="15"/>
        <v>450000</v>
      </c>
      <c r="M234" s="257">
        <v>1600000</v>
      </c>
      <c r="N234" s="258" t="s">
        <v>299</v>
      </c>
      <c r="O23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234" s="258"/>
      <c r="Q234" s="259" t="str" cm="1">
        <f t="array" ref="Q234">IF(T[[#This Row],[نوع عملیات]]="فروش", _xlfn.XLOOKUP(T[[#This Row],[کالا]], _xlfn._xlws.FILTER(T[کالا], T[نوع عملیات]="خرید"), _xlfn._xlws.FILTER(T[فروشنده / مشتری], T[نوع عملیات]="خرید")), "")</f>
        <v>عبدل آباد</v>
      </c>
    </row>
    <row r="235" spans="2:17" ht="16.5" hidden="1" customHeight="1" x14ac:dyDescent="0.75">
      <c r="B235" s="228">
        <v>3</v>
      </c>
      <c r="C235" s="148">
        <v>12</v>
      </c>
      <c r="D235" s="148">
        <v>27</v>
      </c>
      <c r="E235" s="148" t="str">
        <f t="shared" si="14"/>
        <v>اسفند</v>
      </c>
      <c r="F235" s="149" t="s">
        <v>167</v>
      </c>
      <c r="G235" s="243" t="s">
        <v>249</v>
      </c>
      <c r="H235" s="247" t="s">
        <v>211</v>
      </c>
      <c r="I235" s="188"/>
      <c r="J235" s="251">
        <v>1</v>
      </c>
      <c r="K235" s="255">
        <v>450000</v>
      </c>
      <c r="L235" s="255">
        <f t="shared" si="15"/>
        <v>450000</v>
      </c>
      <c r="M235" s="257">
        <v>450000</v>
      </c>
      <c r="N235" s="258" t="s">
        <v>299</v>
      </c>
      <c r="O23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284000</v>
      </c>
      <c r="P235" s="258"/>
      <c r="Q235" s="259" t="str" cm="1">
        <f t="array" ref="Q235">IF(T[[#This Row],[نوع عملیات]]="فروش", _xlfn.XLOOKUP(T[[#This Row],[کالا]], _xlfn._xlws.FILTER(T[کالا], T[نوع عملیات]="خرید"), _xlfn._xlws.FILTER(T[فروشنده / مشتری], T[نوع عملیات]="خرید")), "")</f>
        <v>بازار</v>
      </c>
    </row>
    <row r="236" spans="2:17" ht="16.5" hidden="1" x14ac:dyDescent="0.75">
      <c r="B236" s="228">
        <v>3</v>
      </c>
      <c r="C236" s="148">
        <v>12</v>
      </c>
      <c r="D236" s="148">
        <v>27</v>
      </c>
      <c r="E236" s="148" t="str">
        <f t="shared" si="14"/>
        <v>اسفند</v>
      </c>
      <c r="F236" s="149" t="s">
        <v>167</v>
      </c>
      <c r="G236" s="243" t="s">
        <v>348</v>
      </c>
      <c r="H236" s="247" t="s">
        <v>624</v>
      </c>
      <c r="I236" s="188"/>
      <c r="J236" s="251">
        <v>1</v>
      </c>
      <c r="K236" s="255">
        <v>750000</v>
      </c>
      <c r="L236" s="255">
        <f t="shared" si="15"/>
        <v>750000</v>
      </c>
      <c r="M236" s="257"/>
      <c r="N236" s="258"/>
      <c r="O23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400000</v>
      </c>
      <c r="P236" s="258"/>
      <c r="Q236" s="259" t="str" cm="1">
        <f t="array" ref="Q236">IF(T[[#This Row],[نوع عملیات]]="فروش", _xlfn.XLOOKUP(T[[#This Row],[کالا]], _xlfn._xlws.FILTER(T[کالا], T[نوع عملیات]="خرید"), _xlfn._xlws.FILTER(T[فروشنده / مشتری], T[نوع عملیات]="خرید")), "")</f>
        <v>مهناز - تولیدی</v>
      </c>
    </row>
    <row r="237" spans="2:17" ht="16.5" hidden="1" x14ac:dyDescent="0.75">
      <c r="B237" s="228">
        <v>3</v>
      </c>
      <c r="C237" s="148">
        <v>12</v>
      </c>
      <c r="D237" s="148">
        <v>27</v>
      </c>
      <c r="E237" s="148" t="str">
        <f t="shared" si="14"/>
        <v>اسفند</v>
      </c>
      <c r="F237" s="149" t="s">
        <v>167</v>
      </c>
      <c r="G237" s="243" t="s">
        <v>257</v>
      </c>
      <c r="H237" s="247" t="s">
        <v>624</v>
      </c>
      <c r="I237" s="188"/>
      <c r="J237" s="251">
        <v>1</v>
      </c>
      <c r="K237" s="255">
        <v>350000</v>
      </c>
      <c r="L237" s="255">
        <f t="shared" si="15"/>
        <v>350000</v>
      </c>
      <c r="M237" s="257">
        <v>1100000</v>
      </c>
      <c r="N237" s="258" t="s">
        <v>346</v>
      </c>
      <c r="O23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237" s="258"/>
      <c r="Q237" s="259" t="str" cm="1">
        <f t="array" ref="Q237">IF(T[[#This Row],[نوع عملیات]]="فروش", _xlfn.XLOOKUP(T[[#This Row],[کالا]], _xlfn._xlws.FILTER(T[کالا], T[نوع عملیات]="خرید"), _xlfn._xlws.FILTER(T[فروشنده / مشتری], T[نوع عملیات]="خرید")), "")</f>
        <v>خودم</v>
      </c>
    </row>
    <row r="238" spans="2:17" ht="16.5" hidden="1" x14ac:dyDescent="0.75">
      <c r="B238" s="228">
        <v>3</v>
      </c>
      <c r="C238" s="148">
        <v>12</v>
      </c>
      <c r="D238" s="148">
        <v>28</v>
      </c>
      <c r="E238" s="148" t="str">
        <f t="shared" si="14"/>
        <v>اسفند</v>
      </c>
      <c r="F238" s="149" t="s">
        <v>167</v>
      </c>
      <c r="G238" s="243" t="s">
        <v>274</v>
      </c>
      <c r="H238" s="247" t="s">
        <v>211</v>
      </c>
      <c r="I238" s="188"/>
      <c r="J238" s="251">
        <v>1</v>
      </c>
      <c r="K238" s="255">
        <v>300000</v>
      </c>
      <c r="L238" s="255">
        <f t="shared" si="15"/>
        <v>300000</v>
      </c>
      <c r="M238" s="257">
        <v>300000</v>
      </c>
      <c r="N238" s="258" t="s">
        <v>346</v>
      </c>
      <c r="O23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245714.28571428571</v>
      </c>
      <c r="P238" s="258"/>
      <c r="Q238" s="259" t="str" cm="1">
        <f t="array" ref="Q238">IF(T[[#This Row],[نوع عملیات]]="فروش", _xlfn.XLOOKUP(T[[#This Row],[کالا]], _xlfn._xlws.FILTER(T[کالا], T[نوع عملیات]="خرید"), _xlfn._xlws.FILTER(T[فروشنده / مشتری], T[نوع عملیات]="خرید")), "")</f>
        <v>بازار</v>
      </c>
    </row>
    <row r="239" spans="2:17" ht="16.5" hidden="1" customHeight="1" x14ac:dyDescent="0.75">
      <c r="B239" s="228">
        <v>3</v>
      </c>
      <c r="C239" s="148">
        <v>12</v>
      </c>
      <c r="D239" s="148">
        <v>28</v>
      </c>
      <c r="E239" s="148" t="str">
        <f t="shared" si="14"/>
        <v>اسفند</v>
      </c>
      <c r="F239" s="149" t="s">
        <v>167</v>
      </c>
      <c r="G239" s="243" t="s">
        <v>252</v>
      </c>
      <c r="H239" s="247" t="s">
        <v>211</v>
      </c>
      <c r="I239" s="188"/>
      <c r="J239" s="251">
        <v>1</v>
      </c>
      <c r="K239" s="255">
        <v>600000</v>
      </c>
      <c r="L239" s="255">
        <f t="shared" si="15"/>
        <v>600000</v>
      </c>
      <c r="M239" s="257"/>
      <c r="N239" s="258"/>
      <c r="O23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239" s="258"/>
      <c r="Q239" s="259" t="str" cm="1">
        <f t="array" ref="Q239">IF(T[[#This Row],[نوع عملیات]]="فروش", _xlfn.XLOOKUP(T[[#This Row],[کالا]], _xlfn._xlws.FILTER(T[کالا], T[نوع عملیات]="خرید"), _xlfn._xlws.FILTER(T[فروشنده / مشتری], T[نوع عملیات]="خرید")), "")</f>
        <v>وان ترکیه</v>
      </c>
    </row>
    <row r="240" spans="2:17" ht="16.5" hidden="1" x14ac:dyDescent="0.75">
      <c r="B240" s="238">
        <v>3</v>
      </c>
      <c r="C240" s="239">
        <v>12</v>
      </c>
      <c r="D240" s="239">
        <v>28</v>
      </c>
      <c r="E240" s="290" t="str">
        <f t="shared" si="14"/>
        <v>اسفند</v>
      </c>
      <c r="F240" s="240" t="s">
        <v>167</v>
      </c>
      <c r="G240" s="293" t="s">
        <v>274</v>
      </c>
      <c r="H240" s="261" t="s">
        <v>211</v>
      </c>
      <c r="I240" s="297"/>
      <c r="J240" s="252">
        <v>1</v>
      </c>
      <c r="K240" s="255">
        <v>250000</v>
      </c>
      <c r="L240" s="255">
        <f t="shared" si="15"/>
        <v>250000</v>
      </c>
      <c r="M240" s="257">
        <v>850000</v>
      </c>
      <c r="N240" s="262" t="s">
        <v>299</v>
      </c>
      <c r="O2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195714.28571428571</v>
      </c>
      <c r="P240" s="262"/>
      <c r="Q240" s="264" t="str" cm="1">
        <f t="array" ref="Q240">IF(T[[#This Row],[نوع عملیات]]="فروش", _xlfn.XLOOKUP(T[[#This Row],[کالا]], _xlfn._xlws.FILTER(T[کالا], T[نوع عملیات]="خرید"), _xlfn._xlws.FILTER(T[فروشنده / مشتری], T[نوع عملیات]="خرید")), "")</f>
        <v>بازار</v>
      </c>
    </row>
    <row r="241" spans="2:17" ht="16.5" hidden="1" x14ac:dyDescent="0.75">
      <c r="B241" s="228">
        <v>3</v>
      </c>
      <c r="C241" s="148">
        <v>12</v>
      </c>
      <c r="D241" s="148">
        <v>28</v>
      </c>
      <c r="E241" s="148" t="str">
        <f t="shared" si="14"/>
        <v>اسفند</v>
      </c>
      <c r="F241" s="149" t="s">
        <v>167</v>
      </c>
      <c r="G241" s="243" t="s">
        <v>349</v>
      </c>
      <c r="H241" s="247" t="s">
        <v>211</v>
      </c>
      <c r="I241" s="188"/>
      <c r="J241" s="251">
        <v>1</v>
      </c>
      <c r="K241" s="255">
        <v>1000000</v>
      </c>
      <c r="L241" s="255">
        <f t="shared" si="15"/>
        <v>1000000</v>
      </c>
      <c r="M241" s="257"/>
      <c r="N241" s="258"/>
      <c r="O24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241" s="258"/>
      <c r="Q241" s="259" t="str" cm="1">
        <f t="array" ref="Q241">IF(T[[#This Row],[نوع عملیات]]="فروش", _xlfn.XLOOKUP(T[[#This Row],[کالا]], _xlfn._xlws.FILTER(T[کالا], T[نوع عملیات]="خرید"), _xlfn._xlws.FILTER(T[فروشنده / مشتری], T[نوع عملیات]="خرید")), "")</f>
        <v>مهناز - تولیدی</v>
      </c>
    </row>
    <row r="242" spans="2:17" ht="16.5" hidden="1" x14ac:dyDescent="0.75">
      <c r="B242" s="228">
        <v>3</v>
      </c>
      <c r="C242" s="148">
        <v>12</v>
      </c>
      <c r="D242" s="148">
        <v>28</v>
      </c>
      <c r="E242" s="148" t="str">
        <f t="shared" si="14"/>
        <v>اسفند</v>
      </c>
      <c r="F242" s="149" t="s">
        <v>167</v>
      </c>
      <c r="G242" s="243" t="s">
        <v>333</v>
      </c>
      <c r="H242" s="247" t="s">
        <v>211</v>
      </c>
      <c r="I242" s="188"/>
      <c r="J242" s="251">
        <v>2</v>
      </c>
      <c r="K242" s="255">
        <v>300000</v>
      </c>
      <c r="L242" s="255">
        <f t="shared" si="15"/>
        <v>600000</v>
      </c>
      <c r="M242" s="257">
        <v>1600000</v>
      </c>
      <c r="N242" s="258" t="s">
        <v>298</v>
      </c>
      <c r="O24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220000</v>
      </c>
      <c r="P242" s="258"/>
      <c r="Q242" s="259" t="str" cm="1">
        <f t="array" ref="Q242">IF(T[[#This Row],[نوع عملیات]]="فروش", _xlfn.XLOOKUP(T[[#This Row],[کالا]], _xlfn._xlws.FILTER(T[کالا], T[نوع عملیات]="خرید"), _xlfn._xlws.FILTER(T[فروشنده / مشتری], T[نوع عملیات]="خرید")), "")</f>
        <v>دلگشا</v>
      </c>
    </row>
    <row r="243" spans="2:17" ht="16.5" hidden="1" customHeight="1" x14ac:dyDescent="0.75">
      <c r="B243" s="228">
        <v>3</v>
      </c>
      <c r="C243" s="148">
        <v>12</v>
      </c>
      <c r="D243" s="148">
        <v>28</v>
      </c>
      <c r="E243" s="148" t="str">
        <f t="shared" si="14"/>
        <v>اسفند</v>
      </c>
      <c r="F243" s="149" t="s">
        <v>167</v>
      </c>
      <c r="G243" s="243" t="s">
        <v>274</v>
      </c>
      <c r="H243" s="247" t="s">
        <v>618</v>
      </c>
      <c r="I243" s="188"/>
      <c r="J243" s="251">
        <v>2</v>
      </c>
      <c r="K243" s="255">
        <v>300000</v>
      </c>
      <c r="L243" s="255">
        <f t="shared" si="15"/>
        <v>600000</v>
      </c>
      <c r="M243" s="257"/>
      <c r="N243" s="258"/>
      <c r="O24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491428.57142857142</v>
      </c>
      <c r="P243" s="258"/>
      <c r="Q243" s="259" t="str" cm="1">
        <f t="array" ref="Q243">IF(T[[#This Row],[نوع عملیات]]="فروش", _xlfn.XLOOKUP(T[[#This Row],[کالا]], _xlfn._xlws.FILTER(T[کالا], T[نوع عملیات]="خرید"), _xlfn._xlws.FILTER(T[فروشنده / مشتری], T[نوع عملیات]="خرید")), "")</f>
        <v>بازار</v>
      </c>
    </row>
    <row r="244" spans="2:17" ht="16.5" hidden="1" customHeight="1" x14ac:dyDescent="0.75">
      <c r="B244" s="228">
        <v>3</v>
      </c>
      <c r="C244" s="148">
        <v>12</v>
      </c>
      <c r="D244" s="148">
        <v>28</v>
      </c>
      <c r="E244" s="289" t="str">
        <f t="shared" si="14"/>
        <v>اسفند</v>
      </c>
      <c r="F244" s="149" t="s">
        <v>167</v>
      </c>
      <c r="G244" s="244" t="s">
        <v>207</v>
      </c>
      <c r="H244" s="247" t="s">
        <v>539</v>
      </c>
      <c r="I244" s="249"/>
      <c r="J244" s="251">
        <v>1</v>
      </c>
      <c r="K244" s="255">
        <v>500000</v>
      </c>
      <c r="L244" s="255">
        <f t="shared" si="15"/>
        <v>500000</v>
      </c>
      <c r="M244" s="257"/>
      <c r="N244" s="258"/>
      <c r="O24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215000</v>
      </c>
      <c r="P244" s="258"/>
      <c r="Q244" s="259" t="str" cm="1">
        <f t="array" ref="Q244">IF(T[[#This Row],[نوع عملیات]]="فروش", _xlfn.XLOOKUP(T[[#This Row],[کالا]], _xlfn._xlws.FILTER(T[کالا], T[نوع عملیات]="خرید"), _xlfn._xlws.FILTER(T[فروشنده / مشتری], T[نوع عملیات]="خرید")), "")</f>
        <v>فریده</v>
      </c>
    </row>
    <row r="245" spans="2:17" ht="16.5" hidden="1" x14ac:dyDescent="0.75">
      <c r="B245" s="228">
        <v>3</v>
      </c>
      <c r="C245" s="148">
        <v>12</v>
      </c>
      <c r="D245" s="148">
        <v>28</v>
      </c>
      <c r="E245" s="148" t="str">
        <f t="shared" si="14"/>
        <v>اسفند</v>
      </c>
      <c r="F245" s="149" t="s">
        <v>302</v>
      </c>
      <c r="G245" s="244"/>
      <c r="H245" s="247" t="s">
        <v>434</v>
      </c>
      <c r="I245" s="249"/>
      <c r="J245" s="251"/>
      <c r="K245" s="255"/>
      <c r="L245" s="255"/>
      <c r="M245" s="257">
        <v>2500000</v>
      </c>
      <c r="N245" s="258" t="s">
        <v>346</v>
      </c>
      <c r="O24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45" s="258"/>
      <c r="Q245" s="259" t="str" cm="1">
        <f t="array" ref="Q245">IF(T[[#This Row],[نوع عملیات]]="فروش", _xlfn.XLOOKUP(T[[#This Row],[کالا]], _xlfn._xlws.FILTER(T[کالا], T[نوع عملیات]="خرید"), _xlfn._xlws.FILTER(T[فروشنده / مشتری], T[نوع عملیات]="خرید")), "")</f>
        <v/>
      </c>
    </row>
    <row r="246" spans="2:17" ht="16.5" hidden="1" x14ac:dyDescent="0.75">
      <c r="B246" s="228">
        <v>3</v>
      </c>
      <c r="C246" s="148">
        <v>12</v>
      </c>
      <c r="D246" s="148">
        <v>28</v>
      </c>
      <c r="E246" s="148" t="str">
        <f t="shared" si="14"/>
        <v>اسفند</v>
      </c>
      <c r="F246" s="149" t="s">
        <v>302</v>
      </c>
      <c r="G246" s="244"/>
      <c r="H246" s="247" t="s">
        <v>316</v>
      </c>
      <c r="I246" s="249"/>
      <c r="J246" s="251"/>
      <c r="K246" s="255"/>
      <c r="L246" s="255">
        <f t="shared" ref="L246:L268" si="16">J246*K246</f>
        <v>0</v>
      </c>
      <c r="M246" s="257">
        <v>1100000</v>
      </c>
      <c r="N246" s="258" t="s">
        <v>346</v>
      </c>
      <c r="O24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46" s="258"/>
      <c r="Q246" s="259" t="str" cm="1">
        <f t="array" ref="Q246">IF(T[[#This Row],[نوع عملیات]]="فروش", _xlfn.XLOOKUP(T[[#This Row],[کالا]], _xlfn._xlws.FILTER(T[کالا], T[نوع عملیات]="خرید"), _xlfn._xlws.FILTER(T[فروشنده / مشتری], T[نوع عملیات]="خرید")), "")</f>
        <v/>
      </c>
    </row>
    <row r="247" spans="2:17" ht="16.5" hidden="1" x14ac:dyDescent="0.75">
      <c r="B247" s="228">
        <v>3</v>
      </c>
      <c r="C247" s="148">
        <v>12</v>
      </c>
      <c r="D247" s="148">
        <v>29</v>
      </c>
      <c r="E247" s="148" t="str">
        <f t="shared" si="14"/>
        <v>اسفند</v>
      </c>
      <c r="F247" s="149" t="s">
        <v>167</v>
      </c>
      <c r="G247" s="243" t="s">
        <v>208</v>
      </c>
      <c r="H247" s="247" t="s">
        <v>211</v>
      </c>
      <c r="I247" s="188"/>
      <c r="J247" s="251">
        <v>1</v>
      </c>
      <c r="K247" s="255">
        <v>850000</v>
      </c>
      <c r="L247" s="255">
        <f t="shared" si="16"/>
        <v>850000</v>
      </c>
      <c r="M247" s="257"/>
      <c r="N247" s="258"/>
      <c r="O24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590000</v>
      </c>
      <c r="P247" s="258"/>
      <c r="Q247" s="259" t="str" cm="1">
        <f t="array" ref="Q247">IF(T[[#This Row],[نوع عملیات]]="فروش", _xlfn.XLOOKUP(T[[#This Row],[کالا]], _xlfn._xlws.FILTER(T[کالا], T[نوع عملیات]="خرید"), _xlfn._xlws.FILTER(T[فروشنده / مشتری], T[نوع عملیات]="خرید")), "")</f>
        <v>فریده</v>
      </c>
    </row>
    <row r="248" spans="2:17" ht="16.5" hidden="1" x14ac:dyDescent="0.75">
      <c r="B248" s="228">
        <v>3</v>
      </c>
      <c r="C248" s="148">
        <v>12</v>
      </c>
      <c r="D248" s="148">
        <v>29</v>
      </c>
      <c r="E248" s="148" t="str">
        <f t="shared" ref="E248:E279" si="17">CHOOSE(C248, "فروردین", "اردیبهشت", "خرداد", "تیر", "مرداد", "شهریور", "مهر", "آبان", "آذر", "دی", "بهمن", "اسفند")</f>
        <v>اسفند</v>
      </c>
      <c r="F248" s="149" t="s">
        <v>167</v>
      </c>
      <c r="G248" s="243" t="s">
        <v>227</v>
      </c>
      <c r="H248" s="247" t="s">
        <v>211</v>
      </c>
      <c r="I248" s="188"/>
      <c r="J248" s="251">
        <v>1</v>
      </c>
      <c r="K248" s="255">
        <v>850000</v>
      </c>
      <c r="L248" s="255">
        <f t="shared" si="16"/>
        <v>850000</v>
      </c>
      <c r="M248" s="257"/>
      <c r="N248" s="258"/>
      <c r="O24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248" s="258"/>
      <c r="Q248" s="259" t="str" cm="1">
        <f t="array" ref="Q248">IF(T[[#This Row],[نوع عملیات]]="فروش", _xlfn.XLOOKUP(T[[#This Row],[کالا]], _xlfn._xlws.FILTER(T[کالا], T[نوع عملیات]="خرید"), _xlfn._xlws.FILTER(T[فروشنده / مشتری], T[نوع عملیات]="خرید")), "")</f>
        <v>مهناز - تولیدی</v>
      </c>
    </row>
    <row r="249" spans="2:17" ht="16.5" hidden="1" x14ac:dyDescent="0.75">
      <c r="B249" s="228">
        <v>3</v>
      </c>
      <c r="C249" s="148">
        <v>12</v>
      </c>
      <c r="D249" s="148">
        <v>29</v>
      </c>
      <c r="E249" s="148" t="str">
        <f t="shared" si="17"/>
        <v>اسفند</v>
      </c>
      <c r="F249" s="149" t="s">
        <v>167</v>
      </c>
      <c r="G249" s="243" t="s">
        <v>232</v>
      </c>
      <c r="H249" s="247" t="s">
        <v>211</v>
      </c>
      <c r="I249" s="188"/>
      <c r="J249" s="251">
        <v>1</v>
      </c>
      <c r="K249" s="255">
        <v>750000</v>
      </c>
      <c r="L249" s="255">
        <f t="shared" si="16"/>
        <v>750000</v>
      </c>
      <c r="M249" s="257"/>
      <c r="N249" s="258"/>
      <c r="O24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249" s="258"/>
      <c r="Q249" s="259" t="str" cm="1">
        <f t="array" ref="Q249">IF(T[[#This Row],[نوع عملیات]]="فروش", _xlfn.XLOOKUP(T[[#This Row],[کالا]], _xlfn._xlws.FILTER(T[کالا], T[نوع عملیات]="خرید"), _xlfn._xlws.FILTER(T[فروشنده / مشتری], T[نوع عملیات]="خرید")), "")</f>
        <v>مهناز - تولیدی</v>
      </c>
    </row>
    <row r="250" spans="2:17" ht="16.5" hidden="1" x14ac:dyDescent="0.75">
      <c r="B250" s="228">
        <v>3</v>
      </c>
      <c r="C250" s="148">
        <v>12</v>
      </c>
      <c r="D250" s="148">
        <v>29</v>
      </c>
      <c r="E250" s="148" t="str">
        <f t="shared" si="17"/>
        <v>اسفند</v>
      </c>
      <c r="F250" s="149" t="s">
        <v>167</v>
      </c>
      <c r="G250" s="243" t="s">
        <v>333</v>
      </c>
      <c r="H250" s="247" t="s">
        <v>211</v>
      </c>
      <c r="I250" s="188"/>
      <c r="J250" s="251">
        <v>1</v>
      </c>
      <c r="K250" s="255">
        <v>300000</v>
      </c>
      <c r="L250" s="255">
        <f t="shared" si="16"/>
        <v>300000</v>
      </c>
      <c r="M250" s="257">
        <v>2750000</v>
      </c>
      <c r="N250" s="258" t="s">
        <v>298</v>
      </c>
      <c r="O25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110000</v>
      </c>
      <c r="P250" s="258"/>
      <c r="Q250" s="259" t="str" cm="1">
        <f t="array" ref="Q250">IF(T[[#This Row],[نوع عملیات]]="فروش", _xlfn.XLOOKUP(T[[#This Row],[کالا]], _xlfn._xlws.FILTER(T[کالا], T[نوع عملیات]="خرید"), _xlfn._xlws.FILTER(T[فروشنده / مشتری], T[نوع عملیات]="خرید")), "")</f>
        <v>دلگشا</v>
      </c>
    </row>
    <row r="251" spans="2:17" ht="16.5" hidden="1" x14ac:dyDescent="0.75">
      <c r="B251" s="228">
        <v>3</v>
      </c>
      <c r="C251" s="148">
        <v>12</v>
      </c>
      <c r="D251" s="148">
        <v>29</v>
      </c>
      <c r="E251" s="148" t="str">
        <f t="shared" si="17"/>
        <v>اسفند</v>
      </c>
      <c r="F251" s="149" t="s">
        <v>167</v>
      </c>
      <c r="G251" s="243" t="s">
        <v>333</v>
      </c>
      <c r="H251" s="247" t="s">
        <v>211</v>
      </c>
      <c r="I251" s="188"/>
      <c r="J251" s="251">
        <v>2</v>
      </c>
      <c r="K251" s="255">
        <v>300000</v>
      </c>
      <c r="L251" s="255">
        <f t="shared" si="16"/>
        <v>600000</v>
      </c>
      <c r="M251" s="257"/>
      <c r="N251" s="258"/>
      <c r="O25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220000</v>
      </c>
      <c r="P251" s="258"/>
      <c r="Q251" s="259" t="str" cm="1">
        <f t="array" ref="Q251">IF(T[[#This Row],[نوع عملیات]]="فروش", _xlfn.XLOOKUP(T[[#This Row],[کالا]], _xlfn._xlws.FILTER(T[کالا], T[نوع عملیات]="خرید"), _xlfn._xlws.FILTER(T[فروشنده / مشتری], T[نوع عملیات]="خرید")), "")</f>
        <v>دلگشا</v>
      </c>
    </row>
    <row r="252" spans="2:17" ht="16.5" hidden="1" x14ac:dyDescent="0.75">
      <c r="B252" s="228">
        <v>3</v>
      </c>
      <c r="C252" s="148">
        <v>12</v>
      </c>
      <c r="D252" s="148">
        <v>29</v>
      </c>
      <c r="E252" s="148" t="str">
        <f t="shared" si="17"/>
        <v>اسفند</v>
      </c>
      <c r="F252" s="149" t="s">
        <v>167</v>
      </c>
      <c r="G252" s="243" t="s">
        <v>205</v>
      </c>
      <c r="H252" s="247" t="s">
        <v>211</v>
      </c>
      <c r="I252" s="188"/>
      <c r="J252" s="251">
        <v>1</v>
      </c>
      <c r="K252" s="255">
        <v>850000</v>
      </c>
      <c r="L252" s="255">
        <f t="shared" si="16"/>
        <v>850000</v>
      </c>
      <c r="M252" s="257"/>
      <c r="N252" s="258"/>
      <c r="O25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252" s="258"/>
      <c r="Q252" s="259" t="str" cm="1">
        <f t="array" ref="Q252">IF(T[[#This Row],[نوع عملیات]]="فروش", _xlfn.XLOOKUP(T[[#This Row],[کالا]], _xlfn._xlws.FILTER(T[کالا], T[نوع عملیات]="خرید"), _xlfn._xlws.FILTER(T[فروشنده / مشتری], T[نوع عملیات]="خرید")), "")</f>
        <v>فریده</v>
      </c>
    </row>
    <row r="253" spans="2:17" ht="16.5" hidden="1" customHeight="1" x14ac:dyDescent="0.75">
      <c r="B253" s="228">
        <v>3</v>
      </c>
      <c r="C253" s="148">
        <v>12</v>
      </c>
      <c r="D253" s="148">
        <v>29</v>
      </c>
      <c r="E253" s="148" t="str">
        <f t="shared" si="17"/>
        <v>اسفند</v>
      </c>
      <c r="F253" s="149" t="s">
        <v>167</v>
      </c>
      <c r="G253" s="243" t="s">
        <v>206</v>
      </c>
      <c r="H253" s="247" t="s">
        <v>211</v>
      </c>
      <c r="I253" s="188"/>
      <c r="J253" s="251">
        <v>1</v>
      </c>
      <c r="K253" s="255">
        <v>450000</v>
      </c>
      <c r="L253" s="255">
        <f t="shared" si="16"/>
        <v>450000</v>
      </c>
      <c r="M253" s="257">
        <v>1900000</v>
      </c>
      <c r="N253" s="258" t="s">
        <v>298</v>
      </c>
      <c r="O25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v>
      </c>
      <c r="P253" s="258"/>
      <c r="Q253" s="259" t="str" cm="1">
        <f t="array" ref="Q253">IF(T[[#This Row],[نوع عملیات]]="فروش", _xlfn.XLOOKUP(T[[#This Row],[کالا]], _xlfn._xlws.FILTER(T[کالا], T[نوع عملیات]="خرید"), _xlfn._xlws.FILTER(T[فروشنده / مشتری], T[نوع عملیات]="خرید")), "")</f>
        <v>فریده</v>
      </c>
    </row>
    <row r="254" spans="2:17" ht="16.5" hidden="1" customHeight="1" x14ac:dyDescent="0.75">
      <c r="B254" s="228">
        <v>3</v>
      </c>
      <c r="C254" s="148">
        <v>12</v>
      </c>
      <c r="D254" s="148">
        <v>29</v>
      </c>
      <c r="E254" s="148" t="str">
        <f t="shared" si="17"/>
        <v>اسفند</v>
      </c>
      <c r="F254" s="149" t="s">
        <v>167</v>
      </c>
      <c r="G254" s="243" t="s">
        <v>331</v>
      </c>
      <c r="H254" s="247" t="s">
        <v>211</v>
      </c>
      <c r="I254" s="188"/>
      <c r="J254" s="251">
        <v>1</v>
      </c>
      <c r="K254" s="255">
        <v>450000</v>
      </c>
      <c r="L254" s="255">
        <f t="shared" si="16"/>
        <v>450000</v>
      </c>
      <c r="M254" s="257"/>
      <c r="N254" s="258"/>
      <c r="O25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254" s="258"/>
      <c r="Q254" s="259" t="str" cm="1">
        <f t="array" ref="Q254">IF(T[[#This Row],[نوع عملیات]]="فروش", _xlfn.XLOOKUP(T[[#This Row],[کالا]], _xlfn._xlws.FILTER(T[کالا], T[نوع عملیات]="خرید"), _xlfn._xlws.FILTER(T[فروشنده / مشتری], T[نوع عملیات]="خرید")), "")</f>
        <v>بازار</v>
      </c>
    </row>
    <row r="255" spans="2:17" ht="16.899999999999999" hidden="1" customHeight="1" x14ac:dyDescent="0.75">
      <c r="B255" s="238">
        <v>3</v>
      </c>
      <c r="C255" s="239">
        <v>12</v>
      </c>
      <c r="D255" s="239">
        <v>29</v>
      </c>
      <c r="E255" s="150" t="str">
        <f t="shared" si="17"/>
        <v>اسفند</v>
      </c>
      <c r="F255" s="151" t="s">
        <v>167</v>
      </c>
      <c r="G255" s="293" t="s">
        <v>232</v>
      </c>
      <c r="H255" s="294" t="s">
        <v>211</v>
      </c>
      <c r="I255" s="161"/>
      <c r="J255" s="251">
        <v>1</v>
      </c>
      <c r="K255" s="255">
        <v>950000</v>
      </c>
      <c r="L255" s="255">
        <f t="shared" si="16"/>
        <v>950000</v>
      </c>
      <c r="M255" s="257">
        <v>1400000</v>
      </c>
      <c r="N255" s="258" t="s">
        <v>298</v>
      </c>
      <c r="O25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255" s="258"/>
      <c r="Q255" s="259" t="str" cm="1">
        <f t="array" ref="Q255">IF(T[[#This Row],[نوع عملیات]]="فروش", _xlfn.XLOOKUP(T[[#This Row],[کالا]], _xlfn._xlws.FILTER(T[کالا], T[نوع عملیات]="خرید"), _xlfn._xlws.FILTER(T[فروشنده / مشتری], T[نوع عملیات]="خرید")), "")</f>
        <v>مهناز - تولیدی</v>
      </c>
    </row>
    <row r="256" spans="2:17" ht="16.899999999999999" hidden="1" customHeight="1" x14ac:dyDescent="0.75">
      <c r="B256" s="238">
        <v>3</v>
      </c>
      <c r="C256" s="239">
        <v>12</v>
      </c>
      <c r="D256" s="239">
        <v>29</v>
      </c>
      <c r="E256" s="150" t="str">
        <f t="shared" si="17"/>
        <v>اسفند</v>
      </c>
      <c r="F256" s="151" t="s">
        <v>167</v>
      </c>
      <c r="G256" s="293" t="s">
        <v>205</v>
      </c>
      <c r="H256" s="294" t="s">
        <v>211</v>
      </c>
      <c r="I256" s="161"/>
      <c r="J256" s="251">
        <v>1</v>
      </c>
      <c r="K256" s="255">
        <v>700000</v>
      </c>
      <c r="L256" s="255">
        <f t="shared" si="16"/>
        <v>700000</v>
      </c>
      <c r="M256" s="257"/>
      <c r="N256" s="258"/>
      <c r="O25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v>
      </c>
      <c r="P256" s="258"/>
      <c r="Q256" s="259" t="str" cm="1">
        <f t="array" ref="Q256">IF(T[[#This Row],[نوع عملیات]]="فروش", _xlfn.XLOOKUP(T[[#This Row],[کالا]], _xlfn._xlws.FILTER(T[کالا], T[نوع عملیات]="خرید"), _xlfn._xlws.FILTER(T[فروشنده / مشتری], T[نوع عملیات]="خرید")), "")</f>
        <v>فریده</v>
      </c>
    </row>
    <row r="257" spans="2:17" ht="16.899999999999999" hidden="1" customHeight="1" x14ac:dyDescent="0.75">
      <c r="B257" s="238">
        <v>3</v>
      </c>
      <c r="C257" s="239">
        <v>12</v>
      </c>
      <c r="D257" s="239">
        <v>29</v>
      </c>
      <c r="E257" s="150" t="str">
        <f t="shared" si="17"/>
        <v>اسفند</v>
      </c>
      <c r="F257" s="151" t="s">
        <v>167</v>
      </c>
      <c r="G257" s="243" t="s">
        <v>256</v>
      </c>
      <c r="H257" s="247" t="s">
        <v>211</v>
      </c>
      <c r="I257" s="161"/>
      <c r="J257" s="251">
        <v>1</v>
      </c>
      <c r="K257" s="255">
        <v>300000</v>
      </c>
      <c r="L257" s="255">
        <f t="shared" si="16"/>
        <v>300000</v>
      </c>
      <c r="M257" s="257"/>
      <c r="N257" s="258"/>
      <c r="O25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153000</v>
      </c>
      <c r="P257" s="258"/>
      <c r="Q257" s="259" t="str" cm="1">
        <f t="array" ref="Q257">IF(T[[#This Row],[نوع عملیات]]="فروش", _xlfn.XLOOKUP(T[[#This Row],[کالا]], _xlfn._xlws.FILTER(T[کالا], T[نوع عملیات]="خرید"), _xlfn._xlws.FILTER(T[فروشنده / مشتری], T[نوع عملیات]="خرید")), "")</f>
        <v>بازار</v>
      </c>
    </row>
    <row r="258" spans="2:17" ht="16.5" hidden="1" x14ac:dyDescent="0.75">
      <c r="B258" s="227">
        <v>3</v>
      </c>
      <c r="C258" s="150">
        <v>12</v>
      </c>
      <c r="D258" s="150">
        <v>29</v>
      </c>
      <c r="E258" s="150" t="str">
        <f t="shared" si="17"/>
        <v>اسفند</v>
      </c>
      <c r="F258" s="151" t="s">
        <v>167</v>
      </c>
      <c r="G258" s="243" t="s">
        <v>337</v>
      </c>
      <c r="H258" s="247" t="s">
        <v>211</v>
      </c>
      <c r="I258" s="161"/>
      <c r="J258" s="251">
        <v>1</v>
      </c>
      <c r="K258" s="255">
        <v>3200000</v>
      </c>
      <c r="L258" s="255">
        <f t="shared" si="16"/>
        <v>3200000</v>
      </c>
      <c r="M258" s="257">
        <v>4200000</v>
      </c>
      <c r="N258" s="258" t="s">
        <v>298</v>
      </c>
      <c r="O25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1500000</v>
      </c>
      <c r="P258" s="258"/>
      <c r="Q258" s="259" t="str" cm="1">
        <f t="array" ref="Q258">IF(T[[#This Row],[نوع عملیات]]="فروش", _xlfn.XLOOKUP(T[[#This Row],[کالا]], _xlfn._xlws.FILTER(T[کالا], T[نوع عملیات]="خرید"), _xlfn._xlws.FILTER(T[فروشنده / مشتری], T[نوع عملیات]="خرید")), "")</f>
        <v>دلگشا</v>
      </c>
    </row>
    <row r="259" spans="2:17" ht="16.5" hidden="1" x14ac:dyDescent="0.75">
      <c r="B259" s="227">
        <v>4</v>
      </c>
      <c r="C259" s="150">
        <v>1</v>
      </c>
      <c r="D259" s="150">
        <v>2</v>
      </c>
      <c r="E259" s="150" t="str">
        <f t="shared" si="17"/>
        <v>فروردین</v>
      </c>
      <c r="F259" s="151" t="s">
        <v>167</v>
      </c>
      <c r="G259" s="243" t="s">
        <v>212</v>
      </c>
      <c r="H259" s="247" t="s">
        <v>350</v>
      </c>
      <c r="I259" s="161"/>
      <c r="J259" s="251">
        <v>1</v>
      </c>
      <c r="K259" s="255">
        <v>1200000</v>
      </c>
      <c r="L259" s="255">
        <f t="shared" si="16"/>
        <v>1200000</v>
      </c>
      <c r="M259" s="257"/>
      <c r="N259" s="258"/>
      <c r="O25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520000</v>
      </c>
      <c r="P259" s="258"/>
      <c r="Q259" s="259" t="str" cm="1">
        <f t="array" ref="Q259">IF(T[[#This Row],[نوع عملیات]]="فروش", _xlfn.XLOOKUP(T[[#This Row],[کالا]], _xlfn._xlws.FILTER(T[کالا], T[نوع عملیات]="خرید"), _xlfn._xlws.FILTER(T[فروشنده / مشتری], T[نوع عملیات]="خرید")), "")</f>
        <v>فریده</v>
      </c>
    </row>
    <row r="260" spans="2:17" ht="16.149999999999999" hidden="1" customHeight="1" x14ac:dyDescent="0.75">
      <c r="B260" s="228">
        <v>3</v>
      </c>
      <c r="C260" s="148">
        <v>12</v>
      </c>
      <c r="D260" s="148">
        <v>26</v>
      </c>
      <c r="E260" s="148" t="str">
        <f t="shared" si="17"/>
        <v>اسفند</v>
      </c>
      <c r="F260" s="149" t="s">
        <v>167</v>
      </c>
      <c r="G260" s="243" t="s">
        <v>136</v>
      </c>
      <c r="H260" s="247" t="s">
        <v>211</v>
      </c>
      <c r="I260" s="162"/>
      <c r="J260" s="251">
        <v>1</v>
      </c>
      <c r="K260" s="254">
        <v>450000</v>
      </c>
      <c r="L260" s="255">
        <f t="shared" si="16"/>
        <v>450000</v>
      </c>
      <c r="M260" s="257">
        <v>450000</v>
      </c>
      <c r="N260" s="258" t="s">
        <v>299</v>
      </c>
      <c r="O26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260" s="258"/>
      <c r="Q260" s="259" t="str" cm="1">
        <f t="array" ref="Q260">IF(T[[#This Row],[نوع عملیات]]="فروش", _xlfn.XLOOKUP(T[[#This Row],[کالا]], _xlfn._xlws.FILTER(T[کالا], T[نوع عملیات]="خرید"), _xlfn._xlws.FILTER(T[فروشنده / مشتری], T[نوع عملیات]="خرید")), "")</f>
        <v>بازار</v>
      </c>
    </row>
    <row r="261" spans="2:17" ht="16.149999999999999" hidden="1" customHeight="1" x14ac:dyDescent="0.75">
      <c r="B261" s="228">
        <v>3</v>
      </c>
      <c r="C261" s="148">
        <v>12</v>
      </c>
      <c r="D261" s="324">
        <v>26</v>
      </c>
      <c r="E261" s="150" t="str">
        <f t="shared" si="17"/>
        <v>اسفند</v>
      </c>
      <c r="F261" s="151" t="s">
        <v>167</v>
      </c>
      <c r="G261" s="243" t="s">
        <v>266</v>
      </c>
      <c r="H261" s="247" t="s">
        <v>619</v>
      </c>
      <c r="I261" s="161"/>
      <c r="J261" s="251">
        <v>1</v>
      </c>
      <c r="K261" s="254">
        <v>400000</v>
      </c>
      <c r="L261" s="255">
        <f t="shared" si="16"/>
        <v>400000</v>
      </c>
      <c r="M261" s="257"/>
      <c r="N261" s="258"/>
      <c r="O26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261" s="258"/>
      <c r="Q261" s="259" t="str" cm="1">
        <f t="array" ref="Q261">IF(T[[#This Row],[نوع عملیات]]="فروش", _xlfn.XLOOKUP(T[[#This Row],[کالا]], _xlfn._xlws.FILTER(T[کالا], T[نوع عملیات]="خرید"), _xlfn._xlws.FILTER(T[فروشنده / مشتری], T[نوع عملیات]="خرید")), "")</f>
        <v>عبدل آباد</v>
      </c>
    </row>
    <row r="262" spans="2:17" ht="16.5" hidden="1" x14ac:dyDescent="0.75">
      <c r="B262" s="227">
        <v>4</v>
      </c>
      <c r="C262" s="150">
        <v>1</v>
      </c>
      <c r="D262" s="150">
        <v>5</v>
      </c>
      <c r="E262" s="150" t="str">
        <f t="shared" si="17"/>
        <v>فروردین</v>
      </c>
      <c r="F262" s="151" t="s">
        <v>168</v>
      </c>
      <c r="G262" s="244" t="s">
        <v>354</v>
      </c>
      <c r="H262" s="247" t="s">
        <v>392</v>
      </c>
      <c r="I262" s="162" t="s">
        <v>493</v>
      </c>
      <c r="J262" s="251">
        <v>10</v>
      </c>
      <c r="K262" s="254">
        <v>200000</v>
      </c>
      <c r="L262" s="255">
        <f t="shared" si="16"/>
        <v>2000000</v>
      </c>
      <c r="M262" s="257">
        <v>2000000</v>
      </c>
      <c r="N262" s="258" t="s">
        <v>346</v>
      </c>
      <c r="O26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62" s="258"/>
      <c r="Q262" s="259" t="str" cm="1">
        <f t="array" ref="Q262">IF(T[[#This Row],[نوع عملیات]]="فروش", _xlfn.XLOOKUP(T[[#This Row],[کالا]], _xlfn._xlws.FILTER(T[کالا], T[نوع عملیات]="خرید"), _xlfn._xlws.FILTER(T[فروشنده / مشتری], T[نوع عملیات]="خرید")), "")</f>
        <v/>
      </c>
    </row>
    <row r="263" spans="2:17" ht="16.5" hidden="1" x14ac:dyDescent="0.75">
      <c r="B263" s="227">
        <v>4</v>
      </c>
      <c r="C263" s="150">
        <v>1</v>
      </c>
      <c r="D263" s="150">
        <v>5</v>
      </c>
      <c r="E263" s="150" t="str">
        <f t="shared" si="17"/>
        <v>فروردین</v>
      </c>
      <c r="F263" s="151" t="s">
        <v>168</v>
      </c>
      <c r="G263" s="244" t="s">
        <v>355</v>
      </c>
      <c r="H263" s="247" t="s">
        <v>392</v>
      </c>
      <c r="I263" s="162" t="s">
        <v>493</v>
      </c>
      <c r="J263" s="251">
        <v>10</v>
      </c>
      <c r="K263" s="254">
        <v>111000</v>
      </c>
      <c r="L263" s="255">
        <f t="shared" si="16"/>
        <v>1110000</v>
      </c>
      <c r="M263" s="257"/>
      <c r="N263" s="258" t="s">
        <v>346</v>
      </c>
      <c r="O26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63" s="258"/>
      <c r="Q263" s="259" t="str" cm="1">
        <f t="array" ref="Q263">IF(T[[#This Row],[نوع عملیات]]="فروش", _xlfn.XLOOKUP(T[[#This Row],[کالا]], _xlfn._xlws.FILTER(T[کالا], T[نوع عملیات]="خرید"), _xlfn._xlws.FILTER(T[فروشنده / مشتری], T[نوع عملیات]="خرید")), "")</f>
        <v/>
      </c>
    </row>
    <row r="264" spans="2:17" ht="16.5" hidden="1" x14ac:dyDescent="0.75">
      <c r="B264" s="227">
        <v>4</v>
      </c>
      <c r="C264" s="150">
        <v>1</v>
      </c>
      <c r="D264" s="150">
        <v>5</v>
      </c>
      <c r="E264" s="150" t="str">
        <f t="shared" si="17"/>
        <v>فروردین</v>
      </c>
      <c r="F264" s="151" t="s">
        <v>168</v>
      </c>
      <c r="G264" s="244" t="s">
        <v>360</v>
      </c>
      <c r="H264" s="247" t="s">
        <v>392</v>
      </c>
      <c r="I264" s="162" t="s">
        <v>493</v>
      </c>
      <c r="J264" s="251">
        <v>10</v>
      </c>
      <c r="K264" s="254">
        <v>174000</v>
      </c>
      <c r="L264" s="255">
        <f t="shared" si="16"/>
        <v>1740000</v>
      </c>
      <c r="M264" s="257">
        <v>2850000</v>
      </c>
      <c r="N264" s="258" t="s">
        <v>346</v>
      </c>
      <c r="O26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64" s="258"/>
      <c r="Q264" s="259" t="str" cm="1">
        <f t="array" ref="Q264">IF(T[[#This Row],[نوع عملیات]]="فروش", _xlfn.XLOOKUP(T[[#This Row],[کالا]], _xlfn._xlws.FILTER(T[کالا], T[نوع عملیات]="خرید"), _xlfn._xlws.FILTER(T[فروشنده / مشتری], T[نوع عملیات]="خرید")), "")</f>
        <v/>
      </c>
    </row>
    <row r="265" spans="2:17" ht="16.5" hidden="1" x14ac:dyDescent="0.75">
      <c r="B265" s="227">
        <v>4</v>
      </c>
      <c r="C265" s="150">
        <v>1</v>
      </c>
      <c r="D265" s="150">
        <v>5</v>
      </c>
      <c r="E265" s="150" t="str">
        <f t="shared" si="17"/>
        <v>فروردین</v>
      </c>
      <c r="F265" s="151" t="s">
        <v>168</v>
      </c>
      <c r="G265" s="244" t="s">
        <v>356</v>
      </c>
      <c r="H265" s="247" t="s">
        <v>392</v>
      </c>
      <c r="I265" s="162" t="s">
        <v>493</v>
      </c>
      <c r="J265" s="251">
        <v>3</v>
      </c>
      <c r="K265" s="254">
        <v>320000</v>
      </c>
      <c r="L265" s="255">
        <f t="shared" si="16"/>
        <v>960000</v>
      </c>
      <c r="M265" s="257"/>
      <c r="N265" s="258" t="s">
        <v>346</v>
      </c>
      <c r="O26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65" s="258"/>
      <c r="Q265" s="259" t="str" cm="1">
        <f t="array" ref="Q265">IF(T[[#This Row],[نوع عملیات]]="فروش", _xlfn.XLOOKUP(T[[#This Row],[کالا]], _xlfn._xlws.FILTER(T[کالا], T[نوع عملیات]="خرید"), _xlfn._xlws.FILTER(T[فروشنده / مشتری], T[نوع عملیات]="خرید")), "")</f>
        <v/>
      </c>
    </row>
    <row r="266" spans="2:17" ht="16.5" hidden="1" x14ac:dyDescent="0.75">
      <c r="B266" s="227">
        <v>4</v>
      </c>
      <c r="C266" s="150">
        <v>1</v>
      </c>
      <c r="D266" s="150">
        <v>5</v>
      </c>
      <c r="E266" s="150" t="str">
        <f t="shared" si="17"/>
        <v>فروردین</v>
      </c>
      <c r="F266" s="151" t="s">
        <v>168</v>
      </c>
      <c r="G266" s="244" t="s">
        <v>357</v>
      </c>
      <c r="H266" s="247" t="s">
        <v>392</v>
      </c>
      <c r="I266" s="162" t="s">
        <v>493</v>
      </c>
      <c r="J266" s="251">
        <v>1</v>
      </c>
      <c r="K266" s="254">
        <v>290000</v>
      </c>
      <c r="L266" s="255">
        <f t="shared" si="16"/>
        <v>290000</v>
      </c>
      <c r="M266" s="257"/>
      <c r="N266" s="258" t="s">
        <v>346</v>
      </c>
      <c r="O26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66" s="258"/>
      <c r="Q266" s="259" t="str" cm="1">
        <f t="array" ref="Q266">IF(T[[#This Row],[نوع عملیات]]="فروش", _xlfn.XLOOKUP(T[[#This Row],[کالا]], _xlfn._xlws.FILTER(T[کالا], T[نوع عملیات]="خرید"), _xlfn._xlws.FILTER(T[فروشنده / مشتری], T[نوع عملیات]="خرید")), "")</f>
        <v/>
      </c>
    </row>
    <row r="267" spans="2:17" ht="16.5" hidden="1" x14ac:dyDescent="0.75">
      <c r="B267" s="227">
        <v>4</v>
      </c>
      <c r="C267" s="150">
        <v>1</v>
      </c>
      <c r="D267" s="150">
        <v>5</v>
      </c>
      <c r="E267" s="150" t="str">
        <f t="shared" si="17"/>
        <v>فروردین</v>
      </c>
      <c r="F267" s="151" t="s">
        <v>168</v>
      </c>
      <c r="G267" s="244" t="s">
        <v>358</v>
      </c>
      <c r="H267" s="247" t="s">
        <v>392</v>
      </c>
      <c r="I267" s="162" t="s">
        <v>493</v>
      </c>
      <c r="J267" s="251">
        <v>1</v>
      </c>
      <c r="K267" s="254">
        <v>480000</v>
      </c>
      <c r="L267" s="255">
        <f t="shared" si="16"/>
        <v>480000</v>
      </c>
      <c r="M267" s="257"/>
      <c r="N267" s="258" t="s">
        <v>346</v>
      </c>
      <c r="O26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67" s="258"/>
      <c r="Q267" s="259" t="str" cm="1">
        <f t="array" ref="Q267">IF(T[[#This Row],[نوع عملیات]]="فروش", _xlfn.XLOOKUP(T[[#This Row],[کالا]], _xlfn._xlws.FILTER(T[کالا], T[نوع عملیات]="خرید"), _xlfn._xlws.FILTER(T[فروشنده / مشتری], T[نوع عملیات]="خرید")), "")</f>
        <v/>
      </c>
    </row>
    <row r="268" spans="2:17" ht="16.5" hidden="1" x14ac:dyDescent="0.75">
      <c r="B268" s="227">
        <v>4</v>
      </c>
      <c r="C268" s="150">
        <v>1</v>
      </c>
      <c r="D268" s="150">
        <v>5</v>
      </c>
      <c r="E268" s="150" t="str">
        <f t="shared" si="17"/>
        <v>فروردین</v>
      </c>
      <c r="F268" s="151" t="s">
        <v>168</v>
      </c>
      <c r="G268" s="244" t="s">
        <v>359</v>
      </c>
      <c r="H268" s="247" t="s">
        <v>392</v>
      </c>
      <c r="I268" s="162" t="s">
        <v>493</v>
      </c>
      <c r="J268" s="251">
        <v>1</v>
      </c>
      <c r="K268" s="254">
        <v>220000</v>
      </c>
      <c r="L268" s="255">
        <f t="shared" si="16"/>
        <v>220000</v>
      </c>
      <c r="M268" s="257">
        <v>1950000</v>
      </c>
      <c r="N268" s="258" t="s">
        <v>346</v>
      </c>
      <c r="O26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68" s="258"/>
      <c r="Q268" s="259" t="str" cm="1">
        <f t="array" ref="Q268">IF(T[[#This Row],[نوع عملیات]]="فروش", _xlfn.XLOOKUP(T[[#This Row],[کالا]], _xlfn._xlws.FILTER(T[کالا], T[نوع عملیات]="خرید"), _xlfn._xlws.FILTER(T[فروشنده / مشتری], T[نوع عملیات]="خرید")), "")</f>
        <v/>
      </c>
    </row>
    <row r="269" spans="2:17" ht="16.5" hidden="1" x14ac:dyDescent="0.75">
      <c r="B269" s="228">
        <v>4</v>
      </c>
      <c r="C269" s="148">
        <v>1</v>
      </c>
      <c r="D269" s="148">
        <v>5</v>
      </c>
      <c r="E269" s="148" t="str">
        <f t="shared" si="17"/>
        <v>فروردین</v>
      </c>
      <c r="F269" s="149" t="s">
        <v>168</v>
      </c>
      <c r="G269" s="244" t="s">
        <v>353</v>
      </c>
      <c r="H269" s="247" t="s">
        <v>392</v>
      </c>
      <c r="I269" s="162" t="s">
        <v>493</v>
      </c>
      <c r="J269" s="251">
        <v>17</v>
      </c>
      <c r="K269" s="255">
        <f>L269/J269</f>
        <v>347058.82352941175</v>
      </c>
      <c r="L269" s="255">
        <v>5900000</v>
      </c>
      <c r="M269" s="257">
        <v>5900000</v>
      </c>
      <c r="N269" s="258" t="s">
        <v>346</v>
      </c>
      <c r="O26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69" s="258"/>
      <c r="Q269" s="259" t="str" cm="1">
        <f t="array" ref="Q269">IF(T[[#This Row],[نوع عملیات]]="فروش", _xlfn.XLOOKUP(T[[#This Row],[کالا]], _xlfn._xlws.FILTER(T[کالا], T[نوع عملیات]="خرید"), _xlfn._xlws.FILTER(T[فروشنده / مشتری], T[نوع عملیات]="خرید")), "")</f>
        <v/>
      </c>
    </row>
    <row r="270" spans="2:17" ht="16.5" hidden="1" x14ac:dyDescent="0.75">
      <c r="B270" s="228">
        <v>4</v>
      </c>
      <c r="C270" s="148">
        <v>1</v>
      </c>
      <c r="D270" s="148">
        <v>5</v>
      </c>
      <c r="E270" s="148" t="str">
        <f t="shared" si="17"/>
        <v>فروردین</v>
      </c>
      <c r="F270" s="149" t="s">
        <v>297</v>
      </c>
      <c r="G270" s="244" t="s">
        <v>374</v>
      </c>
      <c r="H270" s="247"/>
      <c r="I270" s="249"/>
      <c r="J270" s="251"/>
      <c r="K270" s="255"/>
      <c r="L270" s="255">
        <f t="shared" ref="L270:L276" si="18">J270*K270</f>
        <v>0</v>
      </c>
      <c r="M270" s="257">
        <f>150000+125000+40700</f>
        <v>315700</v>
      </c>
      <c r="N270" s="258" t="s">
        <v>346</v>
      </c>
      <c r="O27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70" s="258"/>
      <c r="Q270" s="259" t="str" cm="1">
        <f t="array" ref="Q270">IF(T[[#This Row],[نوع عملیات]]="فروش", _xlfn.XLOOKUP(T[[#This Row],[کالا]], _xlfn._xlws.FILTER(T[کالا], T[نوع عملیات]="خرید"), _xlfn._xlws.FILTER(T[فروشنده / مشتری], T[نوع عملیات]="خرید")), "")</f>
        <v/>
      </c>
    </row>
    <row r="271" spans="2:17" ht="16.5" hidden="1" x14ac:dyDescent="0.75">
      <c r="B271" s="228">
        <v>4</v>
      </c>
      <c r="C271" s="148">
        <v>1</v>
      </c>
      <c r="D271" s="148">
        <v>5</v>
      </c>
      <c r="E271" s="148" t="str">
        <f t="shared" si="17"/>
        <v>فروردین</v>
      </c>
      <c r="F271" s="149" t="s">
        <v>167</v>
      </c>
      <c r="G271" s="243" t="s">
        <v>270</v>
      </c>
      <c r="H271" s="247" t="s">
        <v>351</v>
      </c>
      <c r="I271" s="188"/>
      <c r="J271" s="251">
        <v>1</v>
      </c>
      <c r="K271" s="255">
        <v>400000</v>
      </c>
      <c r="L271" s="255">
        <f t="shared" si="18"/>
        <v>400000</v>
      </c>
      <c r="M271" s="257"/>
      <c r="N271" s="258"/>
      <c r="O27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180000</v>
      </c>
      <c r="P271" s="258"/>
      <c r="Q271" s="259" t="str" cm="1">
        <f t="array" ref="Q271">IF(T[[#This Row],[نوع عملیات]]="فروش", _xlfn.XLOOKUP(T[[#This Row],[کالا]], _xlfn._xlws.FILTER(T[کالا], T[نوع عملیات]="خرید"), _xlfn._xlws.FILTER(T[فروشنده / مشتری], T[نوع عملیات]="خرید")), "")</f>
        <v>بازار</v>
      </c>
    </row>
    <row r="272" spans="2:17" ht="16.5" hidden="1" x14ac:dyDescent="0.75">
      <c r="B272" s="228">
        <v>4</v>
      </c>
      <c r="C272" s="148">
        <v>1</v>
      </c>
      <c r="D272" s="148">
        <v>5</v>
      </c>
      <c r="E272" s="148" t="str">
        <f t="shared" si="17"/>
        <v>فروردین</v>
      </c>
      <c r="F272" s="149" t="s">
        <v>167</v>
      </c>
      <c r="G272" s="243" t="s">
        <v>353</v>
      </c>
      <c r="H272" s="247" t="s">
        <v>352</v>
      </c>
      <c r="I272" s="188"/>
      <c r="J272" s="251">
        <v>4</v>
      </c>
      <c r="K272" s="255">
        <v>400000</v>
      </c>
      <c r="L272" s="255">
        <f t="shared" si="18"/>
        <v>1600000</v>
      </c>
      <c r="M272" s="257"/>
      <c r="N272" s="258"/>
      <c r="O27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211764.70588235301</v>
      </c>
      <c r="P272" s="258"/>
      <c r="Q272" s="259" t="str" cm="1">
        <f t="array" ref="Q272">IF(T[[#This Row],[نوع عملیات]]="فروش", _xlfn.XLOOKUP(T[[#This Row],[کالا]], _xlfn._xlws.FILTER(T[کالا], T[نوع عملیات]="خرید"), _xlfn._xlws.FILTER(T[فروشنده / مشتری], T[نوع عملیات]="خرید")), "")</f>
        <v>بازار</v>
      </c>
    </row>
    <row r="273" spans="2:17" ht="16.5" hidden="1" x14ac:dyDescent="0.75">
      <c r="B273" s="228">
        <v>4</v>
      </c>
      <c r="C273" s="148">
        <v>1</v>
      </c>
      <c r="D273" s="148">
        <v>5</v>
      </c>
      <c r="E273" s="148" t="str">
        <f t="shared" si="17"/>
        <v>فروردین</v>
      </c>
      <c r="F273" s="149" t="s">
        <v>167</v>
      </c>
      <c r="G273" s="243" t="s">
        <v>206</v>
      </c>
      <c r="H273" s="247" t="s">
        <v>352</v>
      </c>
      <c r="I273" s="188"/>
      <c r="J273" s="251">
        <v>1</v>
      </c>
      <c r="K273" s="255">
        <v>450000</v>
      </c>
      <c r="L273" s="255">
        <f t="shared" si="18"/>
        <v>450000</v>
      </c>
      <c r="M273" s="257"/>
      <c r="N273" s="258"/>
      <c r="O27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v>
      </c>
      <c r="P273" s="258"/>
      <c r="Q273" s="259" t="str" cm="1">
        <f t="array" ref="Q273">IF(T[[#This Row],[نوع عملیات]]="فروش", _xlfn.XLOOKUP(T[[#This Row],[کالا]], _xlfn._xlws.FILTER(T[کالا], T[نوع عملیات]="خرید"), _xlfn._xlws.FILTER(T[فروشنده / مشتری], T[نوع عملیات]="خرید")), "")</f>
        <v>فریده</v>
      </c>
    </row>
    <row r="274" spans="2:17" ht="16.5" hidden="1" x14ac:dyDescent="0.75">
      <c r="B274" s="228">
        <v>4</v>
      </c>
      <c r="C274" s="148">
        <v>1</v>
      </c>
      <c r="D274" s="148">
        <v>7</v>
      </c>
      <c r="E274" s="148" t="str">
        <f t="shared" si="17"/>
        <v>فروردین</v>
      </c>
      <c r="F274" s="149" t="s">
        <v>167</v>
      </c>
      <c r="G274" s="243" t="s">
        <v>220</v>
      </c>
      <c r="H274" s="247" t="s">
        <v>130</v>
      </c>
      <c r="I274" s="249"/>
      <c r="J274" s="251">
        <v>1</v>
      </c>
      <c r="K274" s="255">
        <v>900000</v>
      </c>
      <c r="L274" s="255">
        <f t="shared" si="18"/>
        <v>900000</v>
      </c>
      <c r="M274" s="257"/>
      <c r="N274" s="258" t="s">
        <v>346</v>
      </c>
      <c r="O27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274" s="258"/>
      <c r="Q274" s="259" t="str" cm="1">
        <f t="array" ref="Q274">IF(T[[#This Row],[نوع عملیات]]="فروش", _xlfn.XLOOKUP(T[[#This Row],[کالا]], _xlfn._xlws.FILTER(T[کالا], T[نوع عملیات]="خرید"), _xlfn._xlws.FILTER(T[فروشنده / مشتری], T[نوع عملیات]="خرید")), "")</f>
        <v>مهناز - تولیدی</v>
      </c>
    </row>
    <row r="275" spans="2:17" ht="16.5" hidden="1" x14ac:dyDescent="0.75">
      <c r="B275" s="227">
        <v>4</v>
      </c>
      <c r="C275" s="150">
        <v>1</v>
      </c>
      <c r="D275" s="150">
        <v>7</v>
      </c>
      <c r="E275" s="150" t="str">
        <f t="shared" si="17"/>
        <v>فروردین</v>
      </c>
      <c r="F275" s="151" t="s">
        <v>167</v>
      </c>
      <c r="G275" s="243" t="s">
        <v>353</v>
      </c>
      <c r="H275" s="247" t="s">
        <v>130</v>
      </c>
      <c r="I275" s="162"/>
      <c r="J275" s="251">
        <v>1</v>
      </c>
      <c r="K275" s="254">
        <v>400000</v>
      </c>
      <c r="L275" s="255">
        <f t="shared" si="18"/>
        <v>400000</v>
      </c>
      <c r="M275" s="257">
        <v>700000</v>
      </c>
      <c r="N275" s="258" t="s">
        <v>346</v>
      </c>
      <c r="O27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52941.176470588252</v>
      </c>
      <c r="P275" s="258"/>
      <c r="Q275" s="259" t="str" cm="1">
        <f t="array" ref="Q275">IF(T[[#This Row],[نوع عملیات]]="فروش", _xlfn.XLOOKUP(T[[#This Row],[کالا]], _xlfn._xlws.FILTER(T[کالا], T[نوع عملیات]="خرید"), _xlfn._xlws.FILTER(T[فروشنده / مشتری], T[نوع عملیات]="خرید")), "")</f>
        <v>بازار</v>
      </c>
    </row>
    <row r="276" spans="2:17" ht="16.5" hidden="1" x14ac:dyDescent="0.75">
      <c r="B276" s="227">
        <v>4</v>
      </c>
      <c r="C276" s="150">
        <v>1</v>
      </c>
      <c r="D276" s="150">
        <v>7</v>
      </c>
      <c r="E276" s="150" t="str">
        <f t="shared" si="17"/>
        <v>فروردین</v>
      </c>
      <c r="F276" s="151" t="s">
        <v>167</v>
      </c>
      <c r="G276" s="243" t="s">
        <v>360</v>
      </c>
      <c r="H276" s="247" t="s">
        <v>130</v>
      </c>
      <c r="I276" s="162"/>
      <c r="J276" s="251">
        <v>1</v>
      </c>
      <c r="K276" s="254">
        <v>500000</v>
      </c>
      <c r="L276" s="255">
        <f t="shared" si="18"/>
        <v>500000</v>
      </c>
      <c r="M276" s="257">
        <v>1800000</v>
      </c>
      <c r="N276" s="258" t="s">
        <v>346</v>
      </c>
      <c r="O27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326000</v>
      </c>
      <c r="P276" s="258"/>
      <c r="Q276" s="259" t="str" cm="1">
        <f t="array" ref="Q276">IF(T[[#This Row],[نوع عملیات]]="فروش", _xlfn.XLOOKUP(T[[#This Row],[کالا]], _xlfn._xlws.FILTER(T[کالا], T[نوع عملیات]="خرید"), _xlfn._xlws.FILTER(T[فروشنده / مشتری], T[نوع عملیات]="خرید")), "")</f>
        <v>بازار</v>
      </c>
    </row>
    <row r="277" spans="2:17" ht="16.5" hidden="1" x14ac:dyDescent="0.75">
      <c r="B277" s="227">
        <v>4</v>
      </c>
      <c r="C277" s="150">
        <v>1</v>
      </c>
      <c r="D277" s="150">
        <v>8</v>
      </c>
      <c r="E277" s="150" t="str">
        <f t="shared" si="17"/>
        <v>فروردین</v>
      </c>
      <c r="F277" s="151" t="s">
        <v>302</v>
      </c>
      <c r="G277" s="244"/>
      <c r="H277" s="247" t="s">
        <v>282</v>
      </c>
      <c r="I277" s="162"/>
      <c r="J277" s="251"/>
      <c r="K277" s="254"/>
      <c r="L277" s="255"/>
      <c r="M277" s="257">
        <v>900000</v>
      </c>
      <c r="N277" s="258" t="s">
        <v>346</v>
      </c>
      <c r="O27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77" s="258"/>
      <c r="Q277" s="259" t="str" cm="1">
        <f t="array" ref="Q277">IF(T[[#This Row],[نوع عملیات]]="فروش", _xlfn.XLOOKUP(T[[#This Row],[کالا]], _xlfn._xlws.FILTER(T[کالا], T[نوع عملیات]="خرید"), _xlfn._xlws.FILTER(T[فروشنده / مشتری], T[نوع عملیات]="خرید")), "")</f>
        <v/>
      </c>
    </row>
    <row r="278" spans="2:17" ht="16.5" hidden="1" x14ac:dyDescent="0.75">
      <c r="B278" s="227">
        <v>4</v>
      </c>
      <c r="C278" s="150">
        <v>1</v>
      </c>
      <c r="D278" s="150">
        <v>8</v>
      </c>
      <c r="E278" s="150" t="str">
        <f t="shared" si="17"/>
        <v>فروردین</v>
      </c>
      <c r="F278" s="151" t="s">
        <v>302</v>
      </c>
      <c r="G278" s="244"/>
      <c r="H278" s="247" t="s">
        <v>288</v>
      </c>
      <c r="I278" s="162"/>
      <c r="J278" s="251"/>
      <c r="K278" s="254"/>
      <c r="L278" s="255"/>
      <c r="M278" s="257">
        <v>350000</v>
      </c>
      <c r="N278" s="258" t="s">
        <v>346</v>
      </c>
      <c r="O27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78" s="258"/>
      <c r="Q278" s="259" t="str" cm="1">
        <f t="array" ref="Q278">IF(T[[#This Row],[نوع عملیات]]="فروش", _xlfn.XLOOKUP(T[[#This Row],[کالا]], _xlfn._xlws.FILTER(T[کالا], T[نوع عملیات]="خرید"), _xlfn._xlws.FILTER(T[فروشنده / مشتری], T[نوع عملیات]="خرید")), "")</f>
        <v/>
      </c>
    </row>
    <row r="279" spans="2:17" ht="16.5" hidden="1" x14ac:dyDescent="0.75">
      <c r="B279" s="227">
        <v>4</v>
      </c>
      <c r="C279" s="150">
        <v>1</v>
      </c>
      <c r="D279" s="150">
        <v>9</v>
      </c>
      <c r="E279" s="150" t="str">
        <f t="shared" si="17"/>
        <v>فروردین</v>
      </c>
      <c r="F279" s="151" t="s">
        <v>168</v>
      </c>
      <c r="G279" s="244" t="s">
        <v>361</v>
      </c>
      <c r="H279" s="247" t="s">
        <v>392</v>
      </c>
      <c r="I279" s="162" t="s">
        <v>493</v>
      </c>
      <c r="J279" s="251">
        <v>6</v>
      </c>
      <c r="K279" s="254">
        <f>L279/J279</f>
        <v>683333.33333333337</v>
      </c>
      <c r="L279" s="255">
        <v>4100000</v>
      </c>
      <c r="M279" s="257">
        <v>4100000</v>
      </c>
      <c r="N279" s="258" t="s">
        <v>304</v>
      </c>
      <c r="O27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79" s="258"/>
      <c r="Q279" s="259" t="str" cm="1">
        <f t="array" ref="Q279">IF(T[[#This Row],[نوع عملیات]]="فروش", _xlfn.XLOOKUP(T[[#This Row],[کالا]], _xlfn._xlws.FILTER(T[کالا], T[نوع عملیات]="خرید"), _xlfn._xlws.FILTER(T[فروشنده / مشتری], T[نوع عملیات]="خرید")), "")</f>
        <v/>
      </c>
    </row>
    <row r="280" spans="2:17" ht="16.5" hidden="1" x14ac:dyDescent="0.75">
      <c r="B280" s="227">
        <v>4</v>
      </c>
      <c r="C280" s="150">
        <v>1</v>
      </c>
      <c r="D280" s="150">
        <v>9</v>
      </c>
      <c r="E280" s="150" t="str">
        <f t="shared" ref="E280:E311" si="19">CHOOSE(C280, "فروردین", "اردیبهشت", "خرداد", "تیر", "مرداد", "شهریور", "مهر", "آبان", "آذر", "دی", "بهمن", "اسفند")</f>
        <v>فروردین</v>
      </c>
      <c r="F280" s="151" t="s">
        <v>168</v>
      </c>
      <c r="G280" s="244" t="s">
        <v>362</v>
      </c>
      <c r="H280" s="247" t="s">
        <v>392</v>
      </c>
      <c r="I280" s="162" t="s">
        <v>493</v>
      </c>
      <c r="J280" s="251">
        <v>8</v>
      </c>
      <c r="K280" s="254">
        <v>97500</v>
      </c>
      <c r="L280" s="255">
        <f>J280*K280</f>
        <v>780000</v>
      </c>
      <c r="M280" s="257">
        <v>780000</v>
      </c>
      <c r="N280" s="258" t="s">
        <v>304</v>
      </c>
      <c r="O28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0" s="258"/>
      <c r="Q280" s="259" t="str" cm="1">
        <f t="array" ref="Q280">IF(T[[#This Row],[نوع عملیات]]="فروش", _xlfn.XLOOKUP(T[[#This Row],[کالا]], _xlfn._xlws.FILTER(T[کالا], T[نوع عملیات]="خرید"), _xlfn._xlws.FILTER(T[فروشنده / مشتری], T[نوع عملیات]="خرید")), "")</f>
        <v/>
      </c>
    </row>
    <row r="281" spans="2:17" ht="16.5" hidden="1" x14ac:dyDescent="0.75">
      <c r="B281" s="227">
        <v>4</v>
      </c>
      <c r="C281" s="150">
        <v>1</v>
      </c>
      <c r="D281" s="150">
        <v>9</v>
      </c>
      <c r="E281" s="150" t="str">
        <f t="shared" si="19"/>
        <v>فروردین</v>
      </c>
      <c r="F281" s="151" t="s">
        <v>168</v>
      </c>
      <c r="G281" s="244" t="s">
        <v>363</v>
      </c>
      <c r="H281" s="247" t="s">
        <v>392</v>
      </c>
      <c r="I281" s="162" t="s">
        <v>493</v>
      </c>
      <c r="J281" s="251">
        <v>3</v>
      </c>
      <c r="K281" s="254">
        <v>380000</v>
      </c>
      <c r="L281" s="255">
        <f>J281*K281</f>
        <v>1140000</v>
      </c>
      <c r="M281" s="257"/>
      <c r="N281" s="258" t="s">
        <v>304</v>
      </c>
      <c r="O28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1" s="258"/>
      <c r="Q281" s="259" t="str" cm="1">
        <f t="array" ref="Q281">IF(T[[#This Row],[نوع عملیات]]="فروش", _xlfn.XLOOKUP(T[[#This Row],[کالا]], _xlfn._xlws.FILTER(T[کالا], T[نوع عملیات]="خرید"), _xlfn._xlws.FILTER(T[فروشنده / مشتری], T[نوع عملیات]="خرید")), "")</f>
        <v/>
      </c>
    </row>
    <row r="282" spans="2:17" ht="16.5" hidden="1" x14ac:dyDescent="0.75">
      <c r="B282" s="227">
        <v>4</v>
      </c>
      <c r="C282" s="150">
        <v>1</v>
      </c>
      <c r="D282" s="150">
        <v>9</v>
      </c>
      <c r="E282" s="150" t="str">
        <f t="shared" si="19"/>
        <v>فروردین</v>
      </c>
      <c r="F282" s="151" t="s">
        <v>168</v>
      </c>
      <c r="G282" s="244" t="s">
        <v>364</v>
      </c>
      <c r="H282" s="247" t="s">
        <v>392</v>
      </c>
      <c r="I282" s="162" t="s">
        <v>493</v>
      </c>
      <c r="J282" s="251">
        <v>3</v>
      </c>
      <c r="K282" s="254">
        <v>530000</v>
      </c>
      <c r="L282" s="255">
        <f>J282*K282</f>
        <v>1590000</v>
      </c>
      <c r="M282" s="257"/>
      <c r="N282" s="258" t="s">
        <v>304</v>
      </c>
      <c r="O28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2" s="258"/>
      <c r="Q282" s="259" t="str" cm="1">
        <f t="array" ref="Q282">IF(T[[#This Row],[نوع عملیات]]="فروش", _xlfn.XLOOKUP(T[[#This Row],[کالا]], _xlfn._xlws.FILTER(T[کالا], T[نوع عملیات]="خرید"), _xlfn._xlws.FILTER(T[فروشنده / مشتری], T[نوع عملیات]="خرید")), "")</f>
        <v/>
      </c>
    </row>
    <row r="283" spans="2:17" ht="16.5" hidden="1" x14ac:dyDescent="0.75">
      <c r="B283" s="227">
        <v>4</v>
      </c>
      <c r="C283" s="150">
        <v>1</v>
      </c>
      <c r="D283" s="150">
        <v>9</v>
      </c>
      <c r="E283" s="150" t="str">
        <f t="shared" si="19"/>
        <v>فروردین</v>
      </c>
      <c r="F283" s="151" t="s">
        <v>168</v>
      </c>
      <c r="G283" s="244" t="s">
        <v>365</v>
      </c>
      <c r="H283" s="247" t="s">
        <v>392</v>
      </c>
      <c r="I283" s="162" t="s">
        <v>493</v>
      </c>
      <c r="J283" s="251">
        <v>3</v>
      </c>
      <c r="K283" s="254">
        <v>700000</v>
      </c>
      <c r="L283" s="255">
        <f>J283*K283</f>
        <v>2100000</v>
      </c>
      <c r="M283" s="257"/>
      <c r="N283" s="258" t="s">
        <v>304</v>
      </c>
      <c r="O28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3" s="258"/>
      <c r="Q283" s="259" t="str" cm="1">
        <f t="array" ref="Q283">IF(T[[#This Row],[نوع عملیات]]="فروش", _xlfn.XLOOKUP(T[[#This Row],[کالا]], _xlfn._xlws.FILTER(T[کالا], T[نوع عملیات]="خرید"), _xlfn._xlws.FILTER(T[فروشنده / مشتری], T[نوع عملیات]="خرید")), "")</f>
        <v/>
      </c>
    </row>
    <row r="284" spans="2:17" ht="16.5" hidden="1" x14ac:dyDescent="0.75">
      <c r="B284" s="227">
        <v>4</v>
      </c>
      <c r="C284" s="150">
        <v>1</v>
      </c>
      <c r="D284" s="150">
        <v>9</v>
      </c>
      <c r="E284" s="150" t="str">
        <f t="shared" si="19"/>
        <v>فروردین</v>
      </c>
      <c r="F284" s="151" t="s">
        <v>168</v>
      </c>
      <c r="G284" s="244" t="s">
        <v>375</v>
      </c>
      <c r="H284" s="247" t="s">
        <v>392</v>
      </c>
      <c r="I284" s="162" t="s">
        <v>493</v>
      </c>
      <c r="J284" s="251">
        <v>3</v>
      </c>
      <c r="K284" s="254">
        <f>L284/J284</f>
        <v>556666.66666666663</v>
      </c>
      <c r="L284" s="255">
        <v>1670000</v>
      </c>
      <c r="M284" s="257">
        <v>6500000</v>
      </c>
      <c r="N284" s="258" t="s">
        <v>304</v>
      </c>
      <c r="O28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4" s="258"/>
      <c r="Q284" s="259" t="str" cm="1">
        <f t="array" ref="Q284">IF(T[[#This Row],[نوع عملیات]]="فروش", _xlfn.XLOOKUP(T[[#This Row],[کالا]], _xlfn._xlws.FILTER(T[کالا], T[نوع عملیات]="خرید"), _xlfn._xlws.FILTER(T[فروشنده / مشتری], T[نوع عملیات]="خرید")), "")</f>
        <v/>
      </c>
    </row>
    <row r="285" spans="2:17" ht="16.5" hidden="1" x14ac:dyDescent="0.75">
      <c r="B285" s="227">
        <v>4</v>
      </c>
      <c r="C285" s="150">
        <v>1</v>
      </c>
      <c r="D285" s="150">
        <v>9</v>
      </c>
      <c r="E285" s="150" t="str">
        <f t="shared" si="19"/>
        <v>فروردین</v>
      </c>
      <c r="F285" s="151" t="s">
        <v>168</v>
      </c>
      <c r="G285" s="244" t="s">
        <v>366</v>
      </c>
      <c r="H285" s="247" t="s">
        <v>392</v>
      </c>
      <c r="I285" s="162" t="s">
        <v>493</v>
      </c>
      <c r="J285" s="251">
        <v>4</v>
      </c>
      <c r="K285" s="254">
        <v>330000</v>
      </c>
      <c r="L285" s="255">
        <f t="shared" ref="L285:L291" si="20">J285*K285</f>
        <v>1320000</v>
      </c>
      <c r="M285" s="257">
        <v>1320000</v>
      </c>
      <c r="N285" s="258" t="s">
        <v>304</v>
      </c>
      <c r="O28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5" s="258"/>
      <c r="Q285" s="259" t="str" cm="1">
        <f t="array" ref="Q285">IF(T[[#This Row],[نوع عملیات]]="فروش", _xlfn.XLOOKUP(T[[#This Row],[کالا]], _xlfn._xlws.FILTER(T[کالا], T[نوع عملیات]="خرید"), _xlfn._xlws.FILTER(T[فروشنده / مشتری], T[نوع عملیات]="خرید")), "")</f>
        <v/>
      </c>
    </row>
    <row r="286" spans="2:17" ht="16.5" hidden="1" x14ac:dyDescent="0.75">
      <c r="B286" s="227">
        <v>4</v>
      </c>
      <c r="C286" s="150">
        <v>1</v>
      </c>
      <c r="D286" s="150">
        <v>9</v>
      </c>
      <c r="E286" s="150" t="str">
        <f t="shared" si="19"/>
        <v>فروردین</v>
      </c>
      <c r="F286" s="151" t="s">
        <v>168</v>
      </c>
      <c r="G286" s="244" t="s">
        <v>367</v>
      </c>
      <c r="H286" s="247" t="s">
        <v>392</v>
      </c>
      <c r="I286" s="162" t="s">
        <v>493</v>
      </c>
      <c r="J286" s="251">
        <v>2</v>
      </c>
      <c r="K286" s="254">
        <v>1250000</v>
      </c>
      <c r="L286" s="255">
        <f t="shared" si="20"/>
        <v>2500000</v>
      </c>
      <c r="M286" s="257">
        <v>2500000</v>
      </c>
      <c r="N286" s="258" t="s">
        <v>304</v>
      </c>
      <c r="O28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6" s="258"/>
      <c r="Q286" s="259" t="str" cm="1">
        <f t="array" ref="Q286">IF(T[[#This Row],[نوع عملیات]]="فروش", _xlfn.XLOOKUP(T[[#This Row],[کالا]], _xlfn._xlws.FILTER(T[کالا], T[نوع عملیات]="خرید"), _xlfn._xlws.FILTER(T[فروشنده / مشتری], T[نوع عملیات]="خرید")), "")</f>
        <v/>
      </c>
    </row>
    <row r="287" spans="2:17" ht="16.5" hidden="1" x14ac:dyDescent="0.75">
      <c r="B287" s="227">
        <v>4</v>
      </c>
      <c r="C287" s="150">
        <v>1</v>
      </c>
      <c r="D287" s="150">
        <v>9</v>
      </c>
      <c r="E287" s="150" t="str">
        <f t="shared" si="19"/>
        <v>فروردین</v>
      </c>
      <c r="F287" s="151" t="s">
        <v>168</v>
      </c>
      <c r="G287" s="244" t="s">
        <v>368</v>
      </c>
      <c r="H287" s="247" t="s">
        <v>392</v>
      </c>
      <c r="I287" s="162" t="s">
        <v>493</v>
      </c>
      <c r="J287" s="251">
        <v>6</v>
      </c>
      <c r="K287" s="254">
        <v>218000</v>
      </c>
      <c r="L287" s="255">
        <f t="shared" si="20"/>
        <v>1308000</v>
      </c>
      <c r="M287" s="257"/>
      <c r="N287" s="258" t="s">
        <v>304</v>
      </c>
      <c r="O28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7" s="258"/>
      <c r="Q287" s="259" t="str" cm="1">
        <f t="array" ref="Q287">IF(T[[#This Row],[نوع عملیات]]="فروش", _xlfn.XLOOKUP(T[[#This Row],[کالا]], _xlfn._xlws.FILTER(T[کالا], T[نوع عملیات]="خرید"), _xlfn._xlws.FILTER(T[فروشنده / مشتری], T[نوع عملیات]="خرید")), "")</f>
        <v/>
      </c>
    </row>
    <row r="288" spans="2:17" ht="16.5" hidden="1" x14ac:dyDescent="0.75">
      <c r="B288" s="227">
        <v>4</v>
      </c>
      <c r="C288" s="150">
        <v>1</v>
      </c>
      <c r="D288" s="150">
        <v>9</v>
      </c>
      <c r="E288" s="150" t="str">
        <f t="shared" si="19"/>
        <v>فروردین</v>
      </c>
      <c r="F288" s="151" t="s">
        <v>168</v>
      </c>
      <c r="G288" s="244" t="s">
        <v>369</v>
      </c>
      <c r="H288" s="247" t="s">
        <v>392</v>
      </c>
      <c r="I288" s="162" t="s">
        <v>493</v>
      </c>
      <c r="J288" s="251">
        <v>6</v>
      </c>
      <c r="K288" s="254">
        <v>298000</v>
      </c>
      <c r="L288" s="255">
        <f t="shared" si="20"/>
        <v>1788000</v>
      </c>
      <c r="M288" s="257"/>
      <c r="N288" s="258" t="s">
        <v>304</v>
      </c>
      <c r="O28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8" s="258"/>
      <c r="Q288" s="259" t="str" cm="1">
        <f t="array" ref="Q288">IF(T[[#This Row],[نوع عملیات]]="فروش", _xlfn.XLOOKUP(T[[#This Row],[کالا]], _xlfn._xlws.FILTER(T[کالا], T[نوع عملیات]="خرید"), _xlfn._xlws.FILTER(T[فروشنده / مشتری], T[نوع عملیات]="خرید")), "")</f>
        <v/>
      </c>
    </row>
    <row r="289" spans="2:17" ht="16.5" hidden="1" x14ac:dyDescent="0.75">
      <c r="B289" s="227">
        <v>4</v>
      </c>
      <c r="C289" s="150">
        <v>1</v>
      </c>
      <c r="D289" s="150">
        <v>9</v>
      </c>
      <c r="E289" s="150" t="str">
        <f t="shared" si="19"/>
        <v>فروردین</v>
      </c>
      <c r="F289" s="151" t="s">
        <v>168</v>
      </c>
      <c r="G289" s="244" t="s">
        <v>370</v>
      </c>
      <c r="H289" s="247" t="s">
        <v>392</v>
      </c>
      <c r="I289" s="162" t="s">
        <v>493</v>
      </c>
      <c r="J289" s="251">
        <v>6</v>
      </c>
      <c r="K289" s="254">
        <v>218000</v>
      </c>
      <c r="L289" s="255">
        <f t="shared" si="20"/>
        <v>1308000</v>
      </c>
      <c r="M289" s="257">
        <v>4404000</v>
      </c>
      <c r="N289" s="258" t="s">
        <v>304</v>
      </c>
      <c r="O28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89" s="258"/>
      <c r="Q289" s="259" t="str" cm="1">
        <f t="array" ref="Q289">IF(T[[#This Row],[نوع عملیات]]="فروش", _xlfn.XLOOKUP(T[[#This Row],[کالا]], _xlfn._xlws.FILTER(T[کالا], T[نوع عملیات]="خرید"), _xlfn._xlws.FILTER(T[فروشنده / مشتری], T[نوع عملیات]="خرید")), "")</f>
        <v/>
      </c>
    </row>
    <row r="290" spans="2:17" ht="16.5" hidden="1" x14ac:dyDescent="0.75">
      <c r="B290" s="227">
        <v>4</v>
      </c>
      <c r="C290" s="150">
        <v>1</v>
      </c>
      <c r="D290" s="150">
        <v>9</v>
      </c>
      <c r="E290" s="150" t="str">
        <f t="shared" si="19"/>
        <v>فروردین</v>
      </c>
      <c r="F290" s="151" t="s">
        <v>168</v>
      </c>
      <c r="G290" s="244" t="s">
        <v>371</v>
      </c>
      <c r="H290" s="247" t="s">
        <v>392</v>
      </c>
      <c r="I290" s="162" t="s">
        <v>493</v>
      </c>
      <c r="J290" s="251">
        <v>1</v>
      </c>
      <c r="K290" s="254">
        <v>350000</v>
      </c>
      <c r="L290" s="255">
        <f t="shared" si="20"/>
        <v>350000</v>
      </c>
      <c r="M290" s="257">
        <v>350000</v>
      </c>
      <c r="N290" s="258" t="s">
        <v>304</v>
      </c>
      <c r="O29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90" s="258"/>
      <c r="Q290" s="259" t="str" cm="1">
        <f t="array" ref="Q290">IF(T[[#This Row],[نوع عملیات]]="فروش", _xlfn.XLOOKUP(T[[#This Row],[کالا]], _xlfn._xlws.FILTER(T[کالا], T[نوع عملیات]="خرید"), _xlfn._xlws.FILTER(T[فروشنده / مشتری], T[نوع عملیات]="خرید")), "")</f>
        <v/>
      </c>
    </row>
    <row r="291" spans="2:17" ht="16.5" hidden="1" x14ac:dyDescent="0.75">
      <c r="B291" s="227">
        <v>4</v>
      </c>
      <c r="C291" s="150">
        <v>1</v>
      </c>
      <c r="D291" s="150">
        <v>9</v>
      </c>
      <c r="E291" s="150" t="str">
        <f t="shared" si="19"/>
        <v>فروردین</v>
      </c>
      <c r="F291" s="151" t="s">
        <v>297</v>
      </c>
      <c r="G291" s="244" t="s">
        <v>372</v>
      </c>
      <c r="H291" s="247"/>
      <c r="I291" s="162"/>
      <c r="J291" s="251"/>
      <c r="K291" s="254"/>
      <c r="L291" s="255">
        <f t="shared" si="20"/>
        <v>0</v>
      </c>
      <c r="M291" s="257">
        <f>10000+200000+140000+40000+108600</f>
        <v>498600</v>
      </c>
      <c r="N291" s="258" t="s">
        <v>304</v>
      </c>
      <c r="O29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91" s="258"/>
      <c r="Q291" s="259" t="str" cm="1">
        <f t="array" ref="Q291">IF(T[[#This Row],[نوع عملیات]]="فروش", _xlfn.XLOOKUP(T[[#This Row],[کالا]], _xlfn._xlws.FILTER(T[کالا], T[نوع عملیات]="خرید"), _xlfn._xlws.FILTER(T[فروشنده / مشتری], T[نوع عملیات]="خرید")), "")</f>
        <v/>
      </c>
    </row>
    <row r="292" spans="2:17" ht="16.5" hidden="1" x14ac:dyDescent="0.75">
      <c r="B292" s="227">
        <v>4</v>
      </c>
      <c r="C292" s="150">
        <v>1</v>
      </c>
      <c r="D292" s="150">
        <v>9</v>
      </c>
      <c r="E292" s="150" t="str">
        <f t="shared" si="19"/>
        <v>فروردین</v>
      </c>
      <c r="F292" s="151" t="s">
        <v>302</v>
      </c>
      <c r="G292" s="244"/>
      <c r="H292" s="247" t="s">
        <v>308</v>
      </c>
      <c r="I292" s="162"/>
      <c r="J292" s="251"/>
      <c r="K292" s="254"/>
      <c r="L292" s="255"/>
      <c r="M292" s="257">
        <v>2000000</v>
      </c>
      <c r="N292" s="258" t="s">
        <v>346</v>
      </c>
      <c r="O29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92" s="258"/>
      <c r="Q292" s="259" t="str" cm="1">
        <f t="array" ref="Q292">IF(T[[#This Row],[نوع عملیات]]="فروش", _xlfn.XLOOKUP(T[[#This Row],[کالا]], _xlfn._xlws.FILTER(T[کالا], T[نوع عملیات]="خرید"), _xlfn._xlws.FILTER(T[فروشنده / مشتری], T[نوع عملیات]="خرید")), "")</f>
        <v/>
      </c>
    </row>
    <row r="293" spans="2:17" ht="16.5" hidden="1" x14ac:dyDescent="0.75">
      <c r="B293" s="227">
        <v>4</v>
      </c>
      <c r="C293" s="150">
        <v>1</v>
      </c>
      <c r="D293" s="150">
        <v>10</v>
      </c>
      <c r="E293" s="150" t="str">
        <f t="shared" si="19"/>
        <v>فروردین</v>
      </c>
      <c r="F293" s="151" t="s">
        <v>167</v>
      </c>
      <c r="G293" s="244" t="s">
        <v>225</v>
      </c>
      <c r="H293" s="247" t="s">
        <v>618</v>
      </c>
      <c r="I293" s="162"/>
      <c r="J293" s="251">
        <v>1</v>
      </c>
      <c r="K293" s="254">
        <v>1100000</v>
      </c>
      <c r="L293" s="255">
        <f t="shared" ref="L293:L309" si="21">J293*K293</f>
        <v>1100000</v>
      </c>
      <c r="M293" s="257"/>
      <c r="N293" s="258"/>
      <c r="O29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293" s="258"/>
      <c r="Q293" s="259" t="str" cm="1">
        <f t="array" ref="Q293">IF(T[[#This Row],[نوع عملیات]]="فروش", _xlfn.XLOOKUP(T[[#This Row],[کالا]], _xlfn._xlws.FILTER(T[کالا], T[نوع عملیات]="خرید"), _xlfn._xlws.FILTER(T[فروشنده / مشتری], T[نوع عملیات]="خرید")), "")</f>
        <v>مهناز - تولیدی</v>
      </c>
    </row>
    <row r="294" spans="2:17" ht="16.5" hidden="1" x14ac:dyDescent="0.75">
      <c r="B294" s="227">
        <v>4</v>
      </c>
      <c r="C294" s="150">
        <v>1</v>
      </c>
      <c r="D294" s="150">
        <v>10</v>
      </c>
      <c r="E294" s="150" t="str">
        <f t="shared" si="19"/>
        <v>فروردین</v>
      </c>
      <c r="F294" s="151" t="s">
        <v>167</v>
      </c>
      <c r="G294" s="244" t="s">
        <v>371</v>
      </c>
      <c r="H294" s="247" t="s">
        <v>618</v>
      </c>
      <c r="I294" s="162"/>
      <c r="J294" s="251">
        <v>1</v>
      </c>
      <c r="K294" s="254">
        <v>600000</v>
      </c>
      <c r="L294" s="255">
        <f t="shared" si="21"/>
        <v>600000</v>
      </c>
      <c r="M294" s="257"/>
      <c r="N294" s="258"/>
      <c r="O29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294" s="258"/>
      <c r="Q294" s="259" t="str" cm="1">
        <f t="array" ref="Q294">IF(T[[#This Row],[نوع عملیات]]="فروش", _xlfn.XLOOKUP(T[[#This Row],[کالا]], _xlfn._xlws.FILTER(T[کالا], T[نوع عملیات]="خرید"), _xlfn._xlws.FILTER(T[فروشنده / مشتری], T[نوع عملیات]="خرید")), "")</f>
        <v>بازار</v>
      </c>
    </row>
    <row r="295" spans="2:17" ht="16.5" hidden="1" x14ac:dyDescent="0.75">
      <c r="B295" s="227">
        <v>4</v>
      </c>
      <c r="C295" s="150">
        <v>1</v>
      </c>
      <c r="D295" s="150">
        <v>10</v>
      </c>
      <c r="E295" s="150" t="str">
        <f t="shared" si="19"/>
        <v>فروردین</v>
      </c>
      <c r="F295" s="151" t="s">
        <v>167</v>
      </c>
      <c r="G295" s="244" t="s">
        <v>367</v>
      </c>
      <c r="H295" s="247" t="s">
        <v>618</v>
      </c>
      <c r="I295" s="162"/>
      <c r="J295" s="251">
        <v>1</v>
      </c>
      <c r="K295" s="254">
        <v>2100000</v>
      </c>
      <c r="L295" s="255">
        <f t="shared" si="21"/>
        <v>2100000</v>
      </c>
      <c r="M295" s="257"/>
      <c r="N295" s="258"/>
      <c r="O29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850000</v>
      </c>
      <c r="P295" s="258"/>
      <c r="Q295" s="259" t="str" cm="1">
        <f t="array" ref="Q295">IF(T[[#This Row],[نوع عملیات]]="فروش", _xlfn.XLOOKUP(T[[#This Row],[کالا]], _xlfn._xlws.FILTER(T[کالا], T[نوع عملیات]="خرید"), _xlfn._xlws.FILTER(T[فروشنده / مشتری], T[نوع عملیات]="خرید")), "")</f>
        <v>بازار</v>
      </c>
    </row>
    <row r="296" spans="2:17" ht="16.5" hidden="1" x14ac:dyDescent="0.75">
      <c r="B296" s="238">
        <v>4</v>
      </c>
      <c r="C296" s="239">
        <v>1</v>
      </c>
      <c r="D296" s="239">
        <v>10</v>
      </c>
      <c r="E296" s="150" t="str">
        <f t="shared" si="19"/>
        <v>فروردین</v>
      </c>
      <c r="F296" s="151" t="s">
        <v>167</v>
      </c>
      <c r="G296" s="245" t="s">
        <v>369</v>
      </c>
      <c r="H296" s="247" t="s">
        <v>211</v>
      </c>
      <c r="I296" s="250"/>
      <c r="J296" s="252">
        <v>2</v>
      </c>
      <c r="K296" s="256">
        <v>800000</v>
      </c>
      <c r="L296" s="255">
        <f t="shared" si="21"/>
        <v>1600000</v>
      </c>
      <c r="M296" s="257">
        <v>1600000</v>
      </c>
      <c r="N296" s="258" t="s">
        <v>346</v>
      </c>
      <c r="O29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1004000</v>
      </c>
      <c r="P296" s="258"/>
      <c r="Q296" s="259" t="str" cm="1">
        <f t="array" ref="Q296">IF(T[[#This Row],[نوع عملیات]]="فروش", _xlfn.XLOOKUP(T[[#This Row],[کالا]], _xlfn._xlws.FILTER(T[کالا], T[نوع عملیات]="خرید"), _xlfn._xlws.FILTER(T[فروشنده / مشتری], T[نوع عملیات]="خرید")), "")</f>
        <v>بازار</v>
      </c>
    </row>
    <row r="297" spans="2:17" ht="16.5" x14ac:dyDescent="0.75">
      <c r="B297" s="238">
        <v>4</v>
      </c>
      <c r="C297" s="239">
        <v>1</v>
      </c>
      <c r="D297" s="239">
        <v>11</v>
      </c>
      <c r="E297" s="150" t="str">
        <f t="shared" si="19"/>
        <v>فروردین</v>
      </c>
      <c r="F297" s="151" t="s">
        <v>168</v>
      </c>
      <c r="G297" s="245" t="s">
        <v>388</v>
      </c>
      <c r="H297" s="247" t="s">
        <v>390</v>
      </c>
      <c r="I297" s="161" t="s">
        <v>489</v>
      </c>
      <c r="J297" s="252">
        <v>9</v>
      </c>
      <c r="K297" s="256">
        <v>880000</v>
      </c>
      <c r="L297" s="255">
        <f t="shared" si="21"/>
        <v>7920000</v>
      </c>
      <c r="M297" s="257"/>
      <c r="N297" s="258" t="s">
        <v>346</v>
      </c>
      <c r="O29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97" s="258"/>
      <c r="Q297" s="259" t="str" cm="1">
        <f t="array" ref="Q297">IF(T[[#This Row],[نوع عملیات]]="فروش", _xlfn.XLOOKUP(T[[#This Row],[کالا]], _xlfn._xlws.FILTER(T[کالا], T[نوع عملیات]="خرید"), _xlfn._xlws.FILTER(T[فروشنده / مشتری], T[نوع عملیات]="خرید")), "")</f>
        <v/>
      </c>
    </row>
    <row r="298" spans="2:17" ht="16.5" x14ac:dyDescent="0.75">
      <c r="B298" s="238">
        <v>4</v>
      </c>
      <c r="C298" s="239">
        <v>1</v>
      </c>
      <c r="D298" s="239">
        <v>11</v>
      </c>
      <c r="E298" s="150" t="str">
        <f t="shared" si="19"/>
        <v>فروردین</v>
      </c>
      <c r="F298" s="151" t="s">
        <v>168</v>
      </c>
      <c r="G298" s="245" t="s">
        <v>587</v>
      </c>
      <c r="H298" s="247" t="s">
        <v>390</v>
      </c>
      <c r="I298" s="161" t="s">
        <v>489</v>
      </c>
      <c r="J298" s="252">
        <v>1</v>
      </c>
      <c r="K298" s="256">
        <v>380000</v>
      </c>
      <c r="L298" s="255">
        <f t="shared" si="21"/>
        <v>380000</v>
      </c>
      <c r="M298" s="257"/>
      <c r="N298" s="258" t="s">
        <v>346</v>
      </c>
      <c r="O29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98" s="258"/>
      <c r="Q298" s="259" t="str" cm="1">
        <f t="array" ref="Q298">IF(T[[#This Row],[نوع عملیات]]="فروش", _xlfn.XLOOKUP(T[[#This Row],[کالا]], _xlfn._xlws.FILTER(T[کالا], T[نوع عملیات]="خرید"), _xlfn._xlws.FILTER(T[فروشنده / مشتری], T[نوع عملیات]="خرید")), "")</f>
        <v/>
      </c>
    </row>
    <row r="299" spans="2:17" ht="16.5" x14ac:dyDescent="0.75">
      <c r="B299" s="238">
        <v>4</v>
      </c>
      <c r="C299" s="239">
        <v>1</v>
      </c>
      <c r="D299" s="239">
        <v>11</v>
      </c>
      <c r="E299" s="150" t="str">
        <f t="shared" si="19"/>
        <v>فروردین</v>
      </c>
      <c r="F299" s="151" t="s">
        <v>168</v>
      </c>
      <c r="G299" s="245" t="s">
        <v>588</v>
      </c>
      <c r="H299" s="247" t="s">
        <v>390</v>
      </c>
      <c r="I299" s="161" t="s">
        <v>489</v>
      </c>
      <c r="J299" s="252">
        <v>1</v>
      </c>
      <c r="K299" s="256">
        <v>500000</v>
      </c>
      <c r="L299" s="255">
        <f t="shared" si="21"/>
        <v>500000</v>
      </c>
      <c r="M299" s="257"/>
      <c r="N299" s="258" t="s">
        <v>346</v>
      </c>
      <c r="O29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299" s="258"/>
      <c r="Q299" s="259" t="str" cm="1">
        <f t="array" ref="Q299">IF(T[[#This Row],[نوع عملیات]]="فروش", _xlfn.XLOOKUP(T[[#This Row],[کالا]], _xlfn._xlws.FILTER(T[کالا], T[نوع عملیات]="خرید"), _xlfn._xlws.FILTER(T[فروشنده / مشتری], T[نوع عملیات]="خرید")), "")</f>
        <v/>
      </c>
    </row>
    <row r="300" spans="2:17" ht="16.5" x14ac:dyDescent="0.75">
      <c r="B300" s="238">
        <v>4</v>
      </c>
      <c r="C300" s="239">
        <v>1</v>
      </c>
      <c r="D300" s="239">
        <v>11</v>
      </c>
      <c r="E300" s="150" t="str">
        <f t="shared" si="19"/>
        <v>فروردین</v>
      </c>
      <c r="F300" s="240" t="s">
        <v>168</v>
      </c>
      <c r="G300" s="245" t="s">
        <v>389</v>
      </c>
      <c r="H300" s="261" t="s">
        <v>390</v>
      </c>
      <c r="I300" s="161" t="s">
        <v>489</v>
      </c>
      <c r="J300" s="252">
        <v>4</v>
      </c>
      <c r="K300" s="256">
        <v>880000</v>
      </c>
      <c r="L300" s="255">
        <f t="shared" si="21"/>
        <v>3520000</v>
      </c>
      <c r="M300" s="257"/>
      <c r="N300" s="262" t="s">
        <v>346</v>
      </c>
      <c r="O3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00" s="262"/>
      <c r="Q300" s="264" t="str" cm="1">
        <f t="array" ref="Q300">IF(T[[#This Row],[نوع عملیات]]="فروش", _xlfn.XLOOKUP(T[[#This Row],[کالا]], _xlfn._xlws.FILTER(T[کالا], T[نوع عملیات]="خرید"), _xlfn._xlws.FILTER(T[فروشنده / مشتری], T[نوع عملیات]="خرید")), "")</f>
        <v/>
      </c>
    </row>
    <row r="301" spans="2:17" ht="16.5" x14ac:dyDescent="0.75">
      <c r="B301" s="238">
        <v>4</v>
      </c>
      <c r="C301" s="239">
        <v>1</v>
      </c>
      <c r="D301" s="239">
        <v>11</v>
      </c>
      <c r="E301" s="290" t="str">
        <f t="shared" si="19"/>
        <v>فروردین</v>
      </c>
      <c r="F301" s="240" t="s">
        <v>168</v>
      </c>
      <c r="G301" s="245" t="s">
        <v>418</v>
      </c>
      <c r="H301" s="261" t="s">
        <v>390</v>
      </c>
      <c r="I301" s="161" t="s">
        <v>489</v>
      </c>
      <c r="J301" s="252">
        <v>7</v>
      </c>
      <c r="K301" s="256">
        <v>985000</v>
      </c>
      <c r="L301" s="255">
        <f t="shared" si="21"/>
        <v>6895000</v>
      </c>
      <c r="M301" s="257"/>
      <c r="N301" s="262" t="s">
        <v>346</v>
      </c>
      <c r="O3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01" s="262"/>
      <c r="Q301" s="264" t="str" cm="1">
        <f t="array" ref="Q301">IF(T[[#This Row],[نوع عملیات]]="فروش", _xlfn.XLOOKUP(T[[#This Row],[کالا]], _xlfn._xlws.FILTER(T[کالا], T[نوع عملیات]="خرید"), _xlfn._xlws.FILTER(T[فروشنده / مشتری], T[نوع عملیات]="خرید")), "")</f>
        <v/>
      </c>
    </row>
    <row r="302" spans="2:17" ht="16.5" x14ac:dyDescent="0.75">
      <c r="B302" s="238">
        <v>4</v>
      </c>
      <c r="C302" s="239">
        <v>1</v>
      </c>
      <c r="D302" s="239">
        <v>11</v>
      </c>
      <c r="E302" s="290" t="str">
        <f t="shared" si="19"/>
        <v>فروردین</v>
      </c>
      <c r="F302" s="240" t="s">
        <v>168</v>
      </c>
      <c r="G302" s="245" t="s">
        <v>387</v>
      </c>
      <c r="H302" s="261" t="s">
        <v>390</v>
      </c>
      <c r="I302" s="161" t="s">
        <v>489</v>
      </c>
      <c r="J302" s="252">
        <v>3</v>
      </c>
      <c r="K302" s="256">
        <v>175000</v>
      </c>
      <c r="L302" s="255">
        <f t="shared" si="21"/>
        <v>525000</v>
      </c>
      <c r="M302" s="257">
        <v>20540000</v>
      </c>
      <c r="N302" s="262" t="s">
        <v>346</v>
      </c>
      <c r="O3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02" s="262"/>
      <c r="Q302" s="264" t="str" cm="1">
        <f t="array" ref="Q302">IF(T[[#This Row],[نوع عملیات]]="فروش", _xlfn.XLOOKUP(T[[#This Row],[کالا]], _xlfn._xlws.FILTER(T[کالا], T[نوع عملیات]="خرید"), _xlfn._xlws.FILTER(T[فروشنده / مشتری], T[نوع عملیات]="خرید")), "")</f>
        <v/>
      </c>
    </row>
    <row r="303" spans="2:17" ht="16.5" hidden="1" x14ac:dyDescent="0.75">
      <c r="B303" s="238">
        <v>4</v>
      </c>
      <c r="C303" s="239">
        <v>1</v>
      </c>
      <c r="D303" s="239">
        <v>15</v>
      </c>
      <c r="E303" s="290" t="str">
        <f t="shared" si="19"/>
        <v>فروردین</v>
      </c>
      <c r="F303" s="240" t="s">
        <v>167</v>
      </c>
      <c r="G303" s="245" t="s">
        <v>278</v>
      </c>
      <c r="H303" s="261" t="s">
        <v>435</v>
      </c>
      <c r="I303" s="250"/>
      <c r="J303" s="252">
        <v>2</v>
      </c>
      <c r="K303" s="256">
        <v>50000</v>
      </c>
      <c r="L303" s="255">
        <f t="shared" si="21"/>
        <v>100000</v>
      </c>
      <c r="M303" s="257"/>
      <c r="N303" s="262"/>
      <c r="O3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63000</v>
      </c>
      <c r="P303" s="262"/>
      <c r="Q303" s="264" t="str" cm="1">
        <f t="array" ref="Q303">IF(T[[#This Row],[نوع عملیات]]="فروش", _xlfn.XLOOKUP(T[[#This Row],[کالا]], _xlfn._xlws.FILTER(T[کالا], T[نوع عملیات]="خرید"), _xlfn._xlws.FILTER(T[فروشنده / مشتری], T[نوع عملیات]="خرید")), "")</f>
        <v>بازار</v>
      </c>
    </row>
    <row r="304" spans="2:17" ht="16.5" hidden="1" x14ac:dyDescent="0.75">
      <c r="B304" s="238">
        <v>4</v>
      </c>
      <c r="C304" s="239">
        <v>1</v>
      </c>
      <c r="D304" s="239">
        <v>15</v>
      </c>
      <c r="E304" s="290" t="str">
        <f t="shared" si="19"/>
        <v>فروردین</v>
      </c>
      <c r="F304" s="240" t="s">
        <v>167</v>
      </c>
      <c r="G304" s="245" t="s">
        <v>387</v>
      </c>
      <c r="H304" s="261" t="s">
        <v>435</v>
      </c>
      <c r="I304" s="250"/>
      <c r="J304" s="252">
        <v>1</v>
      </c>
      <c r="K304" s="256">
        <v>800000</v>
      </c>
      <c r="L304" s="255">
        <f t="shared" si="21"/>
        <v>800000</v>
      </c>
      <c r="M304" s="257"/>
      <c r="N304" s="262"/>
      <c r="O3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625000</v>
      </c>
      <c r="P304" s="262"/>
      <c r="Q304" s="264" t="str" cm="1">
        <f t="array" ref="Q304">IF(T[[#This Row],[نوع عملیات]]="فروش", _xlfn.XLOOKUP(T[[#This Row],[کالا]], _xlfn._xlws.FILTER(T[کالا], T[نوع عملیات]="خرید"), _xlfn._xlws.FILTER(T[فروشنده / مشتری], T[نوع عملیات]="خرید")), "")</f>
        <v>عبدل آباد</v>
      </c>
    </row>
    <row r="305" spans="2:17" ht="16.5" hidden="1" x14ac:dyDescent="0.75">
      <c r="B305" s="238">
        <v>4</v>
      </c>
      <c r="C305" s="239">
        <v>1</v>
      </c>
      <c r="D305" s="239">
        <v>15</v>
      </c>
      <c r="E305" s="290" t="str">
        <f t="shared" si="19"/>
        <v>فروردین</v>
      </c>
      <c r="F305" s="240" t="s">
        <v>167</v>
      </c>
      <c r="G305" s="245" t="s">
        <v>353</v>
      </c>
      <c r="H305" s="261" t="s">
        <v>435</v>
      </c>
      <c r="I305" s="250"/>
      <c r="J305" s="252">
        <v>1</v>
      </c>
      <c r="K305" s="256">
        <v>650000</v>
      </c>
      <c r="L305" s="255">
        <f t="shared" si="21"/>
        <v>650000</v>
      </c>
      <c r="M305" s="257"/>
      <c r="N305" s="262"/>
      <c r="O3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302941.17647058825</v>
      </c>
      <c r="P305" s="262"/>
      <c r="Q305" s="264" t="str" cm="1">
        <f t="array" ref="Q305">IF(T[[#This Row],[نوع عملیات]]="فروش", _xlfn.XLOOKUP(T[[#This Row],[کالا]], _xlfn._xlws.FILTER(T[کالا], T[نوع عملیات]="خرید"), _xlfn._xlws.FILTER(T[فروشنده / مشتری], T[نوع عملیات]="خرید")), "")</f>
        <v>بازار</v>
      </c>
    </row>
    <row r="306" spans="2:17" ht="16.5" hidden="1" x14ac:dyDescent="0.75">
      <c r="B306" s="238">
        <v>4</v>
      </c>
      <c r="C306" s="239">
        <v>1</v>
      </c>
      <c r="D306" s="239">
        <v>16</v>
      </c>
      <c r="E306" s="266" t="str">
        <f t="shared" si="19"/>
        <v>فروردین</v>
      </c>
      <c r="F306" s="240" t="s">
        <v>167</v>
      </c>
      <c r="G306" s="244" t="s">
        <v>242</v>
      </c>
      <c r="H306" s="261" t="s">
        <v>416</v>
      </c>
      <c r="I306" s="250"/>
      <c r="J306" s="252">
        <v>1</v>
      </c>
      <c r="K306" s="256">
        <v>850000</v>
      </c>
      <c r="L306" s="255">
        <f t="shared" si="21"/>
        <v>850000</v>
      </c>
      <c r="M306" s="257"/>
      <c r="N306" s="262"/>
      <c r="O3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306" s="262"/>
      <c r="Q306" s="264" t="str" cm="1">
        <f t="array" ref="Q306">IF(T[[#This Row],[نوع عملیات]]="فروش", _xlfn.XLOOKUP(T[[#This Row],[کالا]], _xlfn._xlws.FILTER(T[کالا], T[نوع عملیات]="خرید"), _xlfn._xlws.FILTER(T[فروشنده / مشتری], T[نوع عملیات]="خرید")), "")</f>
        <v>بازار</v>
      </c>
    </row>
    <row r="307" spans="2:17" ht="16.5" hidden="1" x14ac:dyDescent="0.75">
      <c r="B307" s="238">
        <v>4</v>
      </c>
      <c r="C307" s="239">
        <v>1</v>
      </c>
      <c r="D307" s="239">
        <v>16</v>
      </c>
      <c r="E307" s="266" t="str">
        <f t="shared" si="19"/>
        <v>فروردین</v>
      </c>
      <c r="F307" s="240" t="s">
        <v>167</v>
      </c>
      <c r="G307" s="245" t="s">
        <v>363</v>
      </c>
      <c r="H307" s="261" t="s">
        <v>417</v>
      </c>
      <c r="I307" s="250"/>
      <c r="J307" s="252">
        <v>1</v>
      </c>
      <c r="K307" s="256">
        <v>1200000</v>
      </c>
      <c r="L307" s="255">
        <f t="shared" si="21"/>
        <v>1200000</v>
      </c>
      <c r="M307" s="257"/>
      <c r="N307" s="262"/>
      <c r="O3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820000</v>
      </c>
      <c r="P307" s="262"/>
      <c r="Q307" s="264" t="str" cm="1">
        <f t="array" ref="Q307">IF(T[[#This Row],[نوع عملیات]]="فروش", _xlfn.XLOOKUP(T[[#This Row],[کالا]], _xlfn._xlws.FILTER(T[کالا], T[نوع عملیات]="خرید"), _xlfn._xlws.FILTER(T[فروشنده / مشتری], T[نوع عملیات]="خرید")), "")</f>
        <v>بازار</v>
      </c>
    </row>
    <row r="308" spans="2:17" ht="16.5" hidden="1" x14ac:dyDescent="0.75">
      <c r="B308" s="238">
        <v>4</v>
      </c>
      <c r="C308" s="239">
        <v>1</v>
      </c>
      <c r="D308" s="239">
        <v>16</v>
      </c>
      <c r="E308" s="266" t="str">
        <f t="shared" si="19"/>
        <v>فروردین</v>
      </c>
      <c r="F308" s="240" t="s">
        <v>167</v>
      </c>
      <c r="G308" s="245" t="s">
        <v>370</v>
      </c>
      <c r="H308" s="247" t="s">
        <v>539</v>
      </c>
      <c r="I308" s="250"/>
      <c r="J308" s="252">
        <v>1</v>
      </c>
      <c r="K308" s="256">
        <v>550000</v>
      </c>
      <c r="L308" s="255">
        <f t="shared" si="21"/>
        <v>550000</v>
      </c>
      <c r="M308" s="257"/>
      <c r="N308" s="262"/>
      <c r="O3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332000</v>
      </c>
      <c r="P308" s="262"/>
      <c r="Q308" s="264" t="str" cm="1">
        <f t="array" ref="Q308">IF(T[[#This Row],[نوع عملیات]]="فروش", _xlfn.XLOOKUP(T[[#This Row],[کالا]], _xlfn._xlws.FILTER(T[کالا], T[نوع عملیات]="خرید"), _xlfn._xlws.FILTER(T[فروشنده / مشتری], T[نوع عملیات]="خرید")), "")</f>
        <v>بازار</v>
      </c>
    </row>
    <row r="309" spans="2:17" ht="16.5" hidden="1" x14ac:dyDescent="0.75">
      <c r="B309" s="238">
        <v>4</v>
      </c>
      <c r="C309" s="239">
        <v>1</v>
      </c>
      <c r="D309" s="239">
        <v>16</v>
      </c>
      <c r="E309" s="266" t="str">
        <f t="shared" si="19"/>
        <v>فروردین</v>
      </c>
      <c r="F309" s="240" t="s">
        <v>167</v>
      </c>
      <c r="G309" s="245" t="s">
        <v>418</v>
      </c>
      <c r="H309" s="247" t="s">
        <v>539</v>
      </c>
      <c r="I309" s="250"/>
      <c r="J309" s="252">
        <v>1</v>
      </c>
      <c r="K309" s="256">
        <v>1480000</v>
      </c>
      <c r="L309" s="255">
        <f t="shared" si="21"/>
        <v>1480000</v>
      </c>
      <c r="M309" s="257"/>
      <c r="N309" s="262"/>
      <c r="O3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495000</v>
      </c>
      <c r="P309" s="262"/>
      <c r="Q309" s="264" t="str" cm="1">
        <f t="array" ref="Q309">IF(T[[#This Row],[نوع عملیات]]="فروش", _xlfn.XLOOKUP(T[[#This Row],[کالا]], _xlfn._xlws.FILTER(T[کالا], T[نوع عملیات]="خرید"), _xlfn._xlws.FILTER(T[فروشنده / مشتری], T[نوع عملیات]="خرید")), "")</f>
        <v>عبدل آباد</v>
      </c>
    </row>
    <row r="310" spans="2:17" ht="16.5" hidden="1" x14ac:dyDescent="0.75">
      <c r="B310" s="238">
        <v>4</v>
      </c>
      <c r="C310" s="239">
        <v>1</v>
      </c>
      <c r="D310" s="239">
        <v>17</v>
      </c>
      <c r="E310" s="290" t="str">
        <f t="shared" si="19"/>
        <v>فروردین</v>
      </c>
      <c r="F310" s="240" t="s">
        <v>302</v>
      </c>
      <c r="G310" s="245"/>
      <c r="H310" s="261" t="s">
        <v>281</v>
      </c>
      <c r="I310" s="250"/>
      <c r="J310" s="252"/>
      <c r="K310" s="256"/>
      <c r="L310" s="255"/>
      <c r="M310" s="299">
        <v>3000000</v>
      </c>
      <c r="N310" s="262" t="s">
        <v>346</v>
      </c>
      <c r="O3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10" s="262"/>
      <c r="Q310" s="264" t="str" cm="1">
        <f t="array" ref="Q310">IF(T[[#This Row],[نوع عملیات]]="فروش", _xlfn.XLOOKUP(T[[#This Row],[کالا]], _xlfn._xlws.FILTER(T[کالا], T[نوع عملیات]="خرید"), _xlfn._xlws.FILTER(T[فروشنده / مشتری], T[نوع عملیات]="خرید")), "")</f>
        <v/>
      </c>
    </row>
    <row r="311" spans="2:17" ht="16.5" hidden="1" x14ac:dyDescent="0.75">
      <c r="B311" s="238">
        <v>4</v>
      </c>
      <c r="C311" s="239">
        <v>1</v>
      </c>
      <c r="D311" s="239">
        <v>18</v>
      </c>
      <c r="E311" s="266" t="str">
        <f t="shared" si="19"/>
        <v>فروردین</v>
      </c>
      <c r="F311" s="240" t="s">
        <v>167</v>
      </c>
      <c r="G311" s="245" t="s">
        <v>353</v>
      </c>
      <c r="H311" s="261" t="s">
        <v>419</v>
      </c>
      <c r="I311" s="250"/>
      <c r="J311" s="252">
        <v>1</v>
      </c>
      <c r="K311" s="256">
        <v>550000</v>
      </c>
      <c r="L311" s="255">
        <f t="shared" ref="L311:L322" si="22">J311*K311</f>
        <v>550000</v>
      </c>
      <c r="M311" s="257"/>
      <c r="N311" s="262"/>
      <c r="O3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202941.17647058825</v>
      </c>
      <c r="P311" s="262"/>
      <c r="Q311" s="264" t="str" cm="1">
        <f t="array" ref="Q311">IF(T[[#This Row],[نوع عملیات]]="فروش", _xlfn.XLOOKUP(T[[#This Row],[کالا]], _xlfn._xlws.FILTER(T[کالا], T[نوع عملیات]="خرید"), _xlfn._xlws.FILTER(T[فروشنده / مشتری], T[نوع عملیات]="خرید")), "")</f>
        <v>بازار</v>
      </c>
    </row>
    <row r="312" spans="2:17" ht="16.5" hidden="1" x14ac:dyDescent="0.75">
      <c r="B312" s="238">
        <v>4</v>
      </c>
      <c r="C312" s="239">
        <v>1</v>
      </c>
      <c r="D312" s="239">
        <v>18</v>
      </c>
      <c r="E312" s="266" t="str">
        <f t="shared" ref="E312:E343" si="23">CHOOSE(C312, "فروردین", "اردیبهشت", "خرداد", "تیر", "مرداد", "شهریور", "مهر", "آبان", "آذر", "دی", "بهمن", "اسفند")</f>
        <v>فروردین</v>
      </c>
      <c r="F312" s="240" t="s">
        <v>167</v>
      </c>
      <c r="G312" s="293" t="s">
        <v>270</v>
      </c>
      <c r="H312" s="261" t="s">
        <v>419</v>
      </c>
      <c r="I312" s="250"/>
      <c r="J312" s="252">
        <v>1</v>
      </c>
      <c r="K312" s="256">
        <v>790000</v>
      </c>
      <c r="L312" s="255">
        <f t="shared" si="22"/>
        <v>790000</v>
      </c>
      <c r="M312" s="257"/>
      <c r="N312" s="262"/>
      <c r="O3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570000</v>
      </c>
      <c r="P312" s="262"/>
      <c r="Q312" s="264" t="str" cm="1">
        <f t="array" ref="Q312">IF(T[[#This Row],[نوع عملیات]]="فروش", _xlfn.XLOOKUP(T[[#This Row],[کالا]], _xlfn._xlws.FILTER(T[کالا], T[نوع عملیات]="خرید"), _xlfn._xlws.FILTER(T[فروشنده / مشتری], T[نوع عملیات]="خرید")), "")</f>
        <v>بازار</v>
      </c>
    </row>
    <row r="313" spans="2:17" ht="16.5" hidden="1" x14ac:dyDescent="0.75">
      <c r="B313" s="238">
        <v>4</v>
      </c>
      <c r="C313" s="239">
        <v>1</v>
      </c>
      <c r="D313" s="239">
        <v>18</v>
      </c>
      <c r="E313" s="266" t="str">
        <f t="shared" si="23"/>
        <v>فروردین</v>
      </c>
      <c r="F313" s="240" t="s">
        <v>167</v>
      </c>
      <c r="G313" s="245" t="s">
        <v>278</v>
      </c>
      <c r="H313" s="261" t="s">
        <v>419</v>
      </c>
      <c r="I313" s="250"/>
      <c r="J313" s="252">
        <v>1</v>
      </c>
      <c r="K313" s="256">
        <v>49000</v>
      </c>
      <c r="L313" s="255">
        <f t="shared" si="22"/>
        <v>49000</v>
      </c>
      <c r="M313" s="257"/>
      <c r="N313" s="262"/>
      <c r="O31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30500</v>
      </c>
      <c r="P313" s="262"/>
      <c r="Q313" s="264" t="str" cm="1">
        <f t="array" ref="Q313">IF(T[[#This Row],[نوع عملیات]]="فروش", _xlfn.XLOOKUP(T[[#This Row],[کالا]], _xlfn._xlws.FILTER(T[کالا], T[نوع عملیات]="خرید"), _xlfn._xlws.FILTER(T[فروشنده / مشتری], T[نوع عملیات]="خرید")), "")</f>
        <v>بازار</v>
      </c>
    </row>
    <row r="314" spans="2:17" ht="16.5" hidden="1" x14ac:dyDescent="0.75">
      <c r="B314" s="238">
        <v>4</v>
      </c>
      <c r="C314" s="239">
        <v>1</v>
      </c>
      <c r="D314" s="239">
        <v>18</v>
      </c>
      <c r="E314" s="266" t="str">
        <f t="shared" si="23"/>
        <v>فروردین</v>
      </c>
      <c r="F314" s="240" t="s">
        <v>167</v>
      </c>
      <c r="G314" s="245" t="s">
        <v>206</v>
      </c>
      <c r="H314" s="261" t="s">
        <v>419</v>
      </c>
      <c r="I314" s="250"/>
      <c r="J314" s="252">
        <v>1</v>
      </c>
      <c r="K314" s="256">
        <v>450000</v>
      </c>
      <c r="L314" s="255">
        <f t="shared" si="22"/>
        <v>450000</v>
      </c>
      <c r="M314" s="257"/>
      <c r="N314" s="262"/>
      <c r="O3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v>
      </c>
      <c r="P314" s="262"/>
      <c r="Q314" s="264" t="str" cm="1">
        <f t="array" ref="Q314">IF(T[[#This Row],[نوع عملیات]]="فروش", _xlfn.XLOOKUP(T[[#This Row],[کالا]], _xlfn._xlws.FILTER(T[کالا], T[نوع عملیات]="خرید"), _xlfn._xlws.FILTER(T[فروشنده / مشتری], T[نوع عملیات]="خرید")), "")</f>
        <v>فریده</v>
      </c>
    </row>
    <row r="315" spans="2:17" ht="16.5" hidden="1" x14ac:dyDescent="0.75">
      <c r="B315" s="238">
        <v>4</v>
      </c>
      <c r="C315" s="239">
        <v>1</v>
      </c>
      <c r="D315" s="239">
        <v>18</v>
      </c>
      <c r="E315" s="266" t="str">
        <f t="shared" si="23"/>
        <v>فروردین</v>
      </c>
      <c r="F315" s="240" t="s">
        <v>167</v>
      </c>
      <c r="G315" s="245" t="s">
        <v>365</v>
      </c>
      <c r="H315" s="261" t="s">
        <v>211</v>
      </c>
      <c r="I315" s="162"/>
      <c r="J315" s="251">
        <v>1</v>
      </c>
      <c r="K315" s="254">
        <v>2480000</v>
      </c>
      <c r="L315" s="255">
        <f t="shared" si="22"/>
        <v>2480000</v>
      </c>
      <c r="M315" s="257"/>
      <c r="N315" s="258"/>
      <c r="O31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1780000</v>
      </c>
      <c r="P315" s="258"/>
      <c r="Q315" s="259" t="str" cm="1">
        <f t="array" ref="Q315">IF(T[[#This Row],[نوع عملیات]]="فروش", _xlfn.XLOOKUP(T[[#This Row],[کالا]], _xlfn._xlws.FILTER(T[کالا], T[نوع عملیات]="خرید"), _xlfn._xlws.FILTER(T[فروشنده / مشتری], T[نوع عملیات]="خرید")), "")</f>
        <v>بازار</v>
      </c>
    </row>
    <row r="316" spans="2:17" ht="16.5" hidden="1" x14ac:dyDescent="0.75">
      <c r="B316" s="238">
        <v>4</v>
      </c>
      <c r="C316" s="239">
        <v>1</v>
      </c>
      <c r="D316" s="239">
        <v>18</v>
      </c>
      <c r="E316" s="266" t="str">
        <f t="shared" si="23"/>
        <v>فروردین</v>
      </c>
      <c r="F316" s="240" t="s">
        <v>167</v>
      </c>
      <c r="G316" s="245" t="s">
        <v>353</v>
      </c>
      <c r="H316" s="261" t="s">
        <v>211</v>
      </c>
      <c r="I316" s="162"/>
      <c r="J316" s="251">
        <v>1</v>
      </c>
      <c r="K316" s="254">
        <v>600000</v>
      </c>
      <c r="L316" s="255">
        <f t="shared" si="22"/>
        <v>600000</v>
      </c>
      <c r="M316" s="257"/>
      <c r="N316" s="258"/>
      <c r="O31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252941.17647058825</v>
      </c>
      <c r="P316" s="258"/>
      <c r="Q316" s="259" t="str" cm="1">
        <f t="array" ref="Q316">IF(T[[#This Row],[نوع عملیات]]="فروش", _xlfn.XLOOKUP(T[[#This Row],[کالا]], _xlfn._xlws.FILTER(T[کالا], T[نوع عملیات]="خرید"), _xlfn._xlws.FILTER(T[فروشنده / مشتری], T[نوع عملیات]="خرید")), "")</f>
        <v>بازار</v>
      </c>
    </row>
    <row r="317" spans="2:17" ht="16.5" hidden="1" x14ac:dyDescent="0.75">
      <c r="B317" s="238">
        <v>4</v>
      </c>
      <c r="C317" s="239">
        <v>1</v>
      </c>
      <c r="D317" s="239">
        <v>18</v>
      </c>
      <c r="E317" s="266" t="str">
        <f t="shared" si="23"/>
        <v>فروردین</v>
      </c>
      <c r="F317" s="240" t="s">
        <v>167</v>
      </c>
      <c r="G317" s="245" t="s">
        <v>353</v>
      </c>
      <c r="H317" s="261" t="s">
        <v>211</v>
      </c>
      <c r="I317" s="162"/>
      <c r="J317" s="251">
        <v>1</v>
      </c>
      <c r="K317" s="254">
        <v>550000</v>
      </c>
      <c r="L317" s="255">
        <f t="shared" si="22"/>
        <v>550000</v>
      </c>
      <c r="M317" s="257">
        <v>3630000</v>
      </c>
      <c r="N317" s="258" t="s">
        <v>299</v>
      </c>
      <c r="O31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202941.17647058825</v>
      </c>
      <c r="P317" s="258"/>
      <c r="Q317" s="259" t="str" cm="1">
        <f t="array" ref="Q317">IF(T[[#This Row],[نوع عملیات]]="فروش", _xlfn.XLOOKUP(T[[#This Row],[کالا]], _xlfn._xlws.FILTER(T[کالا], T[نوع عملیات]="خرید"), _xlfn._xlws.FILTER(T[فروشنده / مشتری], T[نوع عملیات]="خرید")), "")</f>
        <v>بازار</v>
      </c>
    </row>
    <row r="318" spans="2:17" ht="16.5" hidden="1" x14ac:dyDescent="0.75">
      <c r="B318" s="238">
        <v>4</v>
      </c>
      <c r="C318" s="239">
        <v>1</v>
      </c>
      <c r="D318" s="239">
        <v>20</v>
      </c>
      <c r="E318" s="266" t="str">
        <f t="shared" si="23"/>
        <v>فروردین</v>
      </c>
      <c r="F318" s="240" t="s">
        <v>167</v>
      </c>
      <c r="G318" s="245" t="s">
        <v>277</v>
      </c>
      <c r="H318" s="261" t="s">
        <v>420</v>
      </c>
      <c r="I318" s="162"/>
      <c r="J318" s="251">
        <v>1</v>
      </c>
      <c r="K318" s="254">
        <v>350000</v>
      </c>
      <c r="L318" s="255">
        <f t="shared" si="22"/>
        <v>350000</v>
      </c>
      <c r="M318" s="257"/>
      <c r="N318" s="258"/>
      <c r="O31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150000</v>
      </c>
      <c r="P318" s="258"/>
      <c r="Q318" s="259" t="str" cm="1">
        <f t="array" ref="Q318">IF(T[[#This Row],[نوع عملیات]]="فروش", _xlfn.XLOOKUP(T[[#This Row],[کالا]], _xlfn._xlws.FILTER(T[کالا], T[نوع عملیات]="خرید"), _xlfn._xlws.FILTER(T[فروشنده / مشتری], T[نوع عملیات]="خرید")), "")</f>
        <v>وان ترکیه</v>
      </c>
    </row>
    <row r="319" spans="2:17" ht="16.5" hidden="1" x14ac:dyDescent="0.75">
      <c r="B319" s="238">
        <v>4</v>
      </c>
      <c r="C319" s="239">
        <v>1</v>
      </c>
      <c r="D319" s="239">
        <v>20</v>
      </c>
      <c r="E319" s="266" t="str">
        <f t="shared" si="23"/>
        <v>فروردین</v>
      </c>
      <c r="F319" s="240" t="s">
        <v>167</v>
      </c>
      <c r="G319" s="245" t="s">
        <v>277</v>
      </c>
      <c r="H319" s="261" t="s">
        <v>312</v>
      </c>
      <c r="I319" s="162"/>
      <c r="J319" s="251">
        <v>1</v>
      </c>
      <c r="K319" s="254">
        <v>0</v>
      </c>
      <c r="L319" s="255">
        <f t="shared" si="22"/>
        <v>0</v>
      </c>
      <c r="M319" s="257"/>
      <c r="N319" s="258"/>
      <c r="O319"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319" s="258"/>
      <c r="Q319" s="259" t="str" cm="1">
        <f t="array" ref="Q319">IF(T[[#This Row],[نوع عملیات]]="فروش", _xlfn.XLOOKUP(T[[#This Row],[کالا]], _xlfn._xlws.FILTER(T[کالا], T[نوع عملیات]="خرید"), _xlfn._xlws.FILTER(T[فروشنده / مشتری], T[نوع عملیات]="خرید")), "")</f>
        <v>وان ترکیه</v>
      </c>
    </row>
    <row r="320" spans="2:17" ht="16.5" hidden="1" x14ac:dyDescent="0.75">
      <c r="B320" s="238">
        <v>4</v>
      </c>
      <c r="C320" s="239">
        <v>1</v>
      </c>
      <c r="D320" s="239">
        <v>21</v>
      </c>
      <c r="E320" s="266" t="str">
        <f t="shared" si="23"/>
        <v>فروردین</v>
      </c>
      <c r="F320" s="240" t="s">
        <v>167</v>
      </c>
      <c r="G320" s="245" t="s">
        <v>206</v>
      </c>
      <c r="H320" s="261" t="s">
        <v>211</v>
      </c>
      <c r="I320" s="162"/>
      <c r="J320" s="251">
        <v>1</v>
      </c>
      <c r="K320" s="254">
        <v>400000</v>
      </c>
      <c r="L320" s="255">
        <f t="shared" si="22"/>
        <v>400000</v>
      </c>
      <c r="M320" s="257">
        <v>400000</v>
      </c>
      <c r="N320" s="258" t="s">
        <v>299</v>
      </c>
      <c r="O320"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v>
      </c>
      <c r="P320" s="258"/>
      <c r="Q320" s="259" t="str" cm="1">
        <f t="array" ref="Q320">IF(T[[#This Row],[نوع عملیات]]="فروش", _xlfn.XLOOKUP(T[[#This Row],[کالا]], _xlfn._xlws.FILTER(T[کالا], T[نوع عملیات]="خرید"), _xlfn._xlws.FILTER(T[فروشنده / مشتری], T[نوع عملیات]="خرید")), "")</f>
        <v>فریده</v>
      </c>
    </row>
    <row r="321" spans="2:17" ht="16.5" hidden="1" x14ac:dyDescent="0.75">
      <c r="B321" s="238">
        <v>4</v>
      </c>
      <c r="C321" s="239">
        <v>1</v>
      </c>
      <c r="D321" s="239">
        <v>22</v>
      </c>
      <c r="E321" s="266" t="str">
        <f t="shared" si="23"/>
        <v>فروردین</v>
      </c>
      <c r="F321" s="240" t="s">
        <v>167</v>
      </c>
      <c r="G321" s="245" t="s">
        <v>421</v>
      </c>
      <c r="H321" s="261" t="s">
        <v>211</v>
      </c>
      <c r="I321" s="162"/>
      <c r="J321" s="251">
        <v>1</v>
      </c>
      <c r="K321" s="254">
        <v>1100000</v>
      </c>
      <c r="L321" s="255">
        <f t="shared" si="22"/>
        <v>1100000</v>
      </c>
      <c r="M321" s="257"/>
      <c r="N321" s="258"/>
      <c r="O321"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1100000</v>
      </c>
      <c r="P321" s="258"/>
      <c r="Q321" s="259" t="str" cm="1">
        <f t="array" ref="Q321">IF(T[[#This Row],[نوع عملیات]]="فروش", _xlfn.XLOOKUP(T[[#This Row],[کالا]], _xlfn._xlws.FILTER(T[کالا], T[نوع عملیات]="خرید"), _xlfn._xlws.FILTER(T[فروشنده / مشتری], T[نوع عملیات]="خرید")), "")</f>
        <v>خودم</v>
      </c>
    </row>
    <row r="322" spans="2:17" ht="16.5" hidden="1" x14ac:dyDescent="0.75">
      <c r="B322" s="238">
        <v>4</v>
      </c>
      <c r="C322" s="239">
        <v>1</v>
      </c>
      <c r="D322" s="239">
        <v>22</v>
      </c>
      <c r="E322" s="266" t="str">
        <f t="shared" si="23"/>
        <v>فروردین</v>
      </c>
      <c r="F322" s="240" t="s">
        <v>167</v>
      </c>
      <c r="G322" s="245" t="s">
        <v>353</v>
      </c>
      <c r="H322" s="261" t="s">
        <v>211</v>
      </c>
      <c r="I322" s="162"/>
      <c r="J322" s="251">
        <v>1</v>
      </c>
      <c r="K322" s="254">
        <v>550000</v>
      </c>
      <c r="L322" s="255">
        <f t="shared" si="22"/>
        <v>550000</v>
      </c>
      <c r="M322" s="257">
        <v>1650000</v>
      </c>
      <c r="N322" s="258" t="s">
        <v>299</v>
      </c>
      <c r="O322"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202941.17647058825</v>
      </c>
      <c r="P322" s="258"/>
      <c r="Q322" s="259" t="str" cm="1">
        <f t="array" ref="Q322">IF(T[[#This Row],[نوع عملیات]]="فروش", _xlfn.XLOOKUP(T[[#This Row],[کالا]], _xlfn._xlws.FILTER(T[کالا], T[نوع عملیات]="خرید"), _xlfn._xlws.FILTER(T[فروشنده / مشتری], T[نوع عملیات]="خرید")), "")</f>
        <v>بازار</v>
      </c>
    </row>
    <row r="323" spans="2:17" ht="16.5" hidden="1" x14ac:dyDescent="0.75">
      <c r="B323" s="238">
        <v>4</v>
      </c>
      <c r="C323" s="239">
        <v>1</v>
      </c>
      <c r="D323" s="239">
        <v>24</v>
      </c>
      <c r="E323" s="290" t="str">
        <f t="shared" si="23"/>
        <v>فروردین</v>
      </c>
      <c r="F323" s="240" t="s">
        <v>302</v>
      </c>
      <c r="G323" s="245"/>
      <c r="H323" s="261" t="s">
        <v>284</v>
      </c>
      <c r="I323" s="162"/>
      <c r="J323" s="251"/>
      <c r="K323" s="254"/>
      <c r="L323" s="255"/>
      <c r="M323" s="257">
        <v>3000000</v>
      </c>
      <c r="N323" s="258" t="s">
        <v>346</v>
      </c>
      <c r="O323"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23" s="258"/>
      <c r="Q323" s="259" t="str" cm="1">
        <f t="array" ref="Q323">IF(T[[#This Row],[نوع عملیات]]="فروش", _xlfn.XLOOKUP(T[[#This Row],[کالا]], _xlfn._xlws.FILTER(T[کالا], T[نوع عملیات]="خرید"), _xlfn._xlws.FILTER(T[فروشنده / مشتری], T[نوع عملیات]="خرید")), "")</f>
        <v/>
      </c>
    </row>
    <row r="324" spans="2:17" ht="16.5" hidden="1" x14ac:dyDescent="0.75">
      <c r="B324" s="238">
        <v>4</v>
      </c>
      <c r="C324" s="239">
        <v>1</v>
      </c>
      <c r="D324" s="239">
        <v>25</v>
      </c>
      <c r="E324" s="266" t="str">
        <f t="shared" si="23"/>
        <v>فروردین</v>
      </c>
      <c r="F324" s="240" t="s">
        <v>167</v>
      </c>
      <c r="G324" s="245" t="s">
        <v>206</v>
      </c>
      <c r="H324" s="261" t="s">
        <v>211</v>
      </c>
      <c r="I324" s="162"/>
      <c r="J324" s="251">
        <v>1</v>
      </c>
      <c r="K324" s="254">
        <v>450000</v>
      </c>
      <c r="L324" s="255">
        <f t="shared" ref="L324:L330" si="24">J324*K324</f>
        <v>450000</v>
      </c>
      <c r="M324" s="257"/>
      <c r="N324" s="258"/>
      <c r="O324"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v>
      </c>
      <c r="P324" s="258"/>
      <c r="Q324" s="259" t="str" cm="1">
        <f t="array" ref="Q324">IF(T[[#This Row],[نوع عملیات]]="فروش", _xlfn.XLOOKUP(T[[#This Row],[کالا]], _xlfn._xlws.FILTER(T[کالا], T[نوع عملیات]="خرید"), _xlfn._xlws.FILTER(T[فروشنده / مشتری], T[نوع عملیات]="خرید")), "")</f>
        <v>فریده</v>
      </c>
    </row>
    <row r="325" spans="2:17" ht="16.5" hidden="1" x14ac:dyDescent="0.75">
      <c r="B325" s="238">
        <v>4</v>
      </c>
      <c r="C325" s="239">
        <v>1</v>
      </c>
      <c r="D325" s="239">
        <v>25</v>
      </c>
      <c r="E325" s="266" t="str">
        <f t="shared" si="23"/>
        <v>فروردین</v>
      </c>
      <c r="F325" s="240" t="s">
        <v>167</v>
      </c>
      <c r="G325" s="245" t="s">
        <v>368</v>
      </c>
      <c r="H325" s="261" t="s">
        <v>211</v>
      </c>
      <c r="I325" s="162"/>
      <c r="J325" s="251">
        <v>1</v>
      </c>
      <c r="K325" s="254">
        <v>550000</v>
      </c>
      <c r="L325" s="255">
        <f t="shared" si="24"/>
        <v>550000</v>
      </c>
      <c r="M325" s="257">
        <v>1000000</v>
      </c>
      <c r="N325" s="258" t="s">
        <v>298</v>
      </c>
      <c r="O325"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332000</v>
      </c>
      <c r="P325" s="258"/>
      <c r="Q325" s="259" t="str" cm="1">
        <f t="array" ref="Q325">IF(T[[#This Row],[نوع عملیات]]="فروش", _xlfn.XLOOKUP(T[[#This Row],[کالا]], _xlfn._xlws.FILTER(T[کالا], T[نوع عملیات]="خرید"), _xlfn._xlws.FILTER(T[فروشنده / مشتری], T[نوع عملیات]="خرید")), "")</f>
        <v>بازار</v>
      </c>
    </row>
    <row r="326" spans="2:17" ht="16.5" hidden="1" x14ac:dyDescent="0.75">
      <c r="B326" s="238">
        <v>4</v>
      </c>
      <c r="C326" s="239">
        <v>1</v>
      </c>
      <c r="D326" s="239">
        <v>25</v>
      </c>
      <c r="E326" s="266" t="str">
        <f t="shared" si="23"/>
        <v>فروردین</v>
      </c>
      <c r="F326" s="240" t="s">
        <v>167</v>
      </c>
      <c r="G326" s="245" t="s">
        <v>275</v>
      </c>
      <c r="H326" s="261" t="s">
        <v>422</v>
      </c>
      <c r="I326" s="162"/>
      <c r="J326" s="251">
        <v>1</v>
      </c>
      <c r="K326" s="254">
        <v>620000</v>
      </c>
      <c r="L326" s="255">
        <f t="shared" si="24"/>
        <v>620000</v>
      </c>
      <c r="M326" s="257"/>
      <c r="N326" s="258"/>
      <c r="O326"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326" s="258"/>
      <c r="Q326" s="259" t="str" cm="1">
        <f t="array" ref="Q326">IF(T[[#This Row],[نوع عملیات]]="فروش", _xlfn.XLOOKUP(T[[#This Row],[کالا]], _xlfn._xlws.FILTER(T[کالا], T[نوع عملیات]="خرید"), _xlfn._xlws.FILTER(T[فروشنده / مشتری], T[نوع عملیات]="خرید")), "")</f>
        <v>سیروس</v>
      </c>
    </row>
    <row r="327" spans="2:17" ht="16.5" hidden="1" x14ac:dyDescent="0.75">
      <c r="B327" s="238">
        <v>4</v>
      </c>
      <c r="C327" s="239">
        <v>1</v>
      </c>
      <c r="D327" s="239">
        <v>25</v>
      </c>
      <c r="E327" s="266" t="str">
        <f t="shared" si="23"/>
        <v>فروردین</v>
      </c>
      <c r="F327" s="240" t="s">
        <v>167</v>
      </c>
      <c r="G327" s="245" t="s">
        <v>370</v>
      </c>
      <c r="H327" s="261" t="s">
        <v>422</v>
      </c>
      <c r="I327" s="162"/>
      <c r="J327" s="251">
        <v>1</v>
      </c>
      <c r="K327" s="254">
        <v>550000</v>
      </c>
      <c r="L327" s="255">
        <f t="shared" si="24"/>
        <v>550000</v>
      </c>
      <c r="M327" s="257">
        <v>1170000</v>
      </c>
      <c r="N327" s="258" t="s">
        <v>346</v>
      </c>
      <c r="O327"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332000</v>
      </c>
      <c r="P327" s="258"/>
      <c r="Q327" s="259" t="str" cm="1">
        <f t="array" ref="Q327">IF(T[[#This Row],[نوع عملیات]]="فروش", _xlfn.XLOOKUP(T[[#This Row],[کالا]], _xlfn._xlws.FILTER(T[کالا], T[نوع عملیات]="خرید"), _xlfn._xlws.FILTER(T[فروشنده / مشتری], T[نوع عملیات]="خرید")), "")</f>
        <v>بازار</v>
      </c>
    </row>
    <row r="328" spans="2:17" ht="16.5" hidden="1" x14ac:dyDescent="0.75">
      <c r="B328" s="238">
        <v>4</v>
      </c>
      <c r="C328" s="239">
        <v>1</v>
      </c>
      <c r="D328" s="239">
        <v>25</v>
      </c>
      <c r="E328" s="266" t="str">
        <f t="shared" si="23"/>
        <v>فروردین</v>
      </c>
      <c r="F328" s="240" t="s">
        <v>167</v>
      </c>
      <c r="G328" s="245" t="s">
        <v>418</v>
      </c>
      <c r="H328" s="261" t="s">
        <v>423</v>
      </c>
      <c r="I328" s="162"/>
      <c r="J328" s="251">
        <v>1</v>
      </c>
      <c r="K328" s="254">
        <v>1450000</v>
      </c>
      <c r="L328" s="255">
        <f t="shared" si="24"/>
        <v>1450000</v>
      </c>
      <c r="M328" s="257">
        <v>1450000</v>
      </c>
      <c r="N328" s="258" t="s">
        <v>346</v>
      </c>
      <c r="O32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465000</v>
      </c>
      <c r="P328" s="258"/>
      <c r="Q328" s="259" t="str" cm="1">
        <f t="array" ref="Q328">IF(T[[#This Row],[نوع عملیات]]="فروش", _xlfn.XLOOKUP(T[[#This Row],[کالا]], _xlfn._xlws.FILTER(T[کالا], T[نوع عملیات]="خرید"), _xlfn._xlws.FILTER(T[فروشنده / مشتری], T[نوع عملیات]="خرید")), "")</f>
        <v>عبدل آباد</v>
      </c>
    </row>
    <row r="329" spans="2:17" ht="16.5" hidden="1" x14ac:dyDescent="0.75">
      <c r="B329" s="227">
        <v>4</v>
      </c>
      <c r="C329" s="150">
        <v>1</v>
      </c>
      <c r="D329" s="150">
        <v>25</v>
      </c>
      <c r="E329" s="291" t="str">
        <f t="shared" si="23"/>
        <v>فروردین</v>
      </c>
      <c r="F329" s="151" t="s">
        <v>167</v>
      </c>
      <c r="G329" s="244" t="s">
        <v>362</v>
      </c>
      <c r="H329" s="247" t="s">
        <v>211</v>
      </c>
      <c r="I329" s="162"/>
      <c r="J329" s="251">
        <v>1</v>
      </c>
      <c r="K329" s="254">
        <v>350000</v>
      </c>
      <c r="L329" s="255">
        <f t="shared" si="24"/>
        <v>350000</v>
      </c>
      <c r="M329" s="257"/>
      <c r="N329" s="262"/>
      <c r="O32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252500</v>
      </c>
      <c r="P329" s="262"/>
      <c r="Q329" s="264" t="str" cm="1">
        <f t="array" ref="Q329">IF(T[[#This Row],[نوع عملیات]]="فروش", _xlfn.XLOOKUP(T[[#This Row],[کالا]], _xlfn._xlws.FILTER(T[کالا], T[نوع عملیات]="خرید"), _xlfn._xlws.FILTER(T[فروشنده / مشتری], T[نوع عملیات]="خرید")), "")</f>
        <v>بازار</v>
      </c>
    </row>
    <row r="330" spans="2:17" ht="16.5" hidden="1" x14ac:dyDescent="0.75">
      <c r="B330" s="227">
        <v>4</v>
      </c>
      <c r="C330" s="150">
        <v>1</v>
      </c>
      <c r="D330" s="150">
        <v>25</v>
      </c>
      <c r="E330" s="291" t="str">
        <f t="shared" si="23"/>
        <v>فروردین</v>
      </c>
      <c r="F330" s="151" t="s">
        <v>167</v>
      </c>
      <c r="G330" s="244" t="s">
        <v>418</v>
      </c>
      <c r="H330" s="247" t="s">
        <v>211</v>
      </c>
      <c r="I330" s="162"/>
      <c r="J330" s="251">
        <v>1</v>
      </c>
      <c r="K330" s="254">
        <v>1480000</v>
      </c>
      <c r="L330" s="255">
        <f t="shared" si="24"/>
        <v>1480000</v>
      </c>
      <c r="M330" s="257">
        <v>1830000</v>
      </c>
      <c r="N330" s="262" t="s">
        <v>298</v>
      </c>
      <c r="O33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495000</v>
      </c>
      <c r="P330" s="262"/>
      <c r="Q330" s="264" t="str" cm="1">
        <f t="array" ref="Q330">IF(T[[#This Row],[نوع عملیات]]="فروش", _xlfn.XLOOKUP(T[[#This Row],[کالا]], _xlfn._xlws.FILTER(T[کالا], T[نوع عملیات]="خرید"), _xlfn._xlws.FILTER(T[فروشنده / مشتری], T[نوع عملیات]="خرید")), "")</f>
        <v>عبدل آباد</v>
      </c>
    </row>
    <row r="331" spans="2:17" ht="16.5" hidden="1" x14ac:dyDescent="0.75">
      <c r="B331" s="227">
        <v>4</v>
      </c>
      <c r="C331" s="150">
        <v>1</v>
      </c>
      <c r="D331" s="150">
        <v>26</v>
      </c>
      <c r="E331" s="291" t="str">
        <f t="shared" si="23"/>
        <v>فروردین</v>
      </c>
      <c r="F331" s="151" t="s">
        <v>302</v>
      </c>
      <c r="G331" s="244"/>
      <c r="H331" s="247" t="s">
        <v>298</v>
      </c>
      <c r="I331" s="162"/>
      <c r="J331" s="251"/>
      <c r="K331" s="254"/>
      <c r="L331" s="255"/>
      <c r="M331" s="257">
        <v>19130000</v>
      </c>
      <c r="N331" s="262" t="s">
        <v>346</v>
      </c>
      <c r="O33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31" s="262"/>
      <c r="Q331" s="264" t="str" cm="1">
        <f t="array" ref="Q331">IF(T[[#This Row],[نوع عملیات]]="فروش", _xlfn.XLOOKUP(T[[#This Row],[کالا]], _xlfn._xlws.FILTER(T[کالا], T[نوع عملیات]="خرید"), _xlfn._xlws.FILTER(T[فروشنده / مشتری], T[نوع عملیات]="خرید")), "")</f>
        <v/>
      </c>
    </row>
    <row r="332" spans="2:17" ht="16.5" hidden="1" x14ac:dyDescent="0.75">
      <c r="B332" s="227">
        <v>4</v>
      </c>
      <c r="C332" s="150">
        <v>1</v>
      </c>
      <c r="D332" s="150">
        <v>27</v>
      </c>
      <c r="E332" s="291" t="str">
        <f t="shared" si="23"/>
        <v>فروردین</v>
      </c>
      <c r="F332" s="151" t="s">
        <v>167</v>
      </c>
      <c r="G332" s="244" t="s">
        <v>418</v>
      </c>
      <c r="H332" s="247" t="s">
        <v>539</v>
      </c>
      <c r="I332" s="162"/>
      <c r="J332" s="251">
        <v>1</v>
      </c>
      <c r="K332" s="254">
        <v>1480000</v>
      </c>
      <c r="L332" s="255">
        <f t="shared" ref="L332:L339" si="25">J332*K332</f>
        <v>1480000</v>
      </c>
      <c r="M332" s="257"/>
      <c r="N332" s="262"/>
      <c r="O33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495000</v>
      </c>
      <c r="P332" s="262"/>
      <c r="Q332" s="264" t="str" cm="1">
        <f t="array" ref="Q332">IF(T[[#This Row],[نوع عملیات]]="فروش", _xlfn.XLOOKUP(T[[#This Row],[کالا]], _xlfn._xlws.FILTER(T[کالا], T[نوع عملیات]="خرید"), _xlfn._xlws.FILTER(T[فروشنده / مشتری], T[نوع عملیات]="خرید")), "")</f>
        <v>عبدل آباد</v>
      </c>
    </row>
    <row r="333" spans="2:17" ht="16.5" hidden="1" x14ac:dyDescent="0.75">
      <c r="B333" s="227">
        <v>4</v>
      </c>
      <c r="C333" s="150">
        <v>1</v>
      </c>
      <c r="D333" s="150">
        <v>27</v>
      </c>
      <c r="E333" s="291" t="str">
        <f t="shared" si="23"/>
        <v>فروردین</v>
      </c>
      <c r="F333" s="151" t="s">
        <v>167</v>
      </c>
      <c r="G333" s="244" t="s">
        <v>240</v>
      </c>
      <c r="H333" s="247" t="s">
        <v>424</v>
      </c>
      <c r="I333" s="162"/>
      <c r="J333" s="251">
        <v>1</v>
      </c>
      <c r="K333" s="254">
        <v>750000</v>
      </c>
      <c r="L333" s="255">
        <f t="shared" si="25"/>
        <v>750000</v>
      </c>
      <c r="M333" s="257"/>
      <c r="N333" s="262"/>
      <c r="O33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415000</v>
      </c>
      <c r="P333" s="262"/>
      <c r="Q333" s="264" t="str" cm="1">
        <f t="array" ref="Q333">IF(T[[#This Row],[نوع عملیات]]="فروش", _xlfn.XLOOKUP(T[[#This Row],[کالا]], _xlfn._xlws.FILTER(T[کالا], T[نوع عملیات]="خرید"), _xlfn._xlws.FILTER(T[فروشنده / مشتری], T[نوع عملیات]="خرید")), "")</f>
        <v>بازار</v>
      </c>
    </row>
    <row r="334" spans="2:17" ht="16.5" hidden="1" x14ac:dyDescent="0.75">
      <c r="B334" s="227">
        <v>4</v>
      </c>
      <c r="C334" s="150">
        <v>1</v>
      </c>
      <c r="D334" s="150">
        <v>27</v>
      </c>
      <c r="E334" s="291" t="str">
        <f t="shared" si="23"/>
        <v>فروردین</v>
      </c>
      <c r="F334" s="151" t="s">
        <v>167</v>
      </c>
      <c r="G334" s="244" t="s">
        <v>240</v>
      </c>
      <c r="H334" s="247" t="s">
        <v>352</v>
      </c>
      <c r="I334" s="162"/>
      <c r="J334" s="251">
        <v>1</v>
      </c>
      <c r="K334" s="254">
        <v>750000</v>
      </c>
      <c r="L334" s="255">
        <f t="shared" si="25"/>
        <v>750000</v>
      </c>
      <c r="M334" s="257"/>
      <c r="N334" s="262"/>
      <c r="O33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415000</v>
      </c>
      <c r="P334" s="262"/>
      <c r="Q334" s="264" t="str" cm="1">
        <f t="array" ref="Q334">IF(T[[#This Row],[نوع عملیات]]="فروش", _xlfn.XLOOKUP(T[[#This Row],[کالا]], _xlfn._xlws.FILTER(T[کالا], T[نوع عملیات]="خرید"), _xlfn._xlws.FILTER(T[فروشنده / مشتری], T[نوع عملیات]="خرید")), "")</f>
        <v>بازار</v>
      </c>
    </row>
    <row r="335" spans="2:17" ht="16.5" hidden="1" x14ac:dyDescent="0.75">
      <c r="B335" s="227">
        <v>4</v>
      </c>
      <c r="C335" s="150">
        <v>1</v>
      </c>
      <c r="D335" s="150">
        <v>27</v>
      </c>
      <c r="E335" s="291" t="str">
        <f t="shared" si="23"/>
        <v>فروردین</v>
      </c>
      <c r="F335" s="151" t="s">
        <v>167</v>
      </c>
      <c r="G335" s="244" t="s">
        <v>425</v>
      </c>
      <c r="H335" s="247" t="s">
        <v>352</v>
      </c>
      <c r="I335" s="162"/>
      <c r="J335" s="251">
        <v>1</v>
      </c>
      <c r="K335" s="254">
        <v>800000</v>
      </c>
      <c r="L335" s="255">
        <f t="shared" si="25"/>
        <v>800000</v>
      </c>
      <c r="M335" s="257"/>
      <c r="N335" s="262"/>
      <c r="O33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800000</v>
      </c>
      <c r="P335" s="262"/>
      <c r="Q335" s="264" t="str" cm="1">
        <f t="array" ref="Q335">IF(T[[#This Row],[نوع عملیات]]="فروش", _xlfn.XLOOKUP(T[[#This Row],[کالا]], _xlfn._xlws.FILTER(T[کالا], T[نوع عملیات]="خرید"), _xlfn._xlws.FILTER(T[فروشنده / مشتری], T[نوع عملیات]="خرید")), "")</f>
        <v>خودم</v>
      </c>
    </row>
    <row r="336" spans="2:17" ht="16.5" hidden="1" x14ac:dyDescent="0.75">
      <c r="B336" s="227">
        <v>4</v>
      </c>
      <c r="C336" s="150">
        <v>1</v>
      </c>
      <c r="D336" s="150">
        <v>27</v>
      </c>
      <c r="E336" s="150" t="str">
        <f t="shared" si="23"/>
        <v>فروردین</v>
      </c>
      <c r="F336" s="151" t="s">
        <v>167</v>
      </c>
      <c r="G336" s="244" t="s">
        <v>247</v>
      </c>
      <c r="H336" s="247" t="s">
        <v>423</v>
      </c>
      <c r="I336" s="162"/>
      <c r="J336" s="251">
        <v>1</v>
      </c>
      <c r="K336" s="254">
        <v>600000</v>
      </c>
      <c r="L336" s="255">
        <f t="shared" si="25"/>
        <v>600000</v>
      </c>
      <c r="M336" s="257">
        <v>600000</v>
      </c>
      <c r="N336" s="262" t="s">
        <v>299</v>
      </c>
      <c r="O33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402000</v>
      </c>
      <c r="P336" s="262"/>
      <c r="Q336" s="264" t="str" cm="1">
        <f t="array" ref="Q336">IF(T[[#This Row],[نوع عملیات]]="فروش", _xlfn.XLOOKUP(T[[#This Row],[کالا]], _xlfn._xlws.FILTER(T[کالا], T[نوع عملیات]="خرید"), _xlfn._xlws.FILTER(T[فروشنده / مشتری], T[نوع عملیات]="خرید")), "")</f>
        <v>تولیدی پوشاک تین استایل</v>
      </c>
    </row>
    <row r="337" spans="2:17" ht="16.5" x14ac:dyDescent="0.75">
      <c r="B337" s="227">
        <v>4</v>
      </c>
      <c r="C337" s="150">
        <v>1</v>
      </c>
      <c r="D337" s="150">
        <v>29</v>
      </c>
      <c r="E337" s="150" t="str">
        <f t="shared" si="23"/>
        <v>فروردین</v>
      </c>
      <c r="F337" s="151" t="s">
        <v>168</v>
      </c>
      <c r="G337" s="244" t="s">
        <v>406</v>
      </c>
      <c r="H337" s="247" t="s">
        <v>390</v>
      </c>
      <c r="I337" s="161" t="s">
        <v>489</v>
      </c>
      <c r="J337" s="251">
        <v>1</v>
      </c>
      <c r="K337" s="254">
        <v>450000</v>
      </c>
      <c r="L337" s="255">
        <f t="shared" si="25"/>
        <v>450000</v>
      </c>
      <c r="M337" s="257"/>
      <c r="N337" s="262" t="s">
        <v>346</v>
      </c>
      <c r="O33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37" s="262"/>
      <c r="Q337" s="264" t="str" cm="1">
        <f t="array" ref="Q337">IF(T[[#This Row],[نوع عملیات]]="فروش", _xlfn.XLOOKUP(T[[#This Row],[کالا]], _xlfn._xlws.FILTER(T[کالا], T[نوع عملیات]="خرید"), _xlfn._xlws.FILTER(T[فروشنده / مشتری], T[نوع عملیات]="خرید")), "")</f>
        <v/>
      </c>
    </row>
    <row r="338" spans="2:17" ht="16.5" x14ac:dyDescent="0.75">
      <c r="B338" s="227">
        <v>4</v>
      </c>
      <c r="C338" s="150">
        <v>1</v>
      </c>
      <c r="D338" s="150">
        <v>29</v>
      </c>
      <c r="E338" s="150" t="str">
        <f t="shared" si="23"/>
        <v>فروردین</v>
      </c>
      <c r="F338" s="151" t="s">
        <v>168</v>
      </c>
      <c r="G338" s="244" t="s">
        <v>407</v>
      </c>
      <c r="H338" s="247" t="s">
        <v>390</v>
      </c>
      <c r="I338" s="161" t="s">
        <v>489</v>
      </c>
      <c r="J338" s="251">
        <v>1</v>
      </c>
      <c r="K338" s="254">
        <v>1100000</v>
      </c>
      <c r="L338" s="255">
        <f t="shared" si="25"/>
        <v>1100000</v>
      </c>
      <c r="M338" s="257"/>
      <c r="N338" s="262" t="s">
        <v>346</v>
      </c>
      <c r="O33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38" s="262"/>
      <c r="Q338" s="264" t="str" cm="1">
        <f t="array" ref="Q338">IF(T[[#This Row],[نوع عملیات]]="فروش", _xlfn.XLOOKUP(T[[#This Row],[کالا]], _xlfn._xlws.FILTER(T[کالا], T[نوع عملیات]="خرید"), _xlfn._xlws.FILTER(T[فروشنده / مشتری], T[نوع عملیات]="خرید")), "")</f>
        <v/>
      </c>
    </row>
    <row r="339" spans="2:17" ht="16.5" x14ac:dyDescent="0.75">
      <c r="B339" s="227">
        <v>4</v>
      </c>
      <c r="C339" s="150">
        <v>1</v>
      </c>
      <c r="D339" s="150">
        <v>29</v>
      </c>
      <c r="E339" s="150" t="str">
        <f t="shared" si="23"/>
        <v>فروردین</v>
      </c>
      <c r="F339" s="151" t="s">
        <v>168</v>
      </c>
      <c r="G339" s="244" t="s">
        <v>408</v>
      </c>
      <c r="H339" s="247" t="s">
        <v>390</v>
      </c>
      <c r="I339" s="161" t="s">
        <v>489</v>
      </c>
      <c r="J339" s="251">
        <v>5</v>
      </c>
      <c r="K339" s="254">
        <v>1550000</v>
      </c>
      <c r="L339" s="255">
        <f t="shared" si="25"/>
        <v>7750000</v>
      </c>
      <c r="M339" s="257"/>
      <c r="N339" s="262" t="s">
        <v>346</v>
      </c>
      <c r="O33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39" s="262"/>
      <c r="Q339" s="264" t="str" cm="1">
        <f t="array" ref="Q339">IF(T[[#This Row],[نوع عملیات]]="فروش", _xlfn.XLOOKUP(T[[#This Row],[کالا]], _xlfn._xlws.FILTER(T[کالا], T[نوع عملیات]="خرید"), _xlfn._xlws.FILTER(T[فروشنده / مشتری], T[نوع عملیات]="خرید")), "")</f>
        <v/>
      </c>
    </row>
    <row r="340" spans="2:17" ht="16.5" x14ac:dyDescent="0.75">
      <c r="B340" s="227">
        <v>4</v>
      </c>
      <c r="C340" s="150">
        <v>1</v>
      </c>
      <c r="D340" s="150">
        <v>29</v>
      </c>
      <c r="E340" s="150" t="str">
        <f t="shared" si="23"/>
        <v>فروردین</v>
      </c>
      <c r="F340" s="151" t="s">
        <v>168</v>
      </c>
      <c r="G340" s="244" t="s">
        <v>484</v>
      </c>
      <c r="H340" s="247" t="s">
        <v>390</v>
      </c>
      <c r="I340" s="161" t="s">
        <v>489</v>
      </c>
      <c r="J340" s="251">
        <v>11</v>
      </c>
      <c r="K340" s="254">
        <f>T[[#This Row],[قیمت کل]]/T[[#This Row],[تعداد]]</f>
        <v>1063636.3636363635</v>
      </c>
      <c r="L340" s="255">
        <v>11700000</v>
      </c>
      <c r="M340" s="257"/>
      <c r="N340" s="262" t="s">
        <v>346</v>
      </c>
      <c r="O3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0" s="262"/>
      <c r="Q340" s="264" t="str" cm="1">
        <f t="array" ref="Q340">IF(T[[#This Row],[نوع عملیات]]="فروش", _xlfn.XLOOKUP(T[[#This Row],[کالا]], _xlfn._xlws.FILTER(T[کالا], T[نوع عملیات]="خرید"), _xlfn._xlws.FILTER(T[فروشنده / مشتری], T[نوع عملیات]="خرید")), "")</f>
        <v/>
      </c>
    </row>
    <row r="341" spans="2:17" ht="16.5" x14ac:dyDescent="0.75">
      <c r="B341" s="227">
        <v>4</v>
      </c>
      <c r="C341" s="150">
        <v>1</v>
      </c>
      <c r="D341" s="150">
        <v>29</v>
      </c>
      <c r="E341" s="150" t="str">
        <f t="shared" si="23"/>
        <v>فروردین</v>
      </c>
      <c r="F341" s="151" t="s">
        <v>168</v>
      </c>
      <c r="G341" s="244" t="s">
        <v>409</v>
      </c>
      <c r="H341" s="247" t="s">
        <v>390</v>
      </c>
      <c r="I341" s="161" t="s">
        <v>489</v>
      </c>
      <c r="J341" s="251">
        <v>1</v>
      </c>
      <c r="K341" s="254">
        <v>1150000</v>
      </c>
      <c r="L341" s="255">
        <f t="shared" ref="L341:L351" si="26">J341*K341</f>
        <v>1150000</v>
      </c>
      <c r="M341" s="257"/>
      <c r="N341" s="262" t="s">
        <v>346</v>
      </c>
      <c r="O34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1" s="262"/>
      <c r="Q341" s="264" t="str" cm="1">
        <f t="array" ref="Q341">IF(T[[#This Row],[نوع عملیات]]="فروش", _xlfn.XLOOKUP(T[[#This Row],[کالا]], _xlfn._xlws.FILTER(T[کالا], T[نوع عملیات]="خرید"), _xlfn._xlws.FILTER(T[فروشنده / مشتری], T[نوع عملیات]="خرید")), "")</f>
        <v/>
      </c>
    </row>
    <row r="342" spans="2:17" ht="16.5" x14ac:dyDescent="0.75">
      <c r="B342" s="227">
        <v>4</v>
      </c>
      <c r="C342" s="150">
        <v>1</v>
      </c>
      <c r="D342" s="150">
        <v>29</v>
      </c>
      <c r="E342" s="150" t="str">
        <f t="shared" si="23"/>
        <v>فروردین</v>
      </c>
      <c r="F342" s="151" t="s">
        <v>168</v>
      </c>
      <c r="G342" s="244" t="s">
        <v>410</v>
      </c>
      <c r="H342" s="247" t="s">
        <v>390</v>
      </c>
      <c r="I342" s="161" t="s">
        <v>489</v>
      </c>
      <c r="J342" s="251">
        <v>3</v>
      </c>
      <c r="K342" s="254">
        <v>900000</v>
      </c>
      <c r="L342" s="255">
        <f t="shared" si="26"/>
        <v>2700000</v>
      </c>
      <c r="M342" s="257"/>
      <c r="N342" s="262" t="s">
        <v>346</v>
      </c>
      <c r="O34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2" s="262"/>
      <c r="Q342" s="264" t="str" cm="1">
        <f t="array" ref="Q342">IF(T[[#This Row],[نوع عملیات]]="فروش", _xlfn.XLOOKUP(T[[#This Row],[کالا]], _xlfn._xlws.FILTER(T[کالا], T[نوع عملیات]="خرید"), _xlfn._xlws.FILTER(T[فروشنده / مشتری], T[نوع عملیات]="خرید")), "")</f>
        <v/>
      </c>
    </row>
    <row r="343" spans="2:17" ht="16.5" x14ac:dyDescent="0.75">
      <c r="B343" s="227">
        <v>4</v>
      </c>
      <c r="C343" s="150">
        <v>1</v>
      </c>
      <c r="D343" s="150">
        <v>29</v>
      </c>
      <c r="E343" s="150" t="str">
        <f t="shared" si="23"/>
        <v>فروردین</v>
      </c>
      <c r="F343" s="151" t="s">
        <v>168</v>
      </c>
      <c r="G343" s="244" t="s">
        <v>411</v>
      </c>
      <c r="H343" s="247" t="s">
        <v>390</v>
      </c>
      <c r="I343" s="161" t="s">
        <v>489</v>
      </c>
      <c r="J343" s="251">
        <v>2</v>
      </c>
      <c r="K343" s="254">
        <v>850000</v>
      </c>
      <c r="L343" s="255">
        <f t="shared" si="26"/>
        <v>1700000</v>
      </c>
      <c r="M343" s="257"/>
      <c r="N343" s="262" t="s">
        <v>346</v>
      </c>
      <c r="O34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3" s="262"/>
      <c r="Q343" s="264" t="str" cm="1">
        <f t="array" ref="Q343">IF(T[[#This Row],[نوع عملیات]]="فروش", _xlfn.XLOOKUP(T[[#This Row],[کالا]], _xlfn._xlws.FILTER(T[کالا], T[نوع عملیات]="خرید"), _xlfn._xlws.FILTER(T[فروشنده / مشتری], T[نوع عملیات]="خرید")), "")</f>
        <v/>
      </c>
    </row>
    <row r="344" spans="2:17" ht="16.5" x14ac:dyDescent="0.75">
      <c r="B344" s="227">
        <v>4</v>
      </c>
      <c r="C344" s="150">
        <v>1</v>
      </c>
      <c r="D344" s="150">
        <v>29</v>
      </c>
      <c r="E344" s="150" t="str">
        <f t="shared" ref="E344:E375" si="27">CHOOSE(C344, "فروردین", "اردیبهشت", "خرداد", "تیر", "مرداد", "شهریور", "مهر", "آبان", "آذر", "دی", "بهمن", "اسفند")</f>
        <v>فروردین</v>
      </c>
      <c r="F344" s="151" t="s">
        <v>168</v>
      </c>
      <c r="G344" s="244" t="s">
        <v>412</v>
      </c>
      <c r="H344" s="247" t="s">
        <v>390</v>
      </c>
      <c r="I344" s="161" t="s">
        <v>489</v>
      </c>
      <c r="J344" s="251">
        <v>1</v>
      </c>
      <c r="K344" s="254">
        <v>1150000</v>
      </c>
      <c r="L344" s="255">
        <f t="shared" si="26"/>
        <v>1150000</v>
      </c>
      <c r="M344" s="257"/>
      <c r="N344" s="262" t="s">
        <v>346</v>
      </c>
      <c r="O34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4" s="262"/>
      <c r="Q344" s="264" t="str" cm="1">
        <f t="array" ref="Q344">IF(T[[#This Row],[نوع عملیات]]="فروش", _xlfn.XLOOKUP(T[[#This Row],[کالا]], _xlfn._xlws.FILTER(T[کالا], T[نوع عملیات]="خرید"), _xlfn._xlws.FILTER(T[فروشنده / مشتری], T[نوع عملیات]="خرید")), "")</f>
        <v/>
      </c>
    </row>
    <row r="345" spans="2:17" ht="16.5" x14ac:dyDescent="0.75">
      <c r="B345" s="227">
        <v>4</v>
      </c>
      <c r="C345" s="150">
        <v>1</v>
      </c>
      <c r="D345" s="150">
        <v>29</v>
      </c>
      <c r="E345" s="150" t="str">
        <f t="shared" si="27"/>
        <v>فروردین</v>
      </c>
      <c r="F345" s="151" t="s">
        <v>168</v>
      </c>
      <c r="G345" s="244" t="s">
        <v>413</v>
      </c>
      <c r="H345" s="247" t="s">
        <v>390</v>
      </c>
      <c r="I345" s="161" t="s">
        <v>489</v>
      </c>
      <c r="J345" s="251">
        <v>1</v>
      </c>
      <c r="K345" s="254">
        <v>850000</v>
      </c>
      <c r="L345" s="255">
        <f t="shared" si="26"/>
        <v>850000</v>
      </c>
      <c r="M345" s="257"/>
      <c r="N345" s="262" t="s">
        <v>346</v>
      </c>
      <c r="O34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5" s="262"/>
      <c r="Q345" s="264" t="str" cm="1">
        <f t="array" ref="Q345">IF(T[[#This Row],[نوع عملیات]]="فروش", _xlfn.XLOOKUP(T[[#This Row],[کالا]], _xlfn._xlws.FILTER(T[کالا], T[نوع عملیات]="خرید"), _xlfn._xlws.FILTER(T[فروشنده / مشتری], T[نوع عملیات]="خرید")), "")</f>
        <v/>
      </c>
    </row>
    <row r="346" spans="2:17" ht="16.5" x14ac:dyDescent="0.75">
      <c r="B346" s="227">
        <v>4</v>
      </c>
      <c r="C346" s="150">
        <v>1</v>
      </c>
      <c r="D346" s="150">
        <v>29</v>
      </c>
      <c r="E346" s="150" t="str">
        <f t="shared" si="27"/>
        <v>فروردین</v>
      </c>
      <c r="F346" s="151" t="s">
        <v>168</v>
      </c>
      <c r="G346" s="244" t="s">
        <v>414</v>
      </c>
      <c r="H346" s="247" t="s">
        <v>390</v>
      </c>
      <c r="I346" s="161" t="s">
        <v>489</v>
      </c>
      <c r="J346" s="251">
        <v>1</v>
      </c>
      <c r="K346" s="254">
        <v>500000</v>
      </c>
      <c r="L346" s="255">
        <f t="shared" si="26"/>
        <v>500000</v>
      </c>
      <c r="M346" s="257"/>
      <c r="N346" s="262" t="s">
        <v>346</v>
      </c>
      <c r="O34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6" s="262"/>
      <c r="Q346" s="264" t="str" cm="1">
        <f t="array" ref="Q346">IF(T[[#This Row],[نوع عملیات]]="فروش", _xlfn.XLOOKUP(T[[#This Row],[کالا]], _xlfn._xlws.FILTER(T[کالا], T[نوع عملیات]="خرید"), _xlfn._xlws.FILTER(T[فروشنده / مشتری], T[نوع عملیات]="خرید")), "")</f>
        <v/>
      </c>
    </row>
    <row r="347" spans="2:17" ht="16.5" x14ac:dyDescent="0.75">
      <c r="B347" s="227">
        <v>4</v>
      </c>
      <c r="C347" s="150">
        <v>1</v>
      </c>
      <c r="D347" s="150">
        <v>29</v>
      </c>
      <c r="E347" s="150" t="str">
        <f t="shared" si="27"/>
        <v>فروردین</v>
      </c>
      <c r="F347" s="151" t="s">
        <v>168</v>
      </c>
      <c r="G347" s="244" t="s">
        <v>415</v>
      </c>
      <c r="H347" s="247" t="s">
        <v>390</v>
      </c>
      <c r="I347" s="161" t="s">
        <v>489</v>
      </c>
      <c r="J347" s="251">
        <v>2</v>
      </c>
      <c r="K347" s="254">
        <v>1200000</v>
      </c>
      <c r="L347" s="255">
        <f t="shared" si="26"/>
        <v>2400000</v>
      </c>
      <c r="M347" s="257"/>
      <c r="N347" s="262" t="s">
        <v>346</v>
      </c>
      <c r="O34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7" s="262"/>
      <c r="Q347" s="264" t="str" cm="1">
        <f t="array" ref="Q347">IF(T[[#This Row],[نوع عملیات]]="فروش", _xlfn.XLOOKUP(T[[#This Row],[کالا]], _xlfn._xlws.FILTER(T[کالا], T[نوع عملیات]="خرید"), _xlfn._xlws.FILTER(T[فروشنده / مشتری], T[نوع عملیات]="خرید")), "")</f>
        <v/>
      </c>
    </row>
    <row r="348" spans="2:17" ht="16.5" x14ac:dyDescent="0.75">
      <c r="B348" s="227">
        <v>4</v>
      </c>
      <c r="C348" s="150">
        <v>1</v>
      </c>
      <c r="D348" s="150">
        <v>29</v>
      </c>
      <c r="E348" s="150" t="str">
        <f t="shared" si="27"/>
        <v>فروردین</v>
      </c>
      <c r="F348" s="151" t="s">
        <v>168</v>
      </c>
      <c r="G348" s="244" t="s">
        <v>426</v>
      </c>
      <c r="H348" s="247" t="s">
        <v>390</v>
      </c>
      <c r="I348" s="161" t="s">
        <v>489</v>
      </c>
      <c r="J348" s="251">
        <v>1</v>
      </c>
      <c r="K348" s="254">
        <v>700000</v>
      </c>
      <c r="L348" s="255">
        <f t="shared" si="26"/>
        <v>700000</v>
      </c>
      <c r="M348" s="257"/>
      <c r="N348" s="262" t="s">
        <v>346</v>
      </c>
      <c r="O3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8" s="262"/>
      <c r="Q348" s="264" t="str" cm="1">
        <f t="array" ref="Q348">IF(T[[#This Row],[نوع عملیات]]="فروش", _xlfn.XLOOKUP(T[[#This Row],[کالا]], _xlfn._xlws.FILTER(T[کالا], T[نوع عملیات]="خرید"), _xlfn._xlws.FILTER(T[فروشنده / مشتری], T[نوع عملیات]="خرید")), "")</f>
        <v/>
      </c>
    </row>
    <row r="349" spans="2:17" ht="16.5" x14ac:dyDescent="0.75">
      <c r="B349" s="227">
        <v>4</v>
      </c>
      <c r="C349" s="150">
        <v>1</v>
      </c>
      <c r="D349" s="150">
        <v>29</v>
      </c>
      <c r="E349" s="150" t="str">
        <f t="shared" si="27"/>
        <v>فروردین</v>
      </c>
      <c r="F349" s="151" t="s">
        <v>168</v>
      </c>
      <c r="G349" s="244" t="s">
        <v>507</v>
      </c>
      <c r="H349" s="247" t="s">
        <v>390</v>
      </c>
      <c r="I349" s="161" t="s">
        <v>489</v>
      </c>
      <c r="J349" s="251">
        <v>1</v>
      </c>
      <c r="K349" s="254">
        <v>1000000</v>
      </c>
      <c r="L349" s="255">
        <f t="shared" si="26"/>
        <v>1000000</v>
      </c>
      <c r="M349" s="257"/>
      <c r="N349" s="262" t="s">
        <v>346</v>
      </c>
      <c r="O3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49" s="262"/>
      <c r="Q349" s="264" t="str" cm="1">
        <f t="array" ref="Q349">IF(T[[#This Row],[نوع عملیات]]="فروش", _xlfn.XLOOKUP(T[[#This Row],[کالا]], _xlfn._xlws.FILTER(T[کالا], T[نوع عملیات]="خرید"), _xlfn._xlws.FILTER(T[فروشنده / مشتری], T[نوع عملیات]="خرید")), "")</f>
        <v/>
      </c>
    </row>
    <row r="350" spans="2:17" ht="16.5" x14ac:dyDescent="0.75">
      <c r="B350" s="227">
        <v>4</v>
      </c>
      <c r="C350" s="150">
        <v>1</v>
      </c>
      <c r="D350" s="150">
        <v>29</v>
      </c>
      <c r="E350" s="150" t="str">
        <f t="shared" si="27"/>
        <v>فروردین</v>
      </c>
      <c r="F350" s="151" t="s">
        <v>168</v>
      </c>
      <c r="G350" s="244" t="s">
        <v>508</v>
      </c>
      <c r="H350" s="247" t="s">
        <v>390</v>
      </c>
      <c r="I350" s="161" t="s">
        <v>489</v>
      </c>
      <c r="J350" s="251">
        <v>1</v>
      </c>
      <c r="K350" s="254">
        <v>900000</v>
      </c>
      <c r="L350" s="255">
        <f t="shared" si="26"/>
        <v>900000</v>
      </c>
      <c r="M350" s="257"/>
      <c r="N350" s="262" t="s">
        <v>346</v>
      </c>
      <c r="O35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50" s="262"/>
      <c r="Q350" s="264" t="str" cm="1">
        <f t="array" ref="Q350">IF(T[[#This Row],[نوع عملیات]]="فروش", _xlfn.XLOOKUP(T[[#This Row],[کالا]], _xlfn._xlws.FILTER(T[کالا], T[نوع عملیات]="خرید"), _xlfn._xlws.FILTER(T[فروشنده / مشتری], T[نوع عملیات]="خرید")), "")</f>
        <v/>
      </c>
    </row>
    <row r="351" spans="2:17" ht="16.5" x14ac:dyDescent="0.75">
      <c r="B351" s="227">
        <v>4</v>
      </c>
      <c r="C351" s="150">
        <v>1</v>
      </c>
      <c r="D351" s="150">
        <v>29</v>
      </c>
      <c r="E351" s="150" t="str">
        <f t="shared" si="27"/>
        <v>فروردین</v>
      </c>
      <c r="F351" s="151" t="s">
        <v>168</v>
      </c>
      <c r="G351" s="244" t="s">
        <v>427</v>
      </c>
      <c r="H351" s="247" t="s">
        <v>390</v>
      </c>
      <c r="I351" s="161" t="s">
        <v>489</v>
      </c>
      <c r="J351" s="251">
        <v>1</v>
      </c>
      <c r="K351" s="254">
        <v>1900000</v>
      </c>
      <c r="L351" s="255">
        <f t="shared" si="26"/>
        <v>1900000</v>
      </c>
      <c r="M351" s="257">
        <v>35950000</v>
      </c>
      <c r="N351" s="262" t="s">
        <v>346</v>
      </c>
      <c r="O3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51" s="262"/>
      <c r="Q351" s="264" t="str" cm="1">
        <f t="array" ref="Q351">IF(T[[#This Row],[نوع عملیات]]="فروش", _xlfn.XLOOKUP(T[[#This Row],[کالا]], _xlfn._xlws.FILTER(T[کالا], T[نوع عملیات]="خرید"), _xlfn._xlws.FILTER(T[فروشنده / مشتری], T[نوع عملیات]="خرید")), "")</f>
        <v/>
      </c>
    </row>
    <row r="352" spans="2:17" ht="16.5" hidden="1" x14ac:dyDescent="0.75">
      <c r="B352" s="227">
        <v>4</v>
      </c>
      <c r="C352" s="150">
        <v>1</v>
      </c>
      <c r="D352" s="150">
        <v>29</v>
      </c>
      <c r="E352" s="150" t="str">
        <f t="shared" si="27"/>
        <v>فروردین</v>
      </c>
      <c r="F352" s="151" t="s">
        <v>302</v>
      </c>
      <c r="G352" s="244"/>
      <c r="H352" s="247" t="s">
        <v>405</v>
      </c>
      <c r="I352" s="162"/>
      <c r="J352" s="251"/>
      <c r="K352" s="254"/>
      <c r="L352" s="255"/>
      <c r="M352" s="257">
        <v>2200000</v>
      </c>
      <c r="N352" s="262" t="s">
        <v>346</v>
      </c>
      <c r="O3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52" s="262"/>
      <c r="Q352" s="264" t="str" cm="1">
        <f t="array" ref="Q352">IF(T[[#This Row],[نوع عملیات]]="فروش", _xlfn.XLOOKUP(T[[#This Row],[کالا]], _xlfn._xlws.FILTER(T[کالا], T[نوع عملیات]="خرید"), _xlfn._xlws.FILTER(T[فروشنده / مشتری], T[نوع عملیات]="خرید")), "")</f>
        <v/>
      </c>
    </row>
    <row r="353" spans="2:17" ht="16.5" hidden="1" x14ac:dyDescent="0.75">
      <c r="B353" s="227">
        <v>4</v>
      </c>
      <c r="C353" s="150">
        <v>1</v>
      </c>
      <c r="D353" s="150">
        <v>30</v>
      </c>
      <c r="E353" s="150" t="str">
        <f t="shared" si="27"/>
        <v>فروردین</v>
      </c>
      <c r="F353" s="151" t="s">
        <v>167</v>
      </c>
      <c r="G353" s="244" t="s">
        <v>484</v>
      </c>
      <c r="H353" s="247" t="s">
        <v>434</v>
      </c>
      <c r="I353" s="162"/>
      <c r="J353" s="251">
        <v>1</v>
      </c>
      <c r="K353" s="254">
        <v>1450000</v>
      </c>
      <c r="L353" s="255">
        <f>J353*K353</f>
        <v>1450000</v>
      </c>
      <c r="M353" s="257"/>
      <c r="N353" s="262"/>
      <c r="O35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415555.5555555555</v>
      </c>
      <c r="P353" s="262"/>
      <c r="Q353" s="264" t="str" cm="1">
        <f t="array" ref="Q353">IF(T[[#This Row],[نوع عملیات]]="فروش", _xlfn.XLOOKUP(T[[#This Row],[کالا]], _xlfn._xlws.FILTER(T[کالا], T[نوع عملیات]="خرید"), _xlfn._xlws.FILTER(T[فروشنده / مشتری], T[نوع عملیات]="خرید")), "")</f>
        <v>عبدل آباد</v>
      </c>
    </row>
    <row r="354" spans="2:17" ht="16.5" hidden="1" x14ac:dyDescent="0.75">
      <c r="B354" s="227">
        <v>4</v>
      </c>
      <c r="C354" s="150">
        <v>1</v>
      </c>
      <c r="D354" s="150">
        <v>30</v>
      </c>
      <c r="E354" s="150" t="str">
        <f t="shared" si="27"/>
        <v>فروردین</v>
      </c>
      <c r="F354" s="151" t="s">
        <v>167</v>
      </c>
      <c r="G354" s="244" t="s">
        <v>270</v>
      </c>
      <c r="H354" s="247" t="s">
        <v>420</v>
      </c>
      <c r="I354" s="162"/>
      <c r="J354" s="251">
        <v>1</v>
      </c>
      <c r="K354" s="254">
        <v>400000</v>
      </c>
      <c r="L354" s="255">
        <f>J354*K354</f>
        <v>400000</v>
      </c>
      <c r="M354" s="257">
        <v>100000</v>
      </c>
      <c r="N354" s="262" t="s">
        <v>299</v>
      </c>
      <c r="O35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180000</v>
      </c>
      <c r="P354" s="262"/>
      <c r="Q354" s="264" t="str" cm="1">
        <f t="array" ref="Q354">IF(T[[#This Row],[نوع عملیات]]="فروش", _xlfn.XLOOKUP(T[[#This Row],[کالا]], _xlfn._xlws.FILTER(T[کالا], T[نوع عملیات]="خرید"), _xlfn._xlws.FILTER(T[فروشنده / مشتری], T[نوع عملیات]="خرید")), "")</f>
        <v>بازار</v>
      </c>
    </row>
    <row r="355" spans="2:17" ht="16.5" hidden="1" x14ac:dyDescent="0.75">
      <c r="B355" s="227">
        <v>4</v>
      </c>
      <c r="C355" s="150">
        <v>1</v>
      </c>
      <c r="D355" s="150">
        <v>30</v>
      </c>
      <c r="E355" s="150" t="str">
        <f t="shared" si="27"/>
        <v>فروردین</v>
      </c>
      <c r="F355" s="151" t="s">
        <v>167</v>
      </c>
      <c r="G355" s="244" t="s">
        <v>484</v>
      </c>
      <c r="H355" s="247" t="s">
        <v>539</v>
      </c>
      <c r="I355" s="162"/>
      <c r="J355" s="251">
        <v>2</v>
      </c>
      <c r="K355" s="254">
        <v>1480000</v>
      </c>
      <c r="L355" s="255">
        <f>J355*K355</f>
        <v>2960000</v>
      </c>
      <c r="M355" s="257"/>
      <c r="N355" s="262"/>
      <c r="O35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891111.11111111101</v>
      </c>
      <c r="P355" s="262"/>
      <c r="Q355" s="264" t="str" cm="1">
        <f t="array" ref="Q355">IF(T[[#This Row],[نوع عملیات]]="فروش", _xlfn.XLOOKUP(T[[#This Row],[کالا]], _xlfn._xlws.FILTER(T[کالا], T[نوع عملیات]="خرید"), _xlfn._xlws.FILTER(T[فروشنده / مشتری], T[نوع عملیات]="خرید")), "")</f>
        <v>عبدل آباد</v>
      </c>
    </row>
    <row r="356" spans="2:17" ht="16.5" hidden="1" x14ac:dyDescent="0.75">
      <c r="B356" s="227">
        <v>4</v>
      </c>
      <c r="C356" s="150">
        <v>1</v>
      </c>
      <c r="D356" s="150">
        <v>30</v>
      </c>
      <c r="E356" s="150" t="str">
        <f t="shared" si="27"/>
        <v>فروردین</v>
      </c>
      <c r="F356" s="151" t="s">
        <v>302</v>
      </c>
      <c r="G356" s="244"/>
      <c r="H356" s="247" t="s">
        <v>351</v>
      </c>
      <c r="I356" s="162"/>
      <c r="J356" s="251"/>
      <c r="K356" s="254"/>
      <c r="L356" s="255"/>
      <c r="M356" s="257">
        <v>400000</v>
      </c>
      <c r="N356" s="262" t="s">
        <v>299</v>
      </c>
      <c r="O35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56" s="262"/>
      <c r="Q356" s="264" t="str" cm="1">
        <f t="array" ref="Q356">IF(T[[#This Row],[نوع عملیات]]="فروش", _xlfn.XLOOKUP(T[[#This Row],[کالا]], _xlfn._xlws.FILTER(T[کالا], T[نوع عملیات]="خرید"), _xlfn._xlws.FILTER(T[فروشنده / مشتری], T[نوع عملیات]="خرید")), "")</f>
        <v/>
      </c>
    </row>
    <row r="357" spans="2:17" ht="16.5" hidden="1" x14ac:dyDescent="0.75">
      <c r="B357" s="227">
        <v>4</v>
      </c>
      <c r="C357" s="150">
        <v>1</v>
      </c>
      <c r="D357" s="150">
        <v>31</v>
      </c>
      <c r="E357" s="150" t="str">
        <f t="shared" si="27"/>
        <v>فروردین</v>
      </c>
      <c r="F357" s="151" t="s">
        <v>167</v>
      </c>
      <c r="G357" s="244" t="s">
        <v>210</v>
      </c>
      <c r="H357" s="247" t="s">
        <v>434</v>
      </c>
      <c r="I357" s="162"/>
      <c r="J357" s="251">
        <v>1</v>
      </c>
      <c r="K357" s="254">
        <v>950000</v>
      </c>
      <c r="L357" s="255">
        <f>J357*K357</f>
        <v>950000</v>
      </c>
      <c r="M357" s="257"/>
      <c r="N357" s="262"/>
      <c r="O35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300000</v>
      </c>
      <c r="P357" s="262"/>
      <c r="Q357" s="264" t="str" cm="1">
        <f t="array" ref="Q357">IF(T[[#This Row],[نوع عملیات]]="فروش", _xlfn.XLOOKUP(T[[#This Row],[کالا]], _xlfn._xlws.FILTER(T[کالا], T[نوع عملیات]="خرید"), _xlfn._xlws.FILTER(T[فروشنده / مشتری], T[نوع عملیات]="خرید")), "")</f>
        <v>فریده</v>
      </c>
    </row>
    <row r="358" spans="2:17" ht="16.5" hidden="1" x14ac:dyDescent="0.75">
      <c r="B358" s="227">
        <v>4</v>
      </c>
      <c r="C358" s="150">
        <v>1</v>
      </c>
      <c r="D358" s="150">
        <v>31</v>
      </c>
      <c r="E358" s="150" t="str">
        <f t="shared" si="27"/>
        <v>فروردین</v>
      </c>
      <c r="F358" s="151" t="s">
        <v>167</v>
      </c>
      <c r="G358" s="244" t="s">
        <v>428</v>
      </c>
      <c r="H358" s="247" t="s">
        <v>618</v>
      </c>
      <c r="I358" s="162"/>
      <c r="J358" s="251">
        <v>1</v>
      </c>
      <c r="K358" s="254">
        <v>100000</v>
      </c>
      <c r="L358" s="255">
        <f>J358*K358</f>
        <v>100000</v>
      </c>
      <c r="M358" s="257"/>
      <c r="N358" s="262"/>
      <c r="O35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60000</v>
      </c>
      <c r="P358" s="262"/>
      <c r="Q358" s="264" t="str" cm="1">
        <f t="array" ref="Q358">IF(T[[#This Row],[نوع عملیات]]="فروش", _xlfn.XLOOKUP(T[[#This Row],[کالا]], _xlfn._xlws.FILTER(T[کالا], T[نوع عملیات]="خرید"), _xlfn._xlws.FILTER(T[فروشنده / مشتری], T[نوع عملیات]="خرید")), "")</f>
        <v>وان ترکیه</v>
      </c>
    </row>
    <row r="359" spans="2:17" ht="16.5" hidden="1" x14ac:dyDescent="0.75">
      <c r="B359" s="227">
        <v>4</v>
      </c>
      <c r="C359" s="150">
        <v>1</v>
      </c>
      <c r="D359" s="150">
        <v>31</v>
      </c>
      <c r="E359" s="150" t="str">
        <f t="shared" si="27"/>
        <v>فروردین</v>
      </c>
      <c r="F359" s="151" t="s">
        <v>167</v>
      </c>
      <c r="G359" s="244" t="s">
        <v>408</v>
      </c>
      <c r="H359" s="247" t="s">
        <v>429</v>
      </c>
      <c r="I359" s="162"/>
      <c r="J359" s="251">
        <v>1</v>
      </c>
      <c r="K359" s="254">
        <v>2000000</v>
      </c>
      <c r="L359" s="255">
        <f>J359*K359</f>
        <v>2000000</v>
      </c>
      <c r="M359" s="257"/>
      <c r="N359" s="262"/>
      <c r="O35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359" s="262"/>
      <c r="Q359" s="264" t="str" cm="1">
        <f t="array" ref="Q359">IF(T[[#This Row],[نوع عملیات]]="فروش", _xlfn.XLOOKUP(T[[#This Row],[کالا]], _xlfn._xlws.FILTER(T[کالا], T[نوع عملیات]="خرید"), _xlfn._xlws.FILTER(T[فروشنده / مشتری], T[نوع عملیات]="خرید")), "")</f>
        <v>عبدل آباد</v>
      </c>
    </row>
    <row r="360" spans="2:17" ht="16.5" hidden="1" x14ac:dyDescent="0.75">
      <c r="B360" s="227">
        <v>4</v>
      </c>
      <c r="C360" s="150">
        <v>1</v>
      </c>
      <c r="D360" s="150">
        <v>31</v>
      </c>
      <c r="E360" s="150" t="str">
        <f t="shared" si="27"/>
        <v>فروردین</v>
      </c>
      <c r="F360" s="151" t="s">
        <v>167</v>
      </c>
      <c r="G360" s="244" t="s">
        <v>362</v>
      </c>
      <c r="H360" s="247" t="s">
        <v>430</v>
      </c>
      <c r="I360" s="162"/>
      <c r="J360" s="251">
        <v>1</v>
      </c>
      <c r="K360" s="254">
        <v>350000</v>
      </c>
      <c r="L360" s="255">
        <f>J360*K360</f>
        <v>350000</v>
      </c>
      <c r="M360" s="257"/>
      <c r="N360" s="262"/>
      <c r="O36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252500</v>
      </c>
      <c r="P360" s="262"/>
      <c r="Q360" s="264" t="str" cm="1">
        <f t="array" ref="Q360">IF(T[[#This Row],[نوع عملیات]]="فروش", _xlfn.XLOOKUP(T[[#This Row],[کالا]], _xlfn._xlws.FILTER(T[کالا], T[نوع عملیات]="خرید"), _xlfn._xlws.FILTER(T[فروشنده / مشتری], T[نوع عملیات]="خرید")), "")</f>
        <v>بازار</v>
      </c>
    </row>
    <row r="361" spans="2:17" ht="16.5" hidden="1" x14ac:dyDescent="0.75">
      <c r="B361" s="227">
        <v>4</v>
      </c>
      <c r="C361" s="150">
        <v>1</v>
      </c>
      <c r="D361" s="150">
        <v>31</v>
      </c>
      <c r="E361" s="150" t="str">
        <f t="shared" si="27"/>
        <v>فروردین</v>
      </c>
      <c r="F361" s="151" t="s">
        <v>167</v>
      </c>
      <c r="G361" s="244" t="s">
        <v>408</v>
      </c>
      <c r="H361" s="247" t="s">
        <v>430</v>
      </c>
      <c r="I361" s="162"/>
      <c r="J361" s="251">
        <v>1</v>
      </c>
      <c r="K361" s="254">
        <v>2000000</v>
      </c>
      <c r="L361" s="255">
        <f>J361*K361</f>
        <v>2000000</v>
      </c>
      <c r="M361" s="257"/>
      <c r="N361" s="262"/>
      <c r="O36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361" s="262"/>
      <c r="Q361" s="264" t="str" cm="1">
        <f t="array" ref="Q361">IF(T[[#This Row],[نوع عملیات]]="فروش", _xlfn.XLOOKUP(T[[#This Row],[کالا]], _xlfn._xlws.FILTER(T[کالا], T[نوع عملیات]="خرید"), _xlfn._xlws.FILTER(T[فروشنده / مشتری], T[نوع عملیات]="خرید")), "")</f>
        <v>عبدل آباد</v>
      </c>
    </row>
    <row r="362" spans="2:17" ht="16.5" hidden="1" x14ac:dyDescent="0.75">
      <c r="B362" s="227">
        <v>4</v>
      </c>
      <c r="C362" s="150">
        <v>2</v>
      </c>
      <c r="D362" s="150">
        <v>1</v>
      </c>
      <c r="E362" s="150" t="str">
        <f t="shared" si="27"/>
        <v>اردیبهشت</v>
      </c>
      <c r="F362" s="151" t="s">
        <v>302</v>
      </c>
      <c r="G362" s="244"/>
      <c r="H362" s="247" t="s">
        <v>324</v>
      </c>
      <c r="I362" s="162"/>
      <c r="J362" s="251"/>
      <c r="K362" s="254"/>
      <c r="L362" s="255"/>
      <c r="M362" s="257">
        <v>500000</v>
      </c>
      <c r="N362" s="262" t="s">
        <v>346</v>
      </c>
      <c r="O36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62" s="262"/>
      <c r="Q362" s="264" t="str" cm="1">
        <f t="array" ref="Q362">IF(T[[#This Row],[نوع عملیات]]="فروش", _xlfn.XLOOKUP(T[[#This Row],[کالا]], _xlfn._xlws.FILTER(T[کالا], T[نوع عملیات]="خرید"), _xlfn._xlws.FILTER(T[فروشنده / مشتری], T[نوع عملیات]="خرید")), "")</f>
        <v/>
      </c>
    </row>
    <row r="363" spans="2:17" ht="16.5" hidden="1" customHeight="1" x14ac:dyDescent="0.75">
      <c r="B363" s="227">
        <v>4</v>
      </c>
      <c r="C363" s="150">
        <v>2</v>
      </c>
      <c r="D363" s="150">
        <v>1</v>
      </c>
      <c r="E363" s="150" t="str">
        <f t="shared" si="27"/>
        <v>اردیبهشت</v>
      </c>
      <c r="F363" s="151" t="s">
        <v>168</v>
      </c>
      <c r="G363" s="244" t="s">
        <v>448</v>
      </c>
      <c r="H363" s="247" t="s">
        <v>451</v>
      </c>
      <c r="I363" s="161" t="s">
        <v>451</v>
      </c>
      <c r="J363" s="251">
        <v>3</v>
      </c>
      <c r="K363" s="254">
        <v>0</v>
      </c>
      <c r="L363" s="255">
        <f t="shared" ref="L363:L368" si="28">J363*K363</f>
        <v>0</v>
      </c>
      <c r="M363" s="257"/>
      <c r="N363" s="262"/>
      <c r="O36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63" s="262"/>
      <c r="Q363" s="264" t="str" cm="1">
        <f t="array" ref="Q363">IF(T[[#This Row],[نوع عملیات]]="فروش", _xlfn.XLOOKUP(T[[#This Row],[کالا]], _xlfn._xlws.FILTER(T[کالا], T[نوع عملیات]="خرید"), _xlfn._xlws.FILTER(T[فروشنده / مشتری], T[نوع عملیات]="خرید")), "")</f>
        <v/>
      </c>
    </row>
    <row r="364" spans="2:17" ht="16.5" hidden="1" customHeight="1" x14ac:dyDescent="0.75">
      <c r="B364" s="227">
        <v>4</v>
      </c>
      <c r="C364" s="150">
        <v>2</v>
      </c>
      <c r="D364" s="150">
        <v>1</v>
      </c>
      <c r="E364" s="150" t="str">
        <f t="shared" si="27"/>
        <v>اردیبهشت</v>
      </c>
      <c r="F364" s="151" t="s">
        <v>302</v>
      </c>
      <c r="G364" s="244" t="s">
        <v>449</v>
      </c>
      <c r="H364" s="247" t="s">
        <v>539</v>
      </c>
      <c r="I364" s="162"/>
      <c r="J364" s="251"/>
      <c r="K364" s="254"/>
      <c r="L364" s="255">
        <f t="shared" si="28"/>
        <v>0</v>
      </c>
      <c r="M364" s="257">
        <v>6300000</v>
      </c>
      <c r="N364" s="262" t="s">
        <v>346</v>
      </c>
      <c r="O36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64" s="262"/>
      <c r="Q364" s="264" t="str" cm="1">
        <f t="array" ref="Q364">IF(T[[#This Row],[نوع عملیات]]="فروش", _xlfn.XLOOKUP(T[[#This Row],[کالا]], _xlfn._xlws.FILTER(T[کالا], T[نوع عملیات]="خرید"), _xlfn._xlws.FILTER(T[فروشنده / مشتری], T[نوع عملیات]="خرید")), "")</f>
        <v/>
      </c>
    </row>
    <row r="365" spans="2:17" ht="16.5" hidden="1" customHeight="1" x14ac:dyDescent="0.75">
      <c r="B365" s="227">
        <v>4</v>
      </c>
      <c r="C365" s="150">
        <v>2</v>
      </c>
      <c r="D365" s="150">
        <v>2</v>
      </c>
      <c r="E365" s="150" t="str">
        <f t="shared" si="27"/>
        <v>اردیبهشت</v>
      </c>
      <c r="F365" s="151" t="s">
        <v>167</v>
      </c>
      <c r="G365" s="244" t="s">
        <v>411</v>
      </c>
      <c r="H365" s="247" t="s">
        <v>436</v>
      </c>
      <c r="I365" s="162"/>
      <c r="J365" s="251">
        <v>1</v>
      </c>
      <c r="K365" s="254">
        <v>1300000</v>
      </c>
      <c r="L365" s="255">
        <f t="shared" si="28"/>
        <v>1300000</v>
      </c>
      <c r="M365" s="257">
        <v>1300000</v>
      </c>
      <c r="N365" s="262" t="s">
        <v>346</v>
      </c>
      <c r="O36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365" s="262"/>
      <c r="Q365" s="264" t="str" cm="1">
        <f t="array" ref="Q365">IF(T[[#This Row],[نوع عملیات]]="فروش", _xlfn.XLOOKUP(T[[#This Row],[کالا]], _xlfn._xlws.FILTER(T[کالا], T[نوع عملیات]="خرید"), _xlfn._xlws.FILTER(T[فروشنده / مشتری], T[نوع عملیات]="خرید")), "")</f>
        <v>عبدل آباد</v>
      </c>
    </row>
    <row r="366" spans="2:17" ht="16.5" hidden="1" x14ac:dyDescent="0.75">
      <c r="B366" s="227">
        <v>4</v>
      </c>
      <c r="C366" s="150">
        <v>2</v>
      </c>
      <c r="D366" s="150">
        <v>2</v>
      </c>
      <c r="E366" s="150" t="str">
        <f t="shared" si="27"/>
        <v>اردیبهشت</v>
      </c>
      <c r="F366" s="151" t="s">
        <v>167</v>
      </c>
      <c r="G366" s="244" t="s">
        <v>206</v>
      </c>
      <c r="H366" s="247" t="s">
        <v>324</v>
      </c>
      <c r="I366" s="162"/>
      <c r="J366" s="251">
        <v>1</v>
      </c>
      <c r="K366" s="254">
        <v>450000</v>
      </c>
      <c r="L366" s="255">
        <f t="shared" si="28"/>
        <v>450000</v>
      </c>
      <c r="M366" s="257"/>
      <c r="N366" s="262"/>
      <c r="O36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v>
      </c>
      <c r="P366" s="262"/>
      <c r="Q366" s="264" t="str" cm="1">
        <f t="array" ref="Q366">IF(T[[#This Row],[نوع عملیات]]="فروش", _xlfn.XLOOKUP(T[[#This Row],[کالا]], _xlfn._xlws.FILTER(T[کالا], T[نوع عملیات]="خرید"), _xlfn._xlws.FILTER(T[فروشنده / مشتری], T[نوع عملیات]="خرید")), "")</f>
        <v>فریده</v>
      </c>
    </row>
    <row r="367" spans="2:17" ht="16.5" hidden="1" x14ac:dyDescent="0.75">
      <c r="B367" s="227">
        <v>4</v>
      </c>
      <c r="C367" s="150">
        <v>2</v>
      </c>
      <c r="D367" s="150">
        <v>2</v>
      </c>
      <c r="E367" s="150" t="str">
        <f t="shared" si="27"/>
        <v>اردیبهشت</v>
      </c>
      <c r="F367" s="151" t="s">
        <v>167</v>
      </c>
      <c r="G367" s="244" t="s">
        <v>409</v>
      </c>
      <c r="H367" s="247" t="s">
        <v>324</v>
      </c>
      <c r="I367" s="162"/>
      <c r="J367" s="251">
        <v>1</v>
      </c>
      <c r="K367" s="254">
        <v>1900000</v>
      </c>
      <c r="L367" s="255">
        <f t="shared" si="28"/>
        <v>1900000</v>
      </c>
      <c r="M367" s="257">
        <v>1000000</v>
      </c>
      <c r="N367" s="262" t="s">
        <v>299</v>
      </c>
      <c r="O36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750000</v>
      </c>
      <c r="P367" s="262"/>
      <c r="Q367" s="264" t="str" cm="1">
        <f t="array" ref="Q367">IF(T[[#This Row],[نوع عملیات]]="فروش", _xlfn.XLOOKUP(T[[#This Row],[کالا]], _xlfn._xlws.FILTER(T[کالا], T[نوع عملیات]="خرید"), _xlfn._xlws.FILTER(T[فروشنده / مشتری], T[نوع عملیات]="خرید")), "")</f>
        <v>عبدل آباد</v>
      </c>
    </row>
    <row r="368" spans="2:17" ht="16.5" hidden="1" x14ac:dyDescent="0.75">
      <c r="B368" s="227">
        <v>4</v>
      </c>
      <c r="C368" s="150">
        <v>2</v>
      </c>
      <c r="D368" s="150">
        <v>2</v>
      </c>
      <c r="E368" s="150" t="str">
        <f t="shared" si="27"/>
        <v>اردیبهشت</v>
      </c>
      <c r="F368" s="151" t="s">
        <v>167</v>
      </c>
      <c r="G368" s="244" t="s">
        <v>484</v>
      </c>
      <c r="H368" s="247" t="s">
        <v>211</v>
      </c>
      <c r="I368" s="162"/>
      <c r="J368" s="251">
        <v>2</v>
      </c>
      <c r="K368" s="254">
        <v>1580000</v>
      </c>
      <c r="L368" s="255">
        <f t="shared" si="28"/>
        <v>3160000</v>
      </c>
      <c r="M368" s="257">
        <v>3160000</v>
      </c>
      <c r="N368" s="262" t="s">
        <v>299</v>
      </c>
      <c r="O36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1091111.111111111</v>
      </c>
      <c r="P368" s="262"/>
      <c r="Q368" s="264" t="str" cm="1">
        <f t="array" ref="Q368">IF(T[[#This Row],[نوع عملیات]]="فروش", _xlfn.XLOOKUP(T[[#This Row],[کالا]], _xlfn._xlws.FILTER(T[کالا], T[نوع عملیات]="خرید"), _xlfn._xlws.FILTER(T[فروشنده / مشتری], T[نوع عملیات]="خرید")), "")</f>
        <v>عبدل آباد</v>
      </c>
    </row>
    <row r="369" spans="2:17" ht="16.5" hidden="1" x14ac:dyDescent="0.75">
      <c r="B369" s="227">
        <v>4</v>
      </c>
      <c r="C369" s="150">
        <v>2</v>
      </c>
      <c r="D369" s="150">
        <v>2</v>
      </c>
      <c r="E369" s="150" t="str">
        <f t="shared" si="27"/>
        <v>اردیبهشت</v>
      </c>
      <c r="F369" s="151" t="s">
        <v>302</v>
      </c>
      <c r="G369" s="244"/>
      <c r="H369" s="247" t="s">
        <v>324</v>
      </c>
      <c r="I369" s="162"/>
      <c r="J369" s="251"/>
      <c r="K369" s="254"/>
      <c r="L369" s="255"/>
      <c r="M369" s="257">
        <v>1000000</v>
      </c>
      <c r="N369" s="262" t="s">
        <v>299</v>
      </c>
      <c r="O36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69" s="262"/>
      <c r="Q369" s="264" t="str" cm="1">
        <f t="array" ref="Q369">IF(T[[#This Row],[نوع عملیات]]="فروش", _xlfn.XLOOKUP(T[[#This Row],[کالا]], _xlfn._xlws.FILTER(T[کالا], T[نوع عملیات]="خرید"), _xlfn._xlws.FILTER(T[فروشنده / مشتری], T[نوع عملیات]="خرید")), "")</f>
        <v/>
      </c>
    </row>
    <row r="370" spans="2:17" ht="16.5" hidden="1" x14ac:dyDescent="0.75">
      <c r="B370" s="227">
        <v>4</v>
      </c>
      <c r="C370" s="150">
        <v>2</v>
      </c>
      <c r="D370" s="150">
        <v>4</v>
      </c>
      <c r="E370" s="150" t="str">
        <f t="shared" si="27"/>
        <v>اردیبهشت</v>
      </c>
      <c r="F370" s="151" t="s">
        <v>167</v>
      </c>
      <c r="G370" s="244" t="s">
        <v>367</v>
      </c>
      <c r="H370" s="247" t="s">
        <v>520</v>
      </c>
      <c r="I370" s="162"/>
      <c r="J370" s="251">
        <v>1</v>
      </c>
      <c r="K370" s="254">
        <v>2000000</v>
      </c>
      <c r="L370" s="255">
        <f>J370*K370</f>
        <v>2000000</v>
      </c>
      <c r="M370" s="257"/>
      <c r="N370" s="262"/>
      <c r="O37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750000</v>
      </c>
      <c r="P370" s="262"/>
      <c r="Q370" s="264" t="str" cm="1">
        <f t="array" ref="Q370">IF(T[[#This Row],[نوع عملیات]]="فروش", _xlfn.XLOOKUP(T[[#This Row],[کالا]], _xlfn._xlws.FILTER(T[کالا], T[نوع عملیات]="خرید"), _xlfn._xlws.FILTER(T[فروشنده / مشتری], T[نوع عملیات]="خرید")), "")</f>
        <v>بازار</v>
      </c>
    </row>
    <row r="371" spans="2:17" ht="16.5" hidden="1" x14ac:dyDescent="0.75">
      <c r="B371" s="227">
        <v>4</v>
      </c>
      <c r="C371" s="150">
        <v>2</v>
      </c>
      <c r="D371" s="150">
        <v>4</v>
      </c>
      <c r="E371" s="150" t="str">
        <f t="shared" si="27"/>
        <v>اردیبهشت</v>
      </c>
      <c r="F371" s="151" t="s">
        <v>302</v>
      </c>
      <c r="G371" s="244"/>
      <c r="H371" s="247" t="s">
        <v>308</v>
      </c>
      <c r="I371" s="162"/>
      <c r="J371" s="251"/>
      <c r="K371" s="254"/>
      <c r="L371" s="255"/>
      <c r="M371" s="257">
        <v>1700000</v>
      </c>
      <c r="N371" s="262" t="s">
        <v>346</v>
      </c>
      <c r="O37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71" s="262"/>
      <c r="Q371" s="264" t="str" cm="1">
        <f t="array" ref="Q371">IF(T[[#This Row],[نوع عملیات]]="فروش", _xlfn.XLOOKUP(T[[#This Row],[کالا]], _xlfn._xlws.FILTER(T[کالا], T[نوع عملیات]="خرید"), _xlfn._xlws.FILTER(T[فروشنده / مشتری], T[نوع عملیات]="خرید")), "")</f>
        <v/>
      </c>
    </row>
    <row r="372" spans="2:17" ht="16.5" hidden="1" x14ac:dyDescent="0.75">
      <c r="B372" s="227">
        <v>4</v>
      </c>
      <c r="C372" s="150">
        <v>2</v>
      </c>
      <c r="D372" s="150">
        <v>5</v>
      </c>
      <c r="E372" s="150" t="str">
        <f t="shared" si="27"/>
        <v>اردیبهشت</v>
      </c>
      <c r="F372" s="151" t="s">
        <v>167</v>
      </c>
      <c r="G372" s="244" t="s">
        <v>353</v>
      </c>
      <c r="H372" s="247" t="s">
        <v>521</v>
      </c>
      <c r="I372" s="162"/>
      <c r="J372" s="251">
        <v>1</v>
      </c>
      <c r="K372" s="254">
        <v>550000</v>
      </c>
      <c r="L372" s="255">
        <f>J372*K372</f>
        <v>550000</v>
      </c>
      <c r="M372" s="257"/>
      <c r="N372" s="262"/>
      <c r="O37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202941.17647058825</v>
      </c>
      <c r="P372" s="262"/>
      <c r="Q372" s="264" t="str" cm="1">
        <f t="array" ref="Q372">IF(T[[#This Row],[نوع عملیات]]="فروش", _xlfn.XLOOKUP(T[[#This Row],[کالا]], _xlfn._xlws.FILTER(T[کالا], T[نوع عملیات]="خرید"), _xlfn._xlws.FILTER(T[فروشنده / مشتری], T[نوع عملیات]="خرید")), "")</f>
        <v>بازار</v>
      </c>
    </row>
    <row r="373" spans="2:17" ht="16.5" hidden="1" x14ac:dyDescent="0.75">
      <c r="B373" s="227">
        <v>4</v>
      </c>
      <c r="C373" s="150">
        <v>2</v>
      </c>
      <c r="D373" s="150">
        <v>5</v>
      </c>
      <c r="E373" s="150" t="str">
        <f t="shared" si="27"/>
        <v>اردیبهشت</v>
      </c>
      <c r="F373" s="151" t="s">
        <v>167</v>
      </c>
      <c r="G373" s="244" t="s">
        <v>410</v>
      </c>
      <c r="H373" s="247" t="s">
        <v>521</v>
      </c>
      <c r="I373" s="162"/>
      <c r="J373" s="251">
        <v>1</v>
      </c>
      <c r="K373" s="254">
        <v>1600000</v>
      </c>
      <c r="L373" s="255">
        <f>J373*K373</f>
        <v>1600000</v>
      </c>
      <c r="M373" s="257"/>
      <c r="N373" s="262"/>
      <c r="O37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700000</v>
      </c>
      <c r="P373" s="262"/>
      <c r="Q373" s="264" t="str" cm="1">
        <f t="array" ref="Q373">IF(T[[#This Row],[نوع عملیات]]="فروش", _xlfn.XLOOKUP(T[[#This Row],[کالا]], _xlfn._xlws.FILTER(T[کالا], T[نوع عملیات]="خرید"), _xlfn._xlws.FILTER(T[فروشنده / مشتری], T[نوع عملیات]="خرید")), "")</f>
        <v>عبدل آباد</v>
      </c>
    </row>
    <row r="374" spans="2:17" ht="16.5" hidden="1" x14ac:dyDescent="0.75">
      <c r="B374" s="227">
        <v>4</v>
      </c>
      <c r="C374" s="150">
        <v>2</v>
      </c>
      <c r="D374" s="150">
        <v>5</v>
      </c>
      <c r="E374" s="150" t="str">
        <f t="shared" si="27"/>
        <v>اردیبهشت</v>
      </c>
      <c r="F374" s="151" t="s">
        <v>167</v>
      </c>
      <c r="G374" s="244" t="s">
        <v>278</v>
      </c>
      <c r="H374" s="247" t="s">
        <v>521</v>
      </c>
      <c r="I374" s="162"/>
      <c r="J374" s="251">
        <v>1</v>
      </c>
      <c r="K374" s="254">
        <v>50000</v>
      </c>
      <c r="L374" s="255">
        <f>J374*K374</f>
        <v>50000</v>
      </c>
      <c r="M374" s="257">
        <v>300000</v>
      </c>
      <c r="N374" s="262" t="s">
        <v>299</v>
      </c>
      <c r="O37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31500</v>
      </c>
      <c r="P374" s="262"/>
      <c r="Q374" s="264" t="str" cm="1">
        <f t="array" ref="Q374">IF(T[[#This Row],[نوع عملیات]]="فروش", _xlfn.XLOOKUP(T[[#This Row],[کالا]], _xlfn._xlws.FILTER(T[کالا], T[نوع عملیات]="خرید"), _xlfn._xlws.FILTER(T[فروشنده / مشتری], T[نوع عملیات]="خرید")), "")</f>
        <v>بازار</v>
      </c>
    </row>
    <row r="375" spans="2:17" ht="16.5" hidden="1" x14ac:dyDescent="0.75">
      <c r="B375" s="227">
        <v>4</v>
      </c>
      <c r="C375" s="150">
        <v>2</v>
      </c>
      <c r="D375" s="150">
        <v>5</v>
      </c>
      <c r="E375" s="150" t="str">
        <f t="shared" si="27"/>
        <v>اردیبهشت</v>
      </c>
      <c r="F375" s="151" t="s">
        <v>302</v>
      </c>
      <c r="G375" s="244"/>
      <c r="H375" s="247" t="s">
        <v>417</v>
      </c>
      <c r="I375" s="162"/>
      <c r="J375" s="251"/>
      <c r="K375" s="254"/>
      <c r="L375" s="255"/>
      <c r="M375" s="257">
        <v>1200000</v>
      </c>
      <c r="N375" s="262" t="s">
        <v>299</v>
      </c>
      <c r="O37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75" s="262"/>
      <c r="Q375" s="264" t="str" cm="1">
        <f t="array" ref="Q375">IF(T[[#This Row],[نوع عملیات]]="فروش", _xlfn.XLOOKUP(T[[#This Row],[کالا]], _xlfn._xlws.FILTER(T[کالا], T[نوع عملیات]="خرید"), _xlfn._xlws.FILTER(T[فروشنده / مشتری], T[نوع عملیات]="خرید")), "")</f>
        <v/>
      </c>
    </row>
    <row r="376" spans="2:17" ht="16.5" hidden="1" x14ac:dyDescent="0.75">
      <c r="B376" s="227">
        <v>4</v>
      </c>
      <c r="C376" s="150">
        <v>2</v>
      </c>
      <c r="D376" s="150">
        <v>5</v>
      </c>
      <c r="E376" s="150"/>
      <c r="F376" s="151" t="s">
        <v>302</v>
      </c>
      <c r="G376" s="244"/>
      <c r="H376" s="247" t="s">
        <v>420</v>
      </c>
      <c r="I376" s="162"/>
      <c r="J376" s="251"/>
      <c r="K376" s="254"/>
      <c r="L376" s="255"/>
      <c r="M376" s="257">
        <v>200000</v>
      </c>
      <c r="N376" s="262" t="s">
        <v>216</v>
      </c>
      <c r="O37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76" s="262"/>
      <c r="Q376" s="264" t="str" cm="1">
        <f t="array" ref="Q376">IF(T[[#This Row],[نوع عملیات]]="فروش", _xlfn.XLOOKUP(T[[#This Row],[کالا]], _xlfn._xlws.FILTER(T[کالا], T[نوع عملیات]="خرید"), _xlfn._xlws.FILTER(T[فروشنده / مشتری], T[نوع عملیات]="خرید")), "")</f>
        <v/>
      </c>
    </row>
    <row r="377" spans="2:17" ht="16.5" hidden="1" x14ac:dyDescent="0.75">
      <c r="B377" s="227">
        <v>4</v>
      </c>
      <c r="C377" s="150">
        <v>2</v>
      </c>
      <c r="D377" s="150">
        <v>6</v>
      </c>
      <c r="E377" s="150" t="str">
        <f t="shared" ref="E377:E408" si="29">CHOOSE(C377, "فروردین", "اردیبهشت", "خرداد", "تیر", "مرداد", "شهریور", "مهر", "آبان", "آذر", "دی", "بهمن", "اسفند")</f>
        <v>اردیبهشت</v>
      </c>
      <c r="F377" s="151" t="s">
        <v>167</v>
      </c>
      <c r="G377" s="244" t="s">
        <v>271</v>
      </c>
      <c r="H377" s="247" t="s">
        <v>351</v>
      </c>
      <c r="I377" s="162"/>
      <c r="J377" s="251">
        <v>1</v>
      </c>
      <c r="K377" s="254">
        <v>1100000</v>
      </c>
      <c r="L377" s="255">
        <f>J377*K377</f>
        <v>1100000</v>
      </c>
      <c r="M377" s="257">
        <v>500000</v>
      </c>
      <c r="N377" s="262" t="s">
        <v>299</v>
      </c>
      <c r="O37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522000</v>
      </c>
      <c r="P377" s="262"/>
      <c r="Q377" s="264" t="str" cm="1">
        <f t="array" ref="Q377">IF(T[[#This Row],[نوع عملیات]]="فروش", _xlfn.XLOOKUP(T[[#This Row],[کالا]], _xlfn._xlws.FILTER(T[کالا], T[نوع عملیات]="خرید"), _xlfn._xlws.FILTER(T[فروشنده / مشتری], T[نوع عملیات]="خرید")), "")</f>
        <v>بازار</v>
      </c>
    </row>
    <row r="378" spans="2:17" ht="16.5" hidden="1" x14ac:dyDescent="0.75">
      <c r="B378" s="227">
        <v>4</v>
      </c>
      <c r="C378" s="150">
        <v>2</v>
      </c>
      <c r="D378" s="150">
        <v>6</v>
      </c>
      <c r="E378" s="150" t="str">
        <f t="shared" si="29"/>
        <v>اردیبهشت</v>
      </c>
      <c r="F378" s="151" t="s">
        <v>167</v>
      </c>
      <c r="G378" s="244" t="s">
        <v>249</v>
      </c>
      <c r="H378" s="247" t="s">
        <v>211</v>
      </c>
      <c r="I378" s="162"/>
      <c r="J378" s="251">
        <v>1</v>
      </c>
      <c r="K378" s="254">
        <v>400000</v>
      </c>
      <c r="L378" s="255">
        <f>J378*K378</f>
        <v>400000</v>
      </c>
      <c r="M378" s="257"/>
      <c r="N378" s="262"/>
      <c r="O37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234000</v>
      </c>
      <c r="P378" s="262"/>
      <c r="Q378" s="264" t="str" cm="1">
        <f t="array" ref="Q378">IF(T[[#This Row],[نوع عملیات]]="فروش", _xlfn.XLOOKUP(T[[#This Row],[کالا]], _xlfn._xlws.FILTER(T[کالا], T[نوع عملیات]="خرید"), _xlfn._xlws.FILTER(T[فروشنده / مشتری], T[نوع عملیات]="خرید")), "")</f>
        <v>بازار</v>
      </c>
    </row>
    <row r="379" spans="2:17" ht="16.5" hidden="1" x14ac:dyDescent="0.75">
      <c r="B379" s="227">
        <v>4</v>
      </c>
      <c r="C379" s="150">
        <v>2</v>
      </c>
      <c r="D379" s="150">
        <v>6</v>
      </c>
      <c r="E379" s="150" t="str">
        <f t="shared" si="29"/>
        <v>اردیبهشت</v>
      </c>
      <c r="F379" s="151" t="s">
        <v>167</v>
      </c>
      <c r="G379" s="244" t="s">
        <v>134</v>
      </c>
      <c r="H379" s="247" t="s">
        <v>211</v>
      </c>
      <c r="I379" s="162"/>
      <c r="J379" s="251">
        <v>1</v>
      </c>
      <c r="K379" s="254">
        <v>1900000</v>
      </c>
      <c r="L379" s="255">
        <f>J379*K379</f>
        <v>1900000</v>
      </c>
      <c r="M379" s="257">
        <v>2300000</v>
      </c>
      <c r="N379" s="262" t="s">
        <v>216</v>
      </c>
      <c r="O37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1160000</v>
      </c>
      <c r="P379" s="262"/>
      <c r="Q379" s="264" t="str" cm="1">
        <f t="array" ref="Q379">IF(T[[#This Row],[نوع عملیات]]="فروش", _xlfn.XLOOKUP(T[[#This Row],[کالا]], _xlfn._xlws.FILTER(T[کالا], T[نوع عملیات]="خرید"), _xlfn._xlws.FILTER(T[فروشنده / مشتری], T[نوع عملیات]="خرید")), "")</f>
        <v>بازار</v>
      </c>
    </row>
    <row r="380" spans="2:17" ht="16.5" hidden="1" x14ac:dyDescent="0.75">
      <c r="B380" s="227">
        <v>4</v>
      </c>
      <c r="C380" s="150">
        <v>2</v>
      </c>
      <c r="D380" s="150">
        <v>6</v>
      </c>
      <c r="E380" s="150" t="str">
        <f t="shared" si="29"/>
        <v>اردیبهشت</v>
      </c>
      <c r="F380" s="151" t="s">
        <v>302</v>
      </c>
      <c r="G380" s="244"/>
      <c r="H380" s="247" t="s">
        <v>284</v>
      </c>
      <c r="I380" s="162"/>
      <c r="J380" s="251"/>
      <c r="K380" s="254"/>
      <c r="L380" s="255"/>
      <c r="M380" s="257">
        <v>3000000</v>
      </c>
      <c r="N380" s="262" t="s">
        <v>346</v>
      </c>
      <c r="O38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80" s="262"/>
      <c r="Q380" s="264" t="str" cm="1">
        <f t="array" ref="Q380">IF(T[[#This Row],[نوع عملیات]]="فروش", _xlfn.XLOOKUP(T[[#This Row],[کالا]], _xlfn._xlws.FILTER(T[کالا], T[نوع عملیات]="خرید"), _xlfn._xlws.FILTER(T[فروشنده / مشتری], T[نوع عملیات]="خرید")), "")</f>
        <v/>
      </c>
    </row>
    <row r="381" spans="2:17" ht="16.5" hidden="1" x14ac:dyDescent="0.75">
      <c r="B381" s="227">
        <v>4</v>
      </c>
      <c r="C381" s="150">
        <v>2</v>
      </c>
      <c r="D381" s="150">
        <v>9</v>
      </c>
      <c r="E381" s="150" t="str">
        <f t="shared" si="29"/>
        <v>اردیبهشت</v>
      </c>
      <c r="F381" s="151" t="s">
        <v>302</v>
      </c>
      <c r="G381" s="244"/>
      <c r="H381" s="247" t="s">
        <v>350</v>
      </c>
      <c r="I381" s="162"/>
      <c r="J381" s="251"/>
      <c r="K381" s="254"/>
      <c r="L381" s="255"/>
      <c r="M381" s="257">
        <v>1200000</v>
      </c>
      <c r="N381" s="262" t="s">
        <v>299</v>
      </c>
      <c r="O38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81" s="262"/>
      <c r="Q381" s="264" t="str" cm="1">
        <f t="array" ref="Q381">IF(T[[#This Row],[نوع عملیات]]="فروش", _xlfn.XLOOKUP(T[[#This Row],[کالا]], _xlfn._xlws.FILTER(T[کالا], T[نوع عملیات]="خرید"), _xlfn._xlws.FILTER(T[فروشنده / مشتری], T[نوع عملیات]="خرید")), "")</f>
        <v/>
      </c>
    </row>
    <row r="382" spans="2:17" ht="16.5" hidden="1" x14ac:dyDescent="0.75">
      <c r="B382" s="227">
        <v>4</v>
      </c>
      <c r="C382" s="150">
        <v>2</v>
      </c>
      <c r="D382" s="150">
        <v>9</v>
      </c>
      <c r="E382" s="150" t="str">
        <f t="shared" si="29"/>
        <v>اردیبهشت</v>
      </c>
      <c r="F382" s="151" t="s">
        <v>302</v>
      </c>
      <c r="G382" s="244"/>
      <c r="H382" s="247" t="s">
        <v>434</v>
      </c>
      <c r="I382" s="162"/>
      <c r="J382" s="251"/>
      <c r="K382" s="254"/>
      <c r="L382" s="255"/>
      <c r="M382" s="257">
        <v>5000000</v>
      </c>
      <c r="N382" s="262" t="s">
        <v>346</v>
      </c>
      <c r="O38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82" s="262"/>
      <c r="Q382" s="264" t="str" cm="1">
        <f t="array" ref="Q382">IF(T[[#This Row],[نوع عملیات]]="فروش", _xlfn.XLOOKUP(T[[#This Row],[کالا]], _xlfn._xlws.FILTER(T[کالا], T[نوع عملیات]="خرید"), _xlfn._xlws.FILTER(T[فروشنده / مشتری], T[نوع عملیات]="خرید")), "")</f>
        <v/>
      </c>
    </row>
    <row r="383" spans="2:17" ht="16.5" hidden="1" x14ac:dyDescent="0.75">
      <c r="B383" s="227">
        <v>4</v>
      </c>
      <c r="C383" s="150">
        <v>2</v>
      </c>
      <c r="D383" s="150">
        <v>9</v>
      </c>
      <c r="E383" s="150" t="str">
        <f t="shared" si="29"/>
        <v>اردیبهشت</v>
      </c>
      <c r="F383" s="151" t="s">
        <v>302</v>
      </c>
      <c r="G383" s="244"/>
      <c r="H383" s="247" t="s">
        <v>351</v>
      </c>
      <c r="I383" s="162"/>
      <c r="J383" s="251"/>
      <c r="K383" s="254"/>
      <c r="L383" s="255"/>
      <c r="M383" s="257">
        <v>300000</v>
      </c>
      <c r="N383" s="262" t="s">
        <v>216</v>
      </c>
      <c r="O38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83" s="262"/>
      <c r="Q383" s="264" t="str" cm="1">
        <f t="array" ref="Q383">IF(T[[#This Row],[نوع عملیات]]="فروش", _xlfn.XLOOKUP(T[[#This Row],[کالا]], _xlfn._xlws.FILTER(T[کالا], T[نوع عملیات]="خرید"), _xlfn._xlws.FILTER(T[فروشنده / مشتری], T[نوع عملیات]="خرید")), "")</f>
        <v/>
      </c>
    </row>
    <row r="384" spans="2:17" ht="16.5" hidden="1" x14ac:dyDescent="0.75">
      <c r="B384" s="227">
        <v>4</v>
      </c>
      <c r="C384" s="150">
        <v>2</v>
      </c>
      <c r="D384" s="150">
        <v>9</v>
      </c>
      <c r="E384" s="150" t="str">
        <f t="shared" si="29"/>
        <v>اردیبهشت</v>
      </c>
      <c r="F384" s="151" t="s">
        <v>167</v>
      </c>
      <c r="G384" s="244" t="s">
        <v>484</v>
      </c>
      <c r="H384" s="247" t="s">
        <v>211</v>
      </c>
      <c r="I384" s="162"/>
      <c r="J384" s="251">
        <v>1</v>
      </c>
      <c r="K384" s="254">
        <v>1450000</v>
      </c>
      <c r="L384" s="255">
        <f t="shared" ref="L384:L415" si="30">J384*K384</f>
        <v>1450000</v>
      </c>
      <c r="M384" s="257">
        <v>1450000</v>
      </c>
      <c r="N384" s="262" t="s">
        <v>299</v>
      </c>
      <c r="O38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415555.5555555555</v>
      </c>
      <c r="P384" s="262"/>
      <c r="Q384" s="264" t="str" cm="1">
        <f t="array" ref="Q384">IF(T[[#This Row],[نوع عملیات]]="فروش", _xlfn.XLOOKUP(T[[#This Row],[کالا]], _xlfn._xlws.FILTER(T[کالا], T[نوع عملیات]="خرید"), _xlfn._xlws.FILTER(T[فروشنده / مشتری], T[نوع عملیات]="خرید")), "")</f>
        <v>عبدل آباد</v>
      </c>
    </row>
    <row r="385" spans="2:17" ht="16.5" hidden="1" x14ac:dyDescent="0.75">
      <c r="B385" s="227">
        <v>4</v>
      </c>
      <c r="C385" s="150">
        <v>2</v>
      </c>
      <c r="D385" s="150">
        <v>9</v>
      </c>
      <c r="E385" s="150" t="str">
        <f t="shared" si="29"/>
        <v>اردیبهشت</v>
      </c>
      <c r="F385" s="151" t="s">
        <v>167</v>
      </c>
      <c r="G385" s="244" t="s">
        <v>413</v>
      </c>
      <c r="H385" s="247" t="s">
        <v>211</v>
      </c>
      <c r="I385" s="162"/>
      <c r="J385" s="251">
        <v>1</v>
      </c>
      <c r="K385" s="254">
        <v>1200000</v>
      </c>
      <c r="L385" s="255">
        <f t="shared" si="30"/>
        <v>1200000</v>
      </c>
      <c r="M385" s="257">
        <v>1200000</v>
      </c>
      <c r="N385" s="262" t="s">
        <v>346</v>
      </c>
      <c r="O38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385" s="262"/>
      <c r="Q385" s="264" t="str" cm="1">
        <f t="array" ref="Q385">IF(T[[#This Row],[نوع عملیات]]="فروش", _xlfn.XLOOKUP(T[[#This Row],[کالا]], _xlfn._xlws.FILTER(T[کالا], T[نوع عملیات]="خرید"), _xlfn._xlws.FILTER(T[فروشنده / مشتری], T[نوع عملیات]="خرید")), "")</f>
        <v>عبدل آباد</v>
      </c>
    </row>
    <row r="386" spans="2:17" ht="16.5" hidden="1" x14ac:dyDescent="0.75">
      <c r="B386" s="227">
        <v>4</v>
      </c>
      <c r="C386" s="150">
        <v>2</v>
      </c>
      <c r="D386" s="150">
        <v>10</v>
      </c>
      <c r="E386" s="150" t="str">
        <f t="shared" si="29"/>
        <v>اردیبهشت</v>
      </c>
      <c r="F386" s="151" t="s">
        <v>167</v>
      </c>
      <c r="G386" s="244" t="s">
        <v>484</v>
      </c>
      <c r="H386" s="247" t="s">
        <v>211</v>
      </c>
      <c r="I386" s="162"/>
      <c r="J386" s="251">
        <v>4</v>
      </c>
      <c r="K386" s="254">
        <v>1450000</v>
      </c>
      <c r="L386" s="255">
        <f t="shared" si="30"/>
        <v>5800000</v>
      </c>
      <c r="M386" s="257"/>
      <c r="N386" s="262"/>
      <c r="O38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1662222.222222222</v>
      </c>
      <c r="P386" s="262"/>
      <c r="Q386" s="264" t="str" cm="1">
        <f t="array" ref="Q386">IF(T[[#This Row],[نوع عملیات]]="فروش", _xlfn.XLOOKUP(T[[#This Row],[کالا]], _xlfn._xlws.FILTER(T[کالا], T[نوع عملیات]="خرید"), _xlfn._xlws.FILTER(T[فروشنده / مشتری], T[نوع عملیات]="خرید")), "")</f>
        <v>عبدل آباد</v>
      </c>
    </row>
    <row r="387" spans="2:17" ht="16.5" hidden="1" x14ac:dyDescent="0.75">
      <c r="B387" s="227">
        <v>4</v>
      </c>
      <c r="C387" s="150">
        <v>2</v>
      </c>
      <c r="D387" s="150">
        <v>10</v>
      </c>
      <c r="E387" s="150" t="str">
        <f t="shared" si="29"/>
        <v>اردیبهشت</v>
      </c>
      <c r="F387" s="151" t="s">
        <v>167</v>
      </c>
      <c r="G387" s="244" t="s">
        <v>407</v>
      </c>
      <c r="H387" s="247" t="s">
        <v>211</v>
      </c>
      <c r="I387" s="162"/>
      <c r="J387" s="251">
        <v>1</v>
      </c>
      <c r="K387" s="254">
        <v>1600000</v>
      </c>
      <c r="L387" s="255">
        <f t="shared" si="30"/>
        <v>1600000</v>
      </c>
      <c r="M387" s="257">
        <v>7400000</v>
      </c>
      <c r="N387" s="262" t="s">
        <v>299</v>
      </c>
      <c r="O38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387" s="262"/>
      <c r="Q387" s="264" t="str" cm="1">
        <f t="array" ref="Q387">IF(T[[#This Row],[نوع عملیات]]="فروش", _xlfn.XLOOKUP(T[[#This Row],[کالا]], _xlfn._xlws.FILTER(T[کالا], T[نوع عملیات]="خرید"), _xlfn._xlws.FILTER(T[فروشنده / مشتری], T[نوع عملیات]="خرید")), "")</f>
        <v>عبدل آباد</v>
      </c>
    </row>
    <row r="388" spans="2:17" ht="16.5" hidden="1" x14ac:dyDescent="0.75">
      <c r="B388" s="227">
        <v>4</v>
      </c>
      <c r="C388" s="150">
        <v>2</v>
      </c>
      <c r="D388" s="150">
        <v>10</v>
      </c>
      <c r="E388" s="150" t="str">
        <f t="shared" si="29"/>
        <v>اردیبهشت</v>
      </c>
      <c r="F388" s="151" t="s">
        <v>167</v>
      </c>
      <c r="G388" s="244" t="s">
        <v>369</v>
      </c>
      <c r="H388" s="247" t="s">
        <v>211</v>
      </c>
      <c r="I388" s="162"/>
      <c r="J388" s="251">
        <v>1</v>
      </c>
      <c r="K388" s="254">
        <v>500000</v>
      </c>
      <c r="L388" s="255">
        <f t="shared" si="30"/>
        <v>500000</v>
      </c>
      <c r="M388" s="257">
        <v>500000</v>
      </c>
      <c r="N388" s="262" t="s">
        <v>299</v>
      </c>
      <c r="O38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388" s="262"/>
      <c r="Q388" s="264" t="str" cm="1">
        <f t="array" ref="Q388">IF(T[[#This Row],[نوع عملیات]]="فروش", _xlfn.XLOOKUP(T[[#This Row],[کالا]], _xlfn._xlws.FILTER(T[کالا], T[نوع عملیات]="خرید"), _xlfn._xlws.FILTER(T[فروشنده / مشتری], T[نوع عملیات]="خرید")), "")</f>
        <v>بازار</v>
      </c>
    </row>
    <row r="389" spans="2:17" ht="16.5" hidden="1" x14ac:dyDescent="0.75">
      <c r="B389" s="227">
        <v>4</v>
      </c>
      <c r="C389" s="150">
        <v>2</v>
      </c>
      <c r="D389" s="150">
        <v>10</v>
      </c>
      <c r="E389" s="150" t="str">
        <f t="shared" si="29"/>
        <v>اردیبهشت</v>
      </c>
      <c r="F389" s="151" t="s">
        <v>302</v>
      </c>
      <c r="G389" s="244"/>
      <c r="H389" s="247" t="s">
        <v>420</v>
      </c>
      <c r="I389" s="162"/>
      <c r="J389" s="251"/>
      <c r="K389" s="254"/>
      <c r="L389" s="255">
        <f t="shared" si="30"/>
        <v>0</v>
      </c>
      <c r="M389" s="257">
        <v>700000</v>
      </c>
      <c r="N389" s="262" t="s">
        <v>299</v>
      </c>
      <c r="O38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89" s="262"/>
      <c r="Q389" s="264" t="str" cm="1">
        <f t="array" ref="Q389">IF(T[[#This Row],[نوع عملیات]]="فروش", _xlfn.XLOOKUP(T[[#This Row],[کالا]], _xlfn._xlws.FILTER(T[کالا], T[نوع عملیات]="خرید"), _xlfn._xlws.FILTER(T[فروشنده / مشتری], T[نوع عملیات]="خرید")), "")</f>
        <v/>
      </c>
    </row>
    <row r="390" spans="2:17" ht="16.5" hidden="1" x14ac:dyDescent="0.75">
      <c r="B390" s="227">
        <v>4</v>
      </c>
      <c r="C390" s="150">
        <v>2</v>
      </c>
      <c r="D390" s="150">
        <v>10</v>
      </c>
      <c r="E390" s="150" t="str">
        <f t="shared" si="29"/>
        <v>اردیبهشت</v>
      </c>
      <c r="F390" s="151" t="s">
        <v>302</v>
      </c>
      <c r="G390" s="244"/>
      <c r="H390" s="247" t="s">
        <v>429</v>
      </c>
      <c r="I390" s="162"/>
      <c r="J390" s="251"/>
      <c r="K390" s="254"/>
      <c r="L390" s="255">
        <f t="shared" si="30"/>
        <v>0</v>
      </c>
      <c r="M390" s="257">
        <v>2000000</v>
      </c>
      <c r="N390" s="262" t="s">
        <v>346</v>
      </c>
      <c r="O39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90" s="262"/>
      <c r="Q390" s="264" t="str" cm="1">
        <f t="array" ref="Q390">IF(T[[#This Row],[نوع عملیات]]="فروش", _xlfn.XLOOKUP(T[[#This Row],[کالا]], _xlfn._xlws.FILTER(T[کالا], T[نوع عملیات]="خرید"), _xlfn._xlws.FILTER(T[فروشنده / مشتری], T[نوع عملیات]="خرید")), "")</f>
        <v/>
      </c>
    </row>
    <row r="391" spans="2:17" ht="16.5" hidden="1" x14ac:dyDescent="0.75">
      <c r="B391" s="227">
        <v>4</v>
      </c>
      <c r="C391" s="150">
        <v>2</v>
      </c>
      <c r="D391" s="150">
        <v>10</v>
      </c>
      <c r="E391" s="150" t="str">
        <f t="shared" si="29"/>
        <v>اردیبهشت</v>
      </c>
      <c r="F391" s="151" t="s">
        <v>302</v>
      </c>
      <c r="G391" s="244"/>
      <c r="H391" s="247" t="s">
        <v>424</v>
      </c>
      <c r="I391" s="162"/>
      <c r="J391" s="251"/>
      <c r="K391" s="254"/>
      <c r="L391" s="255">
        <f t="shared" si="30"/>
        <v>0</v>
      </c>
      <c r="M391" s="257">
        <v>750000</v>
      </c>
      <c r="N391" s="262" t="s">
        <v>299</v>
      </c>
      <c r="O39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91" s="262"/>
      <c r="Q391" s="264" t="str" cm="1">
        <f t="array" ref="Q391">IF(T[[#This Row],[نوع عملیات]]="فروش", _xlfn.XLOOKUP(T[[#This Row],[کالا]], _xlfn._xlws.FILTER(T[کالا], T[نوع عملیات]="خرید"), _xlfn._xlws.FILTER(T[فروشنده / مشتری], T[نوع عملیات]="خرید")), "")</f>
        <v/>
      </c>
    </row>
    <row r="392" spans="2:17" ht="16.5" hidden="1" x14ac:dyDescent="0.75">
      <c r="B392" s="227">
        <v>4</v>
      </c>
      <c r="C392" s="150">
        <v>2</v>
      </c>
      <c r="D392" s="150">
        <v>10</v>
      </c>
      <c r="E392" s="150" t="str">
        <f t="shared" si="29"/>
        <v>اردیبهشت</v>
      </c>
      <c r="F392" s="151" t="s">
        <v>167</v>
      </c>
      <c r="G392" s="244" t="s">
        <v>247</v>
      </c>
      <c r="H392" s="247" t="s">
        <v>416</v>
      </c>
      <c r="I392" s="162"/>
      <c r="J392" s="251">
        <v>1</v>
      </c>
      <c r="K392" s="254">
        <v>600000</v>
      </c>
      <c r="L392" s="255">
        <f t="shared" si="30"/>
        <v>600000</v>
      </c>
      <c r="M392" s="257"/>
      <c r="N392" s="262"/>
      <c r="O39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402000</v>
      </c>
      <c r="P392" s="262"/>
      <c r="Q392" s="264" t="str" cm="1">
        <f t="array" ref="Q392">IF(T[[#This Row],[نوع عملیات]]="فروش", _xlfn.XLOOKUP(T[[#This Row],[کالا]], _xlfn._xlws.FILTER(T[کالا], T[نوع عملیات]="خرید"), _xlfn._xlws.FILTER(T[فروشنده / مشتری], T[نوع عملیات]="خرید")), "")</f>
        <v>تولیدی پوشاک تین استایل</v>
      </c>
    </row>
    <row r="393" spans="2:17" ht="16.5" hidden="1" x14ac:dyDescent="0.75">
      <c r="B393" s="227">
        <v>4</v>
      </c>
      <c r="C393" s="150">
        <v>2</v>
      </c>
      <c r="D393" s="150">
        <v>10</v>
      </c>
      <c r="E393" s="150" t="str">
        <f t="shared" si="29"/>
        <v>اردیبهشت</v>
      </c>
      <c r="F393" s="151" t="s">
        <v>167</v>
      </c>
      <c r="G393" s="244" t="s">
        <v>526</v>
      </c>
      <c r="H393" s="247" t="s">
        <v>420</v>
      </c>
      <c r="I393" s="162"/>
      <c r="J393" s="251">
        <v>1</v>
      </c>
      <c r="K393" s="254">
        <v>750000</v>
      </c>
      <c r="L393" s="255">
        <f t="shared" si="30"/>
        <v>750000</v>
      </c>
      <c r="M393" s="257"/>
      <c r="N393" s="262"/>
      <c r="O39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393" s="262"/>
      <c r="Q393" s="264" t="str" cm="1">
        <f t="array" ref="Q393">IF(T[[#This Row],[نوع عملیات]]="فروش", _xlfn.XLOOKUP(T[[#This Row],[کالا]], _xlfn._xlws.FILTER(T[کالا], T[نوع عملیات]="خرید"), _xlfn._xlws.FILTER(T[فروشنده / مشتری], T[نوع عملیات]="خرید")), "")</f>
        <v>مهناز - تولیدی</v>
      </c>
    </row>
    <row r="394" spans="2:17" ht="16.5" hidden="1" x14ac:dyDescent="0.75">
      <c r="B394" s="227">
        <v>4</v>
      </c>
      <c r="C394" s="150">
        <v>2</v>
      </c>
      <c r="D394" s="150">
        <v>11</v>
      </c>
      <c r="E394" s="150" t="str">
        <f t="shared" si="29"/>
        <v>اردیبهشت</v>
      </c>
      <c r="F394" s="151" t="s">
        <v>168</v>
      </c>
      <c r="G394" s="244" t="s">
        <v>447</v>
      </c>
      <c r="H394" s="247" t="s">
        <v>451</v>
      </c>
      <c r="I394" s="161" t="s">
        <v>451</v>
      </c>
      <c r="J394" s="251">
        <v>1</v>
      </c>
      <c r="K394" s="254">
        <v>0</v>
      </c>
      <c r="L394" s="255">
        <f t="shared" si="30"/>
        <v>0</v>
      </c>
      <c r="M394" s="257"/>
      <c r="N394" s="262"/>
      <c r="O39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94" s="262"/>
      <c r="Q394" s="264" t="str" cm="1">
        <f t="array" ref="Q394">IF(T[[#This Row],[نوع عملیات]]="فروش", _xlfn.XLOOKUP(T[[#This Row],[کالا]], _xlfn._xlws.FILTER(T[کالا], T[نوع عملیات]="خرید"), _xlfn._xlws.FILTER(T[فروشنده / مشتری], T[نوع عملیات]="خرید")), "")</f>
        <v/>
      </c>
    </row>
    <row r="395" spans="2:17" ht="16.5" hidden="1" x14ac:dyDescent="0.75">
      <c r="B395" s="227">
        <v>4</v>
      </c>
      <c r="C395" s="150">
        <v>2</v>
      </c>
      <c r="D395" s="150">
        <v>11</v>
      </c>
      <c r="E395" s="150" t="str">
        <f t="shared" si="29"/>
        <v>اردیبهشت</v>
      </c>
      <c r="F395" s="151" t="s">
        <v>167</v>
      </c>
      <c r="G395" s="244" t="s">
        <v>447</v>
      </c>
      <c r="H395" s="247" t="s">
        <v>211</v>
      </c>
      <c r="I395" s="162"/>
      <c r="J395" s="251">
        <v>1</v>
      </c>
      <c r="K395" s="254">
        <v>500000</v>
      </c>
      <c r="L395" s="255">
        <f t="shared" si="30"/>
        <v>500000</v>
      </c>
      <c r="M395" s="257">
        <v>500000</v>
      </c>
      <c r="N395" s="262" t="s">
        <v>299</v>
      </c>
      <c r="O39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395" s="262"/>
      <c r="Q395" s="264" t="str" cm="1">
        <f t="array" ref="Q395">IF(T[[#This Row],[نوع عملیات]]="فروش", _xlfn.XLOOKUP(T[[#This Row],[کالا]], _xlfn._xlws.FILTER(T[کالا], T[نوع عملیات]="خرید"), _xlfn._xlws.FILTER(T[فروشنده / مشتری], T[نوع عملیات]="خرید")), "")</f>
        <v>خودم</v>
      </c>
    </row>
    <row r="396" spans="2:17" ht="16.5" hidden="1" x14ac:dyDescent="0.75">
      <c r="B396" s="227">
        <v>4</v>
      </c>
      <c r="C396" s="150">
        <v>2</v>
      </c>
      <c r="D396" s="150">
        <v>12</v>
      </c>
      <c r="E396" s="150" t="str">
        <f t="shared" si="29"/>
        <v>اردیبهشت</v>
      </c>
      <c r="F396" s="151" t="s">
        <v>167</v>
      </c>
      <c r="G396" s="244" t="s">
        <v>355</v>
      </c>
      <c r="H396" s="247" t="s">
        <v>211</v>
      </c>
      <c r="I396" s="162"/>
      <c r="J396" s="251">
        <v>1</v>
      </c>
      <c r="K396" s="254">
        <v>350000</v>
      </c>
      <c r="L396" s="255">
        <f t="shared" si="30"/>
        <v>350000</v>
      </c>
      <c r="M396" s="257">
        <v>350000</v>
      </c>
      <c r="N396" s="262" t="s">
        <v>346</v>
      </c>
      <c r="O39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239000</v>
      </c>
      <c r="P396" s="262"/>
      <c r="Q396" s="264" t="str" cm="1">
        <f t="array" ref="Q396">IF(T[[#This Row],[نوع عملیات]]="فروش", _xlfn.XLOOKUP(T[[#This Row],[کالا]], _xlfn._xlws.FILTER(T[کالا], T[نوع عملیات]="خرید"), _xlfn._xlws.FILTER(T[فروشنده / مشتری], T[نوع عملیات]="خرید")), "")</f>
        <v>بازار</v>
      </c>
    </row>
    <row r="397" spans="2:17" ht="16.5" hidden="1" x14ac:dyDescent="0.75">
      <c r="B397" s="227">
        <v>4</v>
      </c>
      <c r="C397" s="150">
        <v>2</v>
      </c>
      <c r="D397" s="150">
        <v>12</v>
      </c>
      <c r="E397" s="150" t="str">
        <f t="shared" si="29"/>
        <v>اردیبهشت</v>
      </c>
      <c r="F397" s="151" t="s">
        <v>302</v>
      </c>
      <c r="G397" s="244"/>
      <c r="H397" s="247" t="s">
        <v>352</v>
      </c>
      <c r="I397" s="162"/>
      <c r="J397" s="251"/>
      <c r="K397" s="254"/>
      <c r="L397" s="255">
        <f t="shared" si="30"/>
        <v>0</v>
      </c>
      <c r="M397" s="257">
        <v>3600000</v>
      </c>
      <c r="N397" s="262" t="s">
        <v>299</v>
      </c>
      <c r="O39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97" s="262"/>
      <c r="Q397" s="264" t="str" cm="1">
        <f t="array" ref="Q397">IF(T[[#This Row],[نوع عملیات]]="فروش", _xlfn.XLOOKUP(T[[#This Row],[کالا]], _xlfn._xlws.FILTER(T[کالا], T[نوع عملیات]="خرید"), _xlfn._xlws.FILTER(T[فروشنده / مشتری], T[نوع عملیات]="خرید")), "")</f>
        <v/>
      </c>
    </row>
    <row r="398" spans="2:17" ht="16.5" hidden="1" x14ac:dyDescent="0.75">
      <c r="B398" s="227">
        <v>4</v>
      </c>
      <c r="C398" s="150">
        <v>2</v>
      </c>
      <c r="D398" s="150">
        <v>12</v>
      </c>
      <c r="E398" s="150" t="str">
        <f t="shared" si="29"/>
        <v>اردیبهشت</v>
      </c>
      <c r="F398" s="151" t="s">
        <v>167</v>
      </c>
      <c r="G398" s="244" t="s">
        <v>448</v>
      </c>
      <c r="H398" s="247" t="s">
        <v>352</v>
      </c>
      <c r="I398" s="162"/>
      <c r="J398" s="251">
        <v>1</v>
      </c>
      <c r="K398" s="254">
        <v>1100000</v>
      </c>
      <c r="L398" s="255">
        <f t="shared" si="30"/>
        <v>1100000</v>
      </c>
      <c r="M398" s="257">
        <v>1100000</v>
      </c>
      <c r="N398" s="262" t="s">
        <v>299</v>
      </c>
      <c r="O39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1100000</v>
      </c>
      <c r="P398" s="262"/>
      <c r="Q398" s="264" t="str" cm="1">
        <f t="array" ref="Q398">IF(T[[#This Row],[نوع عملیات]]="فروش", _xlfn.XLOOKUP(T[[#This Row],[کالا]], _xlfn._xlws.FILTER(T[کالا], T[نوع عملیات]="خرید"), _xlfn._xlws.FILTER(T[فروشنده / مشتری], T[نوع عملیات]="خرید")), "")</f>
        <v>خودم</v>
      </c>
    </row>
    <row r="399" spans="2:17" ht="16.5" hidden="1" x14ac:dyDescent="0.75">
      <c r="B399" s="227">
        <v>4</v>
      </c>
      <c r="C399" s="150">
        <v>2</v>
      </c>
      <c r="D399" s="150">
        <v>12</v>
      </c>
      <c r="E399" s="150" t="str">
        <f t="shared" si="29"/>
        <v>اردیبهشت</v>
      </c>
      <c r="F399" s="151" t="s">
        <v>302</v>
      </c>
      <c r="G399" s="244"/>
      <c r="H399" s="247" t="s">
        <v>521</v>
      </c>
      <c r="I399" s="162"/>
      <c r="J399" s="251"/>
      <c r="K399" s="254"/>
      <c r="L399" s="255">
        <f t="shared" si="30"/>
        <v>0</v>
      </c>
      <c r="M399" s="257">
        <v>800000</v>
      </c>
      <c r="N399" s="262" t="s">
        <v>346</v>
      </c>
      <c r="O39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399" s="262"/>
      <c r="Q399" s="264" t="str" cm="1">
        <f t="array" ref="Q399">IF(T[[#This Row],[نوع عملیات]]="فروش", _xlfn.XLOOKUP(T[[#This Row],[کالا]], _xlfn._xlws.FILTER(T[کالا], T[نوع عملیات]="خرید"), _xlfn._xlws.FILTER(T[فروشنده / مشتری], T[نوع عملیات]="خرید")), "")</f>
        <v/>
      </c>
    </row>
    <row r="400" spans="2:17" ht="16.5" hidden="1" x14ac:dyDescent="0.75">
      <c r="B400" s="227">
        <v>4</v>
      </c>
      <c r="C400" s="150">
        <v>2</v>
      </c>
      <c r="D400" s="150">
        <v>13</v>
      </c>
      <c r="E400" s="150" t="str">
        <f t="shared" si="29"/>
        <v>اردیبهشت</v>
      </c>
      <c r="F400" s="151" t="s">
        <v>302</v>
      </c>
      <c r="G400" s="244"/>
      <c r="H400" s="247" t="s">
        <v>284</v>
      </c>
      <c r="I400" s="162"/>
      <c r="J400" s="251"/>
      <c r="K400" s="254"/>
      <c r="L400" s="255">
        <f t="shared" si="30"/>
        <v>0</v>
      </c>
      <c r="M400" s="257">
        <v>3000000</v>
      </c>
      <c r="N400" s="262" t="s">
        <v>346</v>
      </c>
      <c r="O4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0" s="262"/>
      <c r="Q400" s="264" t="str" cm="1">
        <f t="array" ref="Q400">IF(T[[#This Row],[نوع عملیات]]="فروش", _xlfn.XLOOKUP(T[[#This Row],[کالا]], _xlfn._xlws.FILTER(T[کالا], T[نوع عملیات]="خرید"), _xlfn._xlws.FILTER(T[فروشنده / مشتری], T[نوع عملیات]="خرید")), "")</f>
        <v/>
      </c>
    </row>
    <row r="401" spans="2:17" ht="16.5" hidden="1" x14ac:dyDescent="0.75">
      <c r="B401" s="227">
        <v>4</v>
      </c>
      <c r="C401" s="150">
        <v>2</v>
      </c>
      <c r="D401" s="150">
        <v>13</v>
      </c>
      <c r="E401" s="150" t="str">
        <f t="shared" si="29"/>
        <v>اردیبهشت</v>
      </c>
      <c r="F401" s="151" t="s">
        <v>302</v>
      </c>
      <c r="G401" s="244" t="s">
        <v>454</v>
      </c>
      <c r="H401" s="247" t="s">
        <v>284</v>
      </c>
      <c r="I401" s="162"/>
      <c r="J401" s="251"/>
      <c r="K401" s="254"/>
      <c r="L401" s="255">
        <f t="shared" si="30"/>
        <v>0</v>
      </c>
      <c r="M401" s="257">
        <v>1000000</v>
      </c>
      <c r="N401" s="262" t="s">
        <v>346</v>
      </c>
      <c r="O4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1" s="262"/>
      <c r="Q401" s="264" t="str" cm="1">
        <f t="array" ref="Q401">IF(T[[#This Row],[نوع عملیات]]="فروش", _xlfn.XLOOKUP(T[[#This Row],[کالا]], _xlfn._xlws.FILTER(T[کالا], T[نوع عملیات]="خرید"), _xlfn._xlws.FILTER(T[فروشنده / مشتری], T[نوع عملیات]="خرید")), "")</f>
        <v/>
      </c>
    </row>
    <row r="402" spans="2:17" ht="16.5" hidden="1" x14ac:dyDescent="0.75">
      <c r="B402" s="227">
        <v>4</v>
      </c>
      <c r="C402" s="150">
        <v>2</v>
      </c>
      <c r="D402" s="150">
        <v>14</v>
      </c>
      <c r="E402" s="150" t="str">
        <f t="shared" si="29"/>
        <v>اردیبهشت</v>
      </c>
      <c r="F402" s="151" t="s">
        <v>168</v>
      </c>
      <c r="G402" s="244" t="s">
        <v>456</v>
      </c>
      <c r="H402" s="247" t="s">
        <v>463</v>
      </c>
      <c r="I402" s="162" t="s">
        <v>492</v>
      </c>
      <c r="J402" s="251">
        <v>5</v>
      </c>
      <c r="K402" s="254">
        <v>450000</v>
      </c>
      <c r="L402" s="255">
        <f t="shared" si="30"/>
        <v>2250000</v>
      </c>
      <c r="M402" s="257">
        <v>2250000</v>
      </c>
      <c r="N402" s="262" t="s">
        <v>346</v>
      </c>
      <c r="O4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2" s="262"/>
      <c r="Q402" s="264" t="str" cm="1">
        <f t="array" ref="Q402">IF(T[[#This Row],[نوع عملیات]]="فروش", _xlfn.XLOOKUP(T[[#This Row],[کالا]], _xlfn._xlws.FILTER(T[کالا], T[نوع عملیات]="خرید"), _xlfn._xlws.FILTER(T[فروشنده / مشتری], T[نوع عملیات]="خرید")), "")</f>
        <v/>
      </c>
    </row>
    <row r="403" spans="2:17" ht="16.5" hidden="1" x14ac:dyDescent="0.75">
      <c r="B403" s="227">
        <v>4</v>
      </c>
      <c r="C403" s="150">
        <v>2</v>
      </c>
      <c r="D403" s="150">
        <v>14</v>
      </c>
      <c r="E403" s="150" t="str">
        <f t="shared" si="29"/>
        <v>اردیبهشت</v>
      </c>
      <c r="F403" s="151" t="s">
        <v>168</v>
      </c>
      <c r="G403" s="244" t="s">
        <v>575</v>
      </c>
      <c r="H403" s="247" t="s">
        <v>463</v>
      </c>
      <c r="I403" s="162" t="s">
        <v>492</v>
      </c>
      <c r="J403" s="251">
        <v>4</v>
      </c>
      <c r="K403" s="254">
        <v>980000</v>
      </c>
      <c r="L403" s="255">
        <f t="shared" si="30"/>
        <v>3920000</v>
      </c>
      <c r="M403" s="257"/>
      <c r="N403" s="262" t="s">
        <v>346</v>
      </c>
      <c r="O4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3" s="262"/>
      <c r="Q403" s="264" t="str" cm="1">
        <f t="array" ref="Q403">IF(T[[#This Row],[نوع عملیات]]="فروش", _xlfn.XLOOKUP(T[[#This Row],[کالا]], _xlfn._xlws.FILTER(T[کالا], T[نوع عملیات]="خرید"), _xlfn._xlws.FILTER(T[فروشنده / مشتری], T[نوع عملیات]="خرید")), "")</f>
        <v/>
      </c>
    </row>
    <row r="404" spans="2:17" ht="16.5" hidden="1" x14ac:dyDescent="0.75">
      <c r="B404" s="227">
        <v>4</v>
      </c>
      <c r="C404" s="150">
        <v>2</v>
      </c>
      <c r="D404" s="150">
        <v>14</v>
      </c>
      <c r="E404" s="150" t="str">
        <f t="shared" si="29"/>
        <v>اردیبهشت</v>
      </c>
      <c r="F404" s="151" t="s">
        <v>168</v>
      </c>
      <c r="G404" s="244" t="s">
        <v>458</v>
      </c>
      <c r="H404" s="247" t="s">
        <v>463</v>
      </c>
      <c r="I404" s="162" t="s">
        <v>492</v>
      </c>
      <c r="J404" s="251">
        <v>1</v>
      </c>
      <c r="K404" s="254">
        <v>1580000</v>
      </c>
      <c r="L404" s="255">
        <f t="shared" si="30"/>
        <v>1580000</v>
      </c>
      <c r="M404" s="257">
        <v>5500000</v>
      </c>
      <c r="N404" s="262" t="s">
        <v>346</v>
      </c>
      <c r="O4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4" s="262"/>
      <c r="Q404" s="264" t="str" cm="1">
        <f t="array" ref="Q404">IF(T[[#This Row],[نوع عملیات]]="فروش", _xlfn.XLOOKUP(T[[#This Row],[کالا]], _xlfn._xlws.FILTER(T[کالا], T[نوع عملیات]="خرید"), _xlfn._xlws.FILTER(T[فروشنده / مشتری], T[نوع عملیات]="خرید")), "")</f>
        <v/>
      </c>
    </row>
    <row r="405" spans="2:17" ht="16.5" hidden="1" x14ac:dyDescent="0.75">
      <c r="B405" s="227">
        <v>4</v>
      </c>
      <c r="C405" s="150">
        <v>2</v>
      </c>
      <c r="D405" s="150">
        <v>14</v>
      </c>
      <c r="E405" s="150" t="str">
        <f t="shared" si="29"/>
        <v>اردیبهشت</v>
      </c>
      <c r="F405" s="151" t="s">
        <v>168</v>
      </c>
      <c r="G405" s="244" t="s">
        <v>459</v>
      </c>
      <c r="H405" s="247" t="s">
        <v>463</v>
      </c>
      <c r="I405" s="162" t="s">
        <v>492</v>
      </c>
      <c r="J405" s="251">
        <v>5</v>
      </c>
      <c r="K405" s="254">
        <v>367200</v>
      </c>
      <c r="L405" s="255">
        <f t="shared" si="30"/>
        <v>1836000</v>
      </c>
      <c r="M405" s="257"/>
      <c r="N405" s="262" t="s">
        <v>346</v>
      </c>
      <c r="O4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5" s="262"/>
      <c r="Q405" s="264" t="str" cm="1">
        <f t="array" ref="Q405">IF(T[[#This Row],[نوع عملیات]]="فروش", _xlfn.XLOOKUP(T[[#This Row],[کالا]], _xlfn._xlws.FILTER(T[کالا], T[نوع عملیات]="خرید"), _xlfn._xlws.FILTER(T[فروشنده / مشتری], T[نوع عملیات]="خرید")), "")</f>
        <v/>
      </c>
    </row>
    <row r="406" spans="2:17" ht="16.5" hidden="1" x14ac:dyDescent="0.75">
      <c r="B406" s="227">
        <v>4</v>
      </c>
      <c r="C406" s="150">
        <v>2</v>
      </c>
      <c r="D406" s="150">
        <v>14</v>
      </c>
      <c r="E406" s="150" t="str">
        <f t="shared" si="29"/>
        <v>اردیبهشت</v>
      </c>
      <c r="F406" s="151" t="s">
        <v>168</v>
      </c>
      <c r="G406" s="244" t="s">
        <v>460</v>
      </c>
      <c r="H406" s="247" t="s">
        <v>463</v>
      </c>
      <c r="I406" s="162" t="s">
        <v>492</v>
      </c>
      <c r="J406" s="251">
        <v>6</v>
      </c>
      <c r="K406" s="254">
        <v>438000</v>
      </c>
      <c r="L406" s="255">
        <f t="shared" si="30"/>
        <v>2628000</v>
      </c>
      <c r="M406" s="257"/>
      <c r="N406" s="262" t="s">
        <v>346</v>
      </c>
      <c r="O4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6" s="262"/>
      <c r="Q406" s="264" t="str" cm="1">
        <f t="array" ref="Q406">IF(T[[#This Row],[نوع عملیات]]="فروش", _xlfn.XLOOKUP(T[[#This Row],[کالا]], _xlfn._xlws.FILTER(T[کالا], T[نوع عملیات]="خرید"), _xlfn._xlws.FILTER(T[فروشنده / مشتری], T[نوع عملیات]="خرید")), "")</f>
        <v/>
      </c>
    </row>
    <row r="407" spans="2:17" ht="16.5" hidden="1" x14ac:dyDescent="0.75">
      <c r="B407" s="227">
        <v>4</v>
      </c>
      <c r="C407" s="150">
        <v>2</v>
      </c>
      <c r="D407" s="150">
        <v>14</v>
      </c>
      <c r="E407" s="150" t="str">
        <f t="shared" si="29"/>
        <v>اردیبهشت</v>
      </c>
      <c r="F407" s="151" t="s">
        <v>168</v>
      </c>
      <c r="G407" s="244" t="s">
        <v>461</v>
      </c>
      <c r="H407" s="247" t="s">
        <v>463</v>
      </c>
      <c r="I407" s="162" t="s">
        <v>492</v>
      </c>
      <c r="J407" s="251">
        <v>5</v>
      </c>
      <c r="K407" s="254">
        <v>367200</v>
      </c>
      <c r="L407" s="255">
        <f t="shared" si="30"/>
        <v>1836000</v>
      </c>
      <c r="M407" s="257">
        <v>6300000</v>
      </c>
      <c r="N407" s="262" t="s">
        <v>346</v>
      </c>
      <c r="O4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7" s="262"/>
      <c r="Q407" s="264" t="str" cm="1">
        <f t="array" ref="Q407">IF(T[[#This Row],[نوع عملیات]]="فروش", _xlfn.XLOOKUP(T[[#This Row],[کالا]], _xlfn._xlws.FILTER(T[کالا], T[نوع عملیات]="خرید"), _xlfn._xlws.FILTER(T[فروشنده / مشتری], T[نوع عملیات]="خرید")), "")</f>
        <v/>
      </c>
    </row>
    <row r="408" spans="2:17" ht="16.5" hidden="1" x14ac:dyDescent="0.75">
      <c r="B408" s="227">
        <v>4</v>
      </c>
      <c r="C408" s="150">
        <v>2</v>
      </c>
      <c r="D408" s="150">
        <v>14</v>
      </c>
      <c r="E408" s="150" t="str">
        <f t="shared" si="29"/>
        <v>اردیبهشت</v>
      </c>
      <c r="F408" s="151" t="s">
        <v>168</v>
      </c>
      <c r="G408" s="244" t="s">
        <v>462</v>
      </c>
      <c r="H408" s="247" t="s">
        <v>463</v>
      </c>
      <c r="I408" s="162" t="s">
        <v>492</v>
      </c>
      <c r="J408" s="251">
        <v>5</v>
      </c>
      <c r="K408" s="254">
        <v>870000</v>
      </c>
      <c r="L408" s="255">
        <f t="shared" si="30"/>
        <v>4350000</v>
      </c>
      <c r="M408" s="257">
        <v>4350000</v>
      </c>
      <c r="N408" s="262" t="s">
        <v>346</v>
      </c>
      <c r="O4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8" s="262"/>
      <c r="Q408" s="264" t="str" cm="1">
        <f t="array" ref="Q408">IF(T[[#This Row],[نوع عملیات]]="فروش", _xlfn.XLOOKUP(T[[#This Row],[کالا]], _xlfn._xlws.FILTER(T[کالا], T[نوع عملیات]="خرید"), _xlfn._xlws.FILTER(T[فروشنده / مشتری], T[نوع عملیات]="خرید")), "")</f>
        <v/>
      </c>
    </row>
    <row r="409" spans="2:17" ht="16.5" hidden="1" x14ac:dyDescent="0.75">
      <c r="B409" s="227">
        <v>4</v>
      </c>
      <c r="C409" s="150">
        <v>2</v>
      </c>
      <c r="D409" s="150">
        <v>14</v>
      </c>
      <c r="E409" s="150" t="str">
        <f t="shared" ref="E409:E440" si="31">CHOOSE(C409, "فروردین", "اردیبهشت", "خرداد", "تیر", "مرداد", "شهریور", "مهر", "آبان", "آذر", "دی", "بهمن", "اسفند")</f>
        <v>اردیبهشت</v>
      </c>
      <c r="F409" s="151" t="s">
        <v>168</v>
      </c>
      <c r="G409" s="244" t="s">
        <v>464</v>
      </c>
      <c r="H409" s="247" t="s">
        <v>463</v>
      </c>
      <c r="I409" s="162" t="s">
        <v>492</v>
      </c>
      <c r="J409" s="251">
        <v>10</v>
      </c>
      <c r="K409" s="254">
        <v>995000</v>
      </c>
      <c r="L409" s="255">
        <f t="shared" si="30"/>
        <v>9950000</v>
      </c>
      <c r="M409" s="257"/>
      <c r="N409" s="262" t="s">
        <v>346</v>
      </c>
      <c r="O4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09" s="262"/>
      <c r="Q409" s="264" t="str" cm="1">
        <f t="array" ref="Q409">IF(T[[#This Row],[نوع عملیات]]="فروش", _xlfn.XLOOKUP(T[[#This Row],[کالا]], _xlfn._xlws.FILTER(T[کالا], T[نوع عملیات]="خرید"), _xlfn._xlws.FILTER(T[فروشنده / مشتری], T[نوع عملیات]="خرید")), "")</f>
        <v/>
      </c>
    </row>
    <row r="410" spans="2:17" ht="16.5" hidden="1" x14ac:dyDescent="0.75">
      <c r="B410" s="227">
        <v>4</v>
      </c>
      <c r="C410" s="150">
        <v>2</v>
      </c>
      <c r="D410" s="150">
        <v>14</v>
      </c>
      <c r="E410" s="150" t="str">
        <f t="shared" si="31"/>
        <v>اردیبهشت</v>
      </c>
      <c r="F410" s="151" t="s">
        <v>168</v>
      </c>
      <c r="G410" s="244" t="s">
        <v>465</v>
      </c>
      <c r="H410" s="247" t="s">
        <v>463</v>
      </c>
      <c r="I410" s="162" t="s">
        <v>492</v>
      </c>
      <c r="J410" s="251">
        <v>10</v>
      </c>
      <c r="K410" s="254">
        <v>675000</v>
      </c>
      <c r="L410" s="255">
        <f t="shared" si="30"/>
        <v>6750000</v>
      </c>
      <c r="M410" s="257">
        <v>16700000</v>
      </c>
      <c r="N410" s="262" t="s">
        <v>346</v>
      </c>
      <c r="O4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10" s="262"/>
      <c r="Q410" s="264" t="str" cm="1">
        <f t="array" ref="Q410">IF(T[[#This Row],[نوع عملیات]]="فروش", _xlfn.XLOOKUP(T[[#This Row],[کالا]], _xlfn._xlws.FILTER(T[کالا], T[نوع عملیات]="خرید"), _xlfn._xlws.FILTER(T[فروشنده / مشتری], T[نوع عملیات]="خرید")), "")</f>
        <v/>
      </c>
    </row>
    <row r="411" spans="2:17" ht="16.5" hidden="1" x14ac:dyDescent="0.75">
      <c r="B411" s="227">
        <v>4</v>
      </c>
      <c r="C411" s="150">
        <v>2</v>
      </c>
      <c r="D411" s="150">
        <v>14</v>
      </c>
      <c r="E411" s="150" t="str">
        <f t="shared" si="31"/>
        <v>اردیبهشت</v>
      </c>
      <c r="F411" s="151" t="s">
        <v>168</v>
      </c>
      <c r="G411" s="244" t="s">
        <v>466</v>
      </c>
      <c r="H411" s="247" t="s">
        <v>463</v>
      </c>
      <c r="I411" s="162" t="s">
        <v>492</v>
      </c>
      <c r="J411" s="251">
        <v>8</v>
      </c>
      <c r="K411" s="254">
        <v>510000</v>
      </c>
      <c r="L411" s="255">
        <f t="shared" si="30"/>
        <v>4080000</v>
      </c>
      <c r="M411" s="257">
        <v>4080000</v>
      </c>
      <c r="N411" s="262" t="s">
        <v>346</v>
      </c>
      <c r="O4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11" s="262"/>
      <c r="Q411" s="264" t="str" cm="1">
        <f t="array" ref="Q411">IF(T[[#This Row],[نوع عملیات]]="فروش", _xlfn.XLOOKUP(T[[#This Row],[کالا]], _xlfn._xlws.FILTER(T[کالا], T[نوع عملیات]="خرید"), _xlfn._xlws.FILTER(T[فروشنده / مشتری], T[نوع عملیات]="خرید")), "")</f>
        <v/>
      </c>
    </row>
    <row r="412" spans="2:17" ht="16.5" hidden="1" x14ac:dyDescent="0.75">
      <c r="B412" s="227">
        <v>4</v>
      </c>
      <c r="C412" s="150">
        <v>2</v>
      </c>
      <c r="D412" s="150">
        <v>14</v>
      </c>
      <c r="E412" s="150" t="str">
        <f t="shared" si="31"/>
        <v>اردیبهشت</v>
      </c>
      <c r="F412" s="151" t="s">
        <v>168</v>
      </c>
      <c r="G412" s="244" t="s">
        <v>471</v>
      </c>
      <c r="H412" s="247" t="s">
        <v>463</v>
      </c>
      <c r="I412" s="162" t="s">
        <v>492</v>
      </c>
      <c r="J412" s="251">
        <v>5</v>
      </c>
      <c r="K412" s="254">
        <v>740000</v>
      </c>
      <c r="L412" s="255">
        <f t="shared" si="30"/>
        <v>3700000</v>
      </c>
      <c r="M412" s="257"/>
      <c r="N412" s="262" t="s">
        <v>346</v>
      </c>
      <c r="O4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12" s="262"/>
      <c r="Q412" s="264" t="str" cm="1">
        <f t="array" ref="Q412">IF(T[[#This Row],[نوع عملیات]]="فروش", _xlfn.XLOOKUP(T[[#This Row],[کالا]], _xlfn._xlws.FILTER(T[کالا], T[نوع عملیات]="خرید"), _xlfn._xlws.FILTER(T[فروشنده / مشتری], T[نوع عملیات]="خرید")), "")</f>
        <v/>
      </c>
    </row>
    <row r="413" spans="2:17" ht="16.5" hidden="1" x14ac:dyDescent="0.75">
      <c r="B413" s="227">
        <v>4</v>
      </c>
      <c r="C413" s="150">
        <v>2</v>
      </c>
      <c r="D413" s="150">
        <v>14</v>
      </c>
      <c r="E413" s="150" t="str">
        <f t="shared" si="31"/>
        <v>اردیبهشت</v>
      </c>
      <c r="F413" s="151" t="s">
        <v>168</v>
      </c>
      <c r="G413" s="244" t="s">
        <v>472</v>
      </c>
      <c r="H413" s="247" t="s">
        <v>463</v>
      </c>
      <c r="I413" s="162" t="s">
        <v>492</v>
      </c>
      <c r="J413" s="251">
        <v>5</v>
      </c>
      <c r="K413" s="254">
        <v>740000</v>
      </c>
      <c r="L413" s="255">
        <f t="shared" si="30"/>
        <v>3700000</v>
      </c>
      <c r="M413" s="257">
        <v>7400000</v>
      </c>
      <c r="N413" s="262" t="s">
        <v>346</v>
      </c>
      <c r="O41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13" s="262"/>
      <c r="Q413" s="264" t="str" cm="1">
        <f t="array" ref="Q413">IF(T[[#This Row],[نوع عملیات]]="فروش", _xlfn.XLOOKUP(T[[#This Row],[کالا]], _xlfn._xlws.FILTER(T[کالا], T[نوع عملیات]="خرید"), _xlfn._xlws.FILTER(T[فروشنده / مشتری], T[نوع عملیات]="خرید")), "")</f>
        <v/>
      </c>
    </row>
    <row r="414" spans="2:17" ht="16.5" hidden="1" x14ac:dyDescent="0.75">
      <c r="B414" s="227">
        <v>4</v>
      </c>
      <c r="C414" s="150">
        <v>2</v>
      </c>
      <c r="D414" s="150">
        <v>14</v>
      </c>
      <c r="E414" s="150" t="str">
        <f t="shared" si="31"/>
        <v>اردیبهشت</v>
      </c>
      <c r="F414" s="151" t="s">
        <v>168</v>
      </c>
      <c r="G414" s="244" t="s">
        <v>467</v>
      </c>
      <c r="H414" s="247" t="s">
        <v>463</v>
      </c>
      <c r="I414" s="162" t="s">
        <v>492</v>
      </c>
      <c r="J414" s="251">
        <v>5</v>
      </c>
      <c r="K414" s="254">
        <v>350000</v>
      </c>
      <c r="L414" s="255">
        <f t="shared" si="30"/>
        <v>1750000</v>
      </c>
      <c r="M414" s="257">
        <v>1750000</v>
      </c>
      <c r="N414" s="262" t="s">
        <v>346</v>
      </c>
      <c r="O4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14" s="262"/>
      <c r="Q414" s="264" t="str" cm="1">
        <f t="array" ref="Q414">IF(T[[#This Row],[نوع عملیات]]="فروش", _xlfn.XLOOKUP(T[[#This Row],[کالا]], _xlfn._xlws.FILTER(T[کالا], T[نوع عملیات]="خرید"), _xlfn._xlws.FILTER(T[فروشنده / مشتری], T[نوع عملیات]="خرید")), "")</f>
        <v/>
      </c>
    </row>
    <row r="415" spans="2:17" ht="16.5" hidden="1" x14ac:dyDescent="0.75">
      <c r="B415" s="227">
        <v>4</v>
      </c>
      <c r="C415" s="150">
        <v>2</v>
      </c>
      <c r="D415" s="150">
        <v>14</v>
      </c>
      <c r="E415" s="150" t="str">
        <f t="shared" si="31"/>
        <v>اردیبهشت</v>
      </c>
      <c r="F415" s="151" t="s">
        <v>168</v>
      </c>
      <c r="G415" s="244" t="s">
        <v>468</v>
      </c>
      <c r="H415" s="247" t="s">
        <v>463</v>
      </c>
      <c r="I415" s="162" t="s">
        <v>492</v>
      </c>
      <c r="J415" s="251">
        <v>8</v>
      </c>
      <c r="K415" s="254">
        <v>148000</v>
      </c>
      <c r="L415" s="255">
        <f t="shared" si="30"/>
        <v>1184000</v>
      </c>
      <c r="M415" s="257">
        <v>1184000</v>
      </c>
      <c r="N415" s="262" t="s">
        <v>346</v>
      </c>
      <c r="O41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15" s="262"/>
      <c r="Q415" s="264" t="str" cm="1">
        <f t="array" ref="Q415">IF(T[[#This Row],[نوع عملیات]]="فروش", _xlfn.XLOOKUP(T[[#This Row],[کالا]], _xlfn._xlws.FILTER(T[کالا], T[نوع عملیات]="خرید"), _xlfn._xlws.FILTER(T[فروشنده / مشتری], T[نوع عملیات]="خرید")), "")</f>
        <v/>
      </c>
    </row>
    <row r="416" spans="2:17" ht="16.5" hidden="1" x14ac:dyDescent="0.75">
      <c r="B416" s="227">
        <v>4</v>
      </c>
      <c r="C416" s="150">
        <v>2</v>
      </c>
      <c r="D416" s="150">
        <v>14</v>
      </c>
      <c r="E416" s="150" t="str">
        <f t="shared" si="31"/>
        <v>اردیبهشت</v>
      </c>
      <c r="F416" s="151" t="s">
        <v>168</v>
      </c>
      <c r="G416" s="244" t="s">
        <v>469</v>
      </c>
      <c r="H416" s="247" t="s">
        <v>463</v>
      </c>
      <c r="I416" s="162" t="s">
        <v>492</v>
      </c>
      <c r="J416" s="251">
        <v>6</v>
      </c>
      <c r="K416" s="254">
        <f>T[[#This Row],[قیمت کل]]/T[[#This Row],[تعداد]]</f>
        <v>596666.66666666663</v>
      </c>
      <c r="L416" s="255">
        <v>3580000</v>
      </c>
      <c r="M416" s="257">
        <v>3580000</v>
      </c>
      <c r="N416" s="262" t="s">
        <v>346</v>
      </c>
      <c r="O41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16" s="262"/>
      <c r="Q416" s="264" t="str" cm="1">
        <f t="array" ref="Q416">IF(T[[#This Row],[نوع عملیات]]="فروش", _xlfn.XLOOKUP(T[[#This Row],[کالا]], _xlfn._xlws.FILTER(T[کالا], T[نوع عملیات]="خرید"), _xlfn._xlws.FILTER(T[فروشنده / مشتری], T[نوع عملیات]="خرید")), "")</f>
        <v/>
      </c>
    </row>
    <row r="417" spans="2:17" ht="16.5" hidden="1" x14ac:dyDescent="0.75">
      <c r="B417" s="227">
        <v>4</v>
      </c>
      <c r="C417" s="150">
        <v>2</v>
      </c>
      <c r="D417" s="150">
        <v>14</v>
      </c>
      <c r="E417" s="150" t="str">
        <f t="shared" si="31"/>
        <v>اردیبهشت</v>
      </c>
      <c r="F417" s="151" t="s">
        <v>168</v>
      </c>
      <c r="G417" s="244" t="s">
        <v>470</v>
      </c>
      <c r="H417" s="247" t="s">
        <v>463</v>
      </c>
      <c r="I417" s="162" t="s">
        <v>492</v>
      </c>
      <c r="J417" s="251">
        <v>4</v>
      </c>
      <c r="K417" s="254">
        <v>368000</v>
      </c>
      <c r="L417" s="255">
        <f t="shared" ref="L417:L448" si="32">J417*K417</f>
        <v>1472000</v>
      </c>
      <c r="M417" s="257">
        <v>1472000</v>
      </c>
      <c r="N417" s="262" t="s">
        <v>346</v>
      </c>
      <c r="O41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17" s="262"/>
      <c r="Q417" s="264" t="str" cm="1">
        <f t="array" ref="Q417">IF(T[[#This Row],[نوع عملیات]]="فروش", _xlfn.XLOOKUP(T[[#This Row],[کالا]], _xlfn._xlws.FILTER(T[کالا], T[نوع عملیات]="خرید"), _xlfn._xlws.FILTER(T[فروشنده / مشتری], T[نوع عملیات]="خرید")), "")</f>
        <v/>
      </c>
    </row>
    <row r="418" spans="2:17" ht="16.899999999999999" hidden="1" customHeight="1" x14ac:dyDescent="0.75">
      <c r="B418" s="227">
        <v>4</v>
      </c>
      <c r="C418" s="150">
        <v>2</v>
      </c>
      <c r="D418" s="150">
        <v>15</v>
      </c>
      <c r="E418" s="150" t="str">
        <f t="shared" si="31"/>
        <v>اردیبهشت</v>
      </c>
      <c r="F418" s="151" t="s">
        <v>167</v>
      </c>
      <c r="G418" s="244" t="s">
        <v>461</v>
      </c>
      <c r="H418" s="294" t="s">
        <v>423</v>
      </c>
      <c r="I418" s="162"/>
      <c r="J418" s="251">
        <v>1</v>
      </c>
      <c r="K418" s="254">
        <v>750000</v>
      </c>
      <c r="L418" s="255">
        <f t="shared" si="32"/>
        <v>750000</v>
      </c>
      <c r="M418" s="300"/>
      <c r="N418" s="258" t="s">
        <v>346</v>
      </c>
      <c r="O418" s="260">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382800</v>
      </c>
      <c r="P418" s="258"/>
      <c r="Q418" s="259" t="str" cm="1">
        <f t="array" ref="Q418">IF(T[[#This Row],[نوع عملیات]]="فروش", _xlfn.XLOOKUP(T[[#This Row],[کالا]], _xlfn._xlws.FILTER(T[کالا], T[نوع عملیات]="خرید"), _xlfn._xlws.FILTER(T[فروشنده / مشتری], T[نوع عملیات]="خرید")), "")</f>
        <v>سرای ملی</v>
      </c>
    </row>
    <row r="419" spans="2:17" ht="16.5" hidden="1" x14ac:dyDescent="0.75">
      <c r="B419" s="227">
        <v>4</v>
      </c>
      <c r="C419" s="150">
        <v>2</v>
      </c>
      <c r="D419" s="150">
        <v>15</v>
      </c>
      <c r="E419" s="150" t="str">
        <f t="shared" si="31"/>
        <v>اردیبهشت</v>
      </c>
      <c r="F419" s="151" t="s">
        <v>167</v>
      </c>
      <c r="G419" s="244" t="s">
        <v>460</v>
      </c>
      <c r="H419" s="247" t="s">
        <v>423</v>
      </c>
      <c r="I419" s="162"/>
      <c r="J419" s="251">
        <v>1</v>
      </c>
      <c r="K419" s="254">
        <v>750000</v>
      </c>
      <c r="L419" s="255">
        <f t="shared" si="32"/>
        <v>750000</v>
      </c>
      <c r="M419" s="257"/>
      <c r="N419" s="262"/>
      <c r="O41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312000</v>
      </c>
      <c r="P419" s="262"/>
      <c r="Q419" s="264" t="str" cm="1">
        <f t="array" ref="Q419">IF(T[[#This Row],[نوع عملیات]]="فروش", _xlfn.XLOOKUP(T[[#This Row],[کالا]], _xlfn._xlws.FILTER(T[کالا], T[نوع عملیات]="خرید"), _xlfn._xlws.FILTER(T[فروشنده / مشتری], T[نوع عملیات]="خرید")), "")</f>
        <v>سرای ملی</v>
      </c>
    </row>
    <row r="420" spans="2:17" ht="16.5" hidden="1" x14ac:dyDescent="0.75">
      <c r="B420" s="227">
        <v>4</v>
      </c>
      <c r="C420" s="150">
        <v>2</v>
      </c>
      <c r="D420" s="150">
        <v>15</v>
      </c>
      <c r="E420" s="150" t="str">
        <f t="shared" si="31"/>
        <v>اردیبهشت</v>
      </c>
      <c r="F420" s="151" t="s">
        <v>167</v>
      </c>
      <c r="G420" s="244" t="s">
        <v>459</v>
      </c>
      <c r="H420" s="247" t="s">
        <v>423</v>
      </c>
      <c r="I420" s="162"/>
      <c r="J420" s="251">
        <v>1</v>
      </c>
      <c r="K420" s="254">
        <v>750000</v>
      </c>
      <c r="L420" s="255">
        <f t="shared" si="32"/>
        <v>750000</v>
      </c>
      <c r="M420" s="257"/>
      <c r="N420" s="262"/>
      <c r="O42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382800</v>
      </c>
      <c r="P420" s="262"/>
      <c r="Q420" s="264" t="str" cm="1">
        <f t="array" ref="Q420">IF(T[[#This Row],[نوع عملیات]]="فروش", _xlfn.XLOOKUP(T[[#This Row],[کالا]], _xlfn._xlws.FILTER(T[کالا], T[نوع عملیات]="خرید"), _xlfn._xlws.FILTER(T[فروشنده / مشتری], T[نوع عملیات]="خرید")), "")</f>
        <v>سرای ملی</v>
      </c>
    </row>
    <row r="421" spans="2:17" ht="16.5" hidden="1" x14ac:dyDescent="0.75">
      <c r="B421" s="227">
        <v>4</v>
      </c>
      <c r="C421" s="150">
        <v>2</v>
      </c>
      <c r="D421" s="150">
        <v>15</v>
      </c>
      <c r="E421" s="150" t="str">
        <f t="shared" si="31"/>
        <v>اردیبهشت</v>
      </c>
      <c r="F421" s="151" t="s">
        <v>167</v>
      </c>
      <c r="G421" s="244" t="s">
        <v>459</v>
      </c>
      <c r="H421" s="247" t="s">
        <v>473</v>
      </c>
      <c r="I421" s="162"/>
      <c r="J421" s="251">
        <v>1</v>
      </c>
      <c r="K421" s="254">
        <v>750000</v>
      </c>
      <c r="L421" s="255">
        <f t="shared" si="32"/>
        <v>750000</v>
      </c>
      <c r="M421" s="257"/>
      <c r="N421" s="262"/>
      <c r="O42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382800</v>
      </c>
      <c r="P421" s="262"/>
      <c r="Q421" s="264" t="str" cm="1">
        <f t="array" ref="Q421">IF(T[[#This Row],[نوع عملیات]]="فروش", _xlfn.XLOOKUP(T[[#This Row],[کالا]], _xlfn._xlws.FILTER(T[کالا], T[نوع عملیات]="خرید"), _xlfn._xlws.FILTER(T[فروشنده / مشتری], T[نوع عملیات]="خرید")), "")</f>
        <v>سرای ملی</v>
      </c>
    </row>
    <row r="422" spans="2:17" ht="16.5" hidden="1" x14ac:dyDescent="0.75">
      <c r="B422" s="227">
        <v>4</v>
      </c>
      <c r="C422" s="150">
        <v>2</v>
      </c>
      <c r="D422" s="150">
        <v>15</v>
      </c>
      <c r="E422" s="150" t="str">
        <f t="shared" si="31"/>
        <v>اردیبهشت</v>
      </c>
      <c r="F422" s="151" t="s">
        <v>167</v>
      </c>
      <c r="G422" s="244" t="s">
        <v>244</v>
      </c>
      <c r="H422" s="247" t="s">
        <v>473</v>
      </c>
      <c r="I422" s="162"/>
      <c r="J422" s="251">
        <v>1</v>
      </c>
      <c r="K422" s="254">
        <v>750000</v>
      </c>
      <c r="L422" s="255">
        <f t="shared" si="32"/>
        <v>750000</v>
      </c>
      <c r="M422" s="257"/>
      <c r="N422" s="262"/>
      <c r="O42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430000</v>
      </c>
      <c r="P422" s="262"/>
      <c r="Q422" s="264" t="str" cm="1">
        <f t="array" ref="Q422">IF(T[[#This Row],[نوع عملیات]]="فروش", _xlfn.XLOOKUP(T[[#This Row],[کالا]], _xlfn._xlws.FILTER(T[کالا], T[نوع عملیات]="خرید"), _xlfn._xlws.FILTER(T[فروشنده / مشتری], T[نوع عملیات]="خرید")), "")</f>
        <v>بازار</v>
      </c>
    </row>
    <row r="423" spans="2:17" ht="16.5" hidden="1" x14ac:dyDescent="0.75">
      <c r="B423" s="227">
        <v>4</v>
      </c>
      <c r="C423" s="150">
        <v>2</v>
      </c>
      <c r="D423" s="150">
        <v>15</v>
      </c>
      <c r="E423" s="150" t="str">
        <f t="shared" si="31"/>
        <v>اردیبهشت</v>
      </c>
      <c r="F423" s="151" t="s">
        <v>167</v>
      </c>
      <c r="G423" s="244" t="s">
        <v>468</v>
      </c>
      <c r="H423" s="247" t="s">
        <v>474</v>
      </c>
      <c r="I423" s="162"/>
      <c r="J423" s="251">
        <v>1</v>
      </c>
      <c r="K423" s="254">
        <v>350000</v>
      </c>
      <c r="L423" s="255">
        <f t="shared" si="32"/>
        <v>350000</v>
      </c>
      <c r="M423" s="257">
        <v>350000</v>
      </c>
      <c r="N423" s="262" t="s">
        <v>299</v>
      </c>
      <c r="O42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423" s="262"/>
      <c r="Q423" s="264" t="str" cm="1">
        <f t="array" ref="Q423">IF(T[[#This Row],[نوع عملیات]]="فروش", _xlfn.XLOOKUP(T[[#This Row],[کالا]], _xlfn._xlws.FILTER(T[کالا], T[نوع عملیات]="خرید"), _xlfn._xlws.FILTER(T[فروشنده / مشتری], T[نوع عملیات]="خرید")), "")</f>
        <v>سرای ملی</v>
      </c>
    </row>
    <row r="424" spans="2:17" ht="16.5" hidden="1" x14ac:dyDescent="0.75">
      <c r="B424" s="227">
        <v>4</v>
      </c>
      <c r="C424" s="150">
        <v>2</v>
      </c>
      <c r="D424" s="150">
        <v>15</v>
      </c>
      <c r="E424" s="150" t="str">
        <f t="shared" si="31"/>
        <v>اردیبهشت</v>
      </c>
      <c r="F424" s="151" t="s">
        <v>167</v>
      </c>
      <c r="G424" s="244" t="s">
        <v>460</v>
      </c>
      <c r="H424" s="247" t="s">
        <v>211</v>
      </c>
      <c r="I424" s="162"/>
      <c r="J424" s="251">
        <v>1</v>
      </c>
      <c r="K424" s="254">
        <v>750000</v>
      </c>
      <c r="L424" s="255">
        <f t="shared" si="32"/>
        <v>750000</v>
      </c>
      <c r="M424" s="257">
        <v>750000</v>
      </c>
      <c r="N424" s="262" t="s">
        <v>299</v>
      </c>
      <c r="O42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312000</v>
      </c>
      <c r="P424" s="262"/>
      <c r="Q424" s="264" t="str" cm="1">
        <f t="array" ref="Q424">IF(T[[#This Row],[نوع عملیات]]="فروش", _xlfn.XLOOKUP(T[[#This Row],[کالا]], _xlfn._xlws.FILTER(T[کالا], T[نوع عملیات]="خرید"), _xlfn._xlws.FILTER(T[فروشنده / مشتری], T[نوع عملیات]="خرید")), "")</f>
        <v>سرای ملی</v>
      </c>
    </row>
    <row r="425" spans="2:17" ht="16.5" hidden="1" x14ac:dyDescent="0.75">
      <c r="B425" s="227">
        <v>4</v>
      </c>
      <c r="C425" s="150">
        <v>2</v>
      </c>
      <c r="D425" s="150">
        <v>15</v>
      </c>
      <c r="E425" s="150" t="str">
        <f t="shared" si="31"/>
        <v>اردیبهشت</v>
      </c>
      <c r="F425" s="151" t="s">
        <v>168</v>
      </c>
      <c r="G425" s="244" t="s">
        <v>475</v>
      </c>
      <c r="H425" s="247" t="s">
        <v>578</v>
      </c>
      <c r="I425" s="162" t="s">
        <v>580</v>
      </c>
      <c r="J425" s="251">
        <v>1</v>
      </c>
      <c r="K425" s="254">
        <v>750000</v>
      </c>
      <c r="L425" s="255">
        <f t="shared" si="32"/>
        <v>750000</v>
      </c>
      <c r="M425" s="257">
        <v>750000</v>
      </c>
      <c r="N425" s="262" t="s">
        <v>346</v>
      </c>
      <c r="O42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25" s="262"/>
      <c r="Q425" s="264" t="str" cm="1">
        <f t="array" ref="Q425">IF(T[[#This Row],[نوع عملیات]]="فروش", _xlfn.XLOOKUP(T[[#This Row],[کالا]], _xlfn._xlws.FILTER(T[کالا], T[نوع عملیات]="خرید"), _xlfn._xlws.FILTER(T[فروشنده / مشتری], T[نوع عملیات]="خرید")), "")</f>
        <v/>
      </c>
    </row>
    <row r="426" spans="2:17" ht="16.5" hidden="1" x14ac:dyDescent="0.75">
      <c r="B426" s="227">
        <v>4</v>
      </c>
      <c r="C426" s="150">
        <v>2</v>
      </c>
      <c r="D426" s="150">
        <v>15</v>
      </c>
      <c r="E426" s="150" t="str">
        <f t="shared" si="31"/>
        <v>اردیبهشت</v>
      </c>
      <c r="F426" s="151" t="s">
        <v>167</v>
      </c>
      <c r="G426" s="244" t="s">
        <v>475</v>
      </c>
      <c r="H426" s="247" t="s">
        <v>612</v>
      </c>
      <c r="I426" s="162"/>
      <c r="J426" s="251">
        <v>1</v>
      </c>
      <c r="K426" s="254">
        <v>850000</v>
      </c>
      <c r="L426" s="255">
        <f t="shared" si="32"/>
        <v>850000</v>
      </c>
      <c r="M426" s="257"/>
      <c r="N426" s="262"/>
      <c r="O42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426" s="262"/>
      <c r="Q426" s="264" t="str" cm="1">
        <f t="array" ref="Q426">IF(T[[#This Row],[نوع عملیات]]="فروش", _xlfn.XLOOKUP(T[[#This Row],[کالا]], _xlfn._xlws.FILTER(T[کالا], T[نوع عملیات]="خرید"), _xlfn._xlws.FILTER(T[فروشنده / مشتری], T[نوع عملیات]="خرید")), "")</f>
        <v>فروشنده نامشخص</v>
      </c>
    </row>
    <row r="427" spans="2:17" ht="16.5" hidden="1" x14ac:dyDescent="0.75">
      <c r="B427" s="227">
        <v>4</v>
      </c>
      <c r="C427" s="150">
        <v>2</v>
      </c>
      <c r="D427" s="150">
        <v>15</v>
      </c>
      <c r="E427" s="150" t="str">
        <f t="shared" si="31"/>
        <v>اردیبهشت</v>
      </c>
      <c r="F427" s="151" t="s">
        <v>167</v>
      </c>
      <c r="G427" s="244" t="s">
        <v>456</v>
      </c>
      <c r="H427" s="247" t="s">
        <v>612</v>
      </c>
      <c r="I427" s="162"/>
      <c r="J427" s="251">
        <v>1</v>
      </c>
      <c r="K427" s="254">
        <v>1200000</v>
      </c>
      <c r="L427" s="255">
        <f t="shared" si="32"/>
        <v>1200000</v>
      </c>
      <c r="M427" s="257"/>
      <c r="N427" s="262"/>
      <c r="O42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750000</v>
      </c>
      <c r="P427" s="262"/>
      <c r="Q427" s="264" t="str" cm="1">
        <f t="array" ref="Q427">IF(T[[#This Row],[نوع عملیات]]="فروش", _xlfn.XLOOKUP(T[[#This Row],[کالا]], _xlfn._xlws.FILTER(T[کالا], T[نوع عملیات]="خرید"), _xlfn._xlws.FILTER(T[فروشنده / مشتری], T[نوع عملیات]="خرید")), "")</f>
        <v>سرای ملی</v>
      </c>
    </row>
    <row r="428" spans="2:17" ht="16.5" hidden="1" x14ac:dyDescent="0.75">
      <c r="B428" s="227">
        <v>4</v>
      </c>
      <c r="C428" s="150">
        <v>2</v>
      </c>
      <c r="D428" s="150">
        <v>15</v>
      </c>
      <c r="E428" s="150" t="str">
        <f t="shared" si="31"/>
        <v>اردیبهشت</v>
      </c>
      <c r="F428" s="151" t="s">
        <v>167</v>
      </c>
      <c r="G428" s="244" t="s">
        <v>468</v>
      </c>
      <c r="H428" s="247" t="s">
        <v>477</v>
      </c>
      <c r="I428" s="162"/>
      <c r="J428" s="251">
        <v>1</v>
      </c>
      <c r="K428" s="254">
        <v>350000</v>
      </c>
      <c r="L428" s="255">
        <f t="shared" si="32"/>
        <v>350000</v>
      </c>
      <c r="M428" s="257"/>
      <c r="N428" s="262"/>
      <c r="O42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428" s="262"/>
      <c r="Q428" s="264" t="str" cm="1">
        <f t="array" ref="Q428">IF(T[[#This Row],[نوع عملیات]]="فروش", _xlfn.XLOOKUP(T[[#This Row],[کالا]], _xlfn._xlws.FILTER(T[کالا], T[نوع عملیات]="خرید"), _xlfn._xlws.FILTER(T[فروشنده / مشتری], T[نوع عملیات]="خرید")), "")</f>
        <v>سرای ملی</v>
      </c>
    </row>
    <row r="429" spans="2:17" ht="16.5" hidden="1" x14ac:dyDescent="0.75">
      <c r="B429" s="227">
        <v>4</v>
      </c>
      <c r="C429" s="150">
        <v>2</v>
      </c>
      <c r="D429" s="150">
        <v>15</v>
      </c>
      <c r="E429" s="150" t="str">
        <f t="shared" si="31"/>
        <v>اردیبهشت</v>
      </c>
      <c r="F429" s="151" t="s">
        <v>167</v>
      </c>
      <c r="G429" s="244" t="s">
        <v>456</v>
      </c>
      <c r="H429" s="247" t="s">
        <v>350</v>
      </c>
      <c r="I429" s="162"/>
      <c r="J429" s="251">
        <v>1</v>
      </c>
      <c r="K429" s="254">
        <v>1200000</v>
      </c>
      <c r="L429" s="255">
        <f t="shared" si="32"/>
        <v>1200000</v>
      </c>
      <c r="M429" s="257"/>
      <c r="N429" s="262"/>
      <c r="O42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750000</v>
      </c>
      <c r="P429" s="262"/>
      <c r="Q429" s="264" t="str" cm="1">
        <f t="array" ref="Q429">IF(T[[#This Row],[نوع عملیات]]="فروش", _xlfn.XLOOKUP(T[[#This Row],[کالا]], _xlfn._xlws.FILTER(T[کالا], T[نوع عملیات]="خرید"), _xlfn._xlws.FILTER(T[فروشنده / مشتری], T[نوع عملیات]="خرید")), "")</f>
        <v>سرای ملی</v>
      </c>
    </row>
    <row r="430" spans="2:17" ht="16.5" hidden="1" x14ac:dyDescent="0.75">
      <c r="B430" s="227">
        <v>4</v>
      </c>
      <c r="C430" s="150">
        <v>2</v>
      </c>
      <c r="D430" s="150">
        <v>15</v>
      </c>
      <c r="E430" s="150" t="str">
        <f t="shared" si="31"/>
        <v>اردیبهشت</v>
      </c>
      <c r="F430" s="151" t="s">
        <v>167</v>
      </c>
      <c r="G430" s="244" t="s">
        <v>461</v>
      </c>
      <c r="H430" s="247" t="s">
        <v>422</v>
      </c>
      <c r="I430" s="162"/>
      <c r="J430" s="251">
        <v>1</v>
      </c>
      <c r="K430" s="254">
        <v>750000</v>
      </c>
      <c r="L430" s="255">
        <f t="shared" si="32"/>
        <v>750000</v>
      </c>
      <c r="M430" s="257"/>
      <c r="N430" s="262"/>
      <c r="O43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382800</v>
      </c>
      <c r="P430" s="262"/>
      <c r="Q430" s="264" t="str" cm="1">
        <f t="array" ref="Q430">IF(T[[#This Row],[نوع عملیات]]="فروش", _xlfn.XLOOKUP(T[[#This Row],[کالا]], _xlfn._xlws.FILTER(T[کالا], T[نوع عملیات]="خرید"), _xlfn._xlws.FILTER(T[فروشنده / مشتری], T[نوع عملیات]="خرید")), "")</f>
        <v>سرای ملی</v>
      </c>
    </row>
    <row r="431" spans="2:17" ht="16.5" hidden="1" x14ac:dyDescent="0.75">
      <c r="B431" s="227">
        <v>4</v>
      </c>
      <c r="C431" s="150">
        <v>2</v>
      </c>
      <c r="D431" s="150">
        <v>15</v>
      </c>
      <c r="E431" s="150" t="str">
        <f t="shared" si="31"/>
        <v>اردیبهشت</v>
      </c>
      <c r="F431" s="151" t="s">
        <v>167</v>
      </c>
      <c r="G431" s="244" t="s">
        <v>461</v>
      </c>
      <c r="H431" s="247" t="s">
        <v>352</v>
      </c>
      <c r="I431" s="162"/>
      <c r="J431" s="251">
        <v>1</v>
      </c>
      <c r="K431" s="254">
        <v>750000</v>
      </c>
      <c r="L431" s="255">
        <f t="shared" si="32"/>
        <v>750000</v>
      </c>
      <c r="M431" s="257"/>
      <c r="N431" s="262"/>
      <c r="O43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382800</v>
      </c>
      <c r="P431" s="262"/>
      <c r="Q431" s="264" t="str" cm="1">
        <f t="array" ref="Q431">IF(T[[#This Row],[نوع عملیات]]="فروش", _xlfn.XLOOKUP(T[[#This Row],[کالا]], _xlfn._xlws.FILTER(T[کالا], T[نوع عملیات]="خرید"), _xlfn._xlws.FILTER(T[فروشنده / مشتری], T[نوع عملیات]="خرید")), "")</f>
        <v>سرای ملی</v>
      </c>
    </row>
    <row r="432" spans="2:17" ht="16.5" hidden="1" x14ac:dyDescent="0.75">
      <c r="B432" s="227">
        <v>4</v>
      </c>
      <c r="C432" s="150">
        <v>2</v>
      </c>
      <c r="D432" s="150">
        <v>15</v>
      </c>
      <c r="E432" s="150" t="str">
        <f t="shared" si="31"/>
        <v>اردیبهشت</v>
      </c>
      <c r="F432" s="151" t="s">
        <v>167</v>
      </c>
      <c r="G432" s="244" t="s">
        <v>468</v>
      </c>
      <c r="H432" s="247" t="s">
        <v>436</v>
      </c>
      <c r="I432" s="162"/>
      <c r="J432" s="251">
        <v>1</v>
      </c>
      <c r="K432" s="254">
        <v>350000</v>
      </c>
      <c r="L432" s="255">
        <f t="shared" si="32"/>
        <v>350000</v>
      </c>
      <c r="M432" s="257">
        <v>350000</v>
      </c>
      <c r="N432" s="262" t="s">
        <v>346</v>
      </c>
      <c r="O43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432" s="262"/>
      <c r="Q432" s="264" t="str" cm="1">
        <f t="array" ref="Q432">IF(T[[#This Row],[نوع عملیات]]="فروش", _xlfn.XLOOKUP(T[[#This Row],[کالا]], _xlfn._xlws.FILTER(T[کالا], T[نوع عملیات]="خرید"), _xlfn._xlws.FILTER(T[فروشنده / مشتری], T[نوع عملیات]="خرید")), "")</f>
        <v>سرای ملی</v>
      </c>
    </row>
    <row r="433" spans="2:17" ht="16.5" hidden="1" x14ac:dyDescent="0.75">
      <c r="B433" s="227">
        <v>4</v>
      </c>
      <c r="C433" s="150">
        <v>2</v>
      </c>
      <c r="D433" s="150">
        <v>15</v>
      </c>
      <c r="E433" s="150" t="str">
        <f t="shared" si="31"/>
        <v>اردیبهشت</v>
      </c>
      <c r="F433" s="151" t="s">
        <v>167</v>
      </c>
      <c r="G433" s="244" t="s">
        <v>464</v>
      </c>
      <c r="H433" s="247" t="s">
        <v>434</v>
      </c>
      <c r="I433" s="162"/>
      <c r="J433" s="251">
        <v>1</v>
      </c>
      <c r="K433" s="254">
        <v>2200000</v>
      </c>
      <c r="L433" s="255">
        <f t="shared" si="32"/>
        <v>2200000</v>
      </c>
      <c r="M433" s="257"/>
      <c r="N433" s="262"/>
      <c r="O43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1205000</v>
      </c>
      <c r="P433" s="262"/>
      <c r="Q433" s="264" t="str" cm="1">
        <f t="array" ref="Q433">IF(T[[#This Row],[نوع عملیات]]="فروش", _xlfn.XLOOKUP(T[[#This Row],[کالا]], _xlfn._xlws.FILTER(T[کالا], T[نوع عملیات]="خرید"), _xlfn._xlws.FILTER(T[فروشنده / مشتری], T[نوع عملیات]="خرید")), "")</f>
        <v>سرای ملی</v>
      </c>
    </row>
    <row r="434" spans="2:17" ht="16.5" hidden="1" x14ac:dyDescent="0.75">
      <c r="B434" s="227">
        <v>4</v>
      </c>
      <c r="C434" s="150">
        <v>2</v>
      </c>
      <c r="D434" s="150">
        <v>15</v>
      </c>
      <c r="E434" s="150" t="str">
        <f t="shared" si="31"/>
        <v>اردیبهشت</v>
      </c>
      <c r="F434" s="151" t="s">
        <v>167</v>
      </c>
      <c r="G434" s="244" t="s">
        <v>484</v>
      </c>
      <c r="H434" s="247" t="s">
        <v>434</v>
      </c>
      <c r="I434" s="162"/>
      <c r="J434" s="251">
        <v>1</v>
      </c>
      <c r="K434" s="254">
        <v>1400000</v>
      </c>
      <c r="L434" s="255">
        <f t="shared" si="32"/>
        <v>1400000</v>
      </c>
      <c r="M434" s="257"/>
      <c r="N434" s="262"/>
      <c r="O43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365555.5555555555</v>
      </c>
      <c r="P434" s="262"/>
      <c r="Q434" s="264" t="str" cm="1">
        <f t="array" ref="Q434">IF(T[[#This Row],[نوع عملیات]]="فروش", _xlfn.XLOOKUP(T[[#This Row],[کالا]], _xlfn._xlws.FILTER(T[کالا], T[نوع عملیات]="خرید"), _xlfn._xlws.FILTER(T[فروشنده / مشتری], T[نوع عملیات]="خرید")), "")</f>
        <v>عبدل آباد</v>
      </c>
    </row>
    <row r="435" spans="2:17" ht="16.5" hidden="1" x14ac:dyDescent="0.75">
      <c r="B435" s="227">
        <v>4</v>
      </c>
      <c r="C435" s="150">
        <v>2</v>
      </c>
      <c r="D435" s="150">
        <v>15</v>
      </c>
      <c r="E435" s="150" t="str">
        <f t="shared" si="31"/>
        <v>اردیبهشت</v>
      </c>
      <c r="F435" s="151" t="s">
        <v>167</v>
      </c>
      <c r="G435" s="244" t="s">
        <v>465</v>
      </c>
      <c r="H435" s="247" t="s">
        <v>476</v>
      </c>
      <c r="I435" s="162"/>
      <c r="J435" s="251">
        <v>1</v>
      </c>
      <c r="K435" s="254">
        <v>1500000</v>
      </c>
      <c r="L435" s="255">
        <f t="shared" si="32"/>
        <v>1500000</v>
      </c>
      <c r="M435" s="257"/>
      <c r="N435" s="262"/>
      <c r="O43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825000</v>
      </c>
      <c r="P435" s="262"/>
      <c r="Q435" s="264" t="str" cm="1">
        <f t="array" ref="Q435">IF(T[[#This Row],[نوع عملیات]]="فروش", _xlfn.XLOOKUP(T[[#This Row],[کالا]], _xlfn._xlws.FILTER(T[کالا], T[نوع عملیات]="خرید"), _xlfn._xlws.FILTER(T[فروشنده / مشتری], T[نوع عملیات]="خرید")), "")</f>
        <v>سرای ملی</v>
      </c>
    </row>
    <row r="436" spans="2:17" ht="16.5" hidden="1" x14ac:dyDescent="0.75">
      <c r="B436" s="227">
        <v>4</v>
      </c>
      <c r="C436" s="150">
        <v>2</v>
      </c>
      <c r="D436" s="150">
        <v>15</v>
      </c>
      <c r="E436" s="150" t="str">
        <f t="shared" si="31"/>
        <v>اردیبهشت</v>
      </c>
      <c r="F436" s="151" t="s">
        <v>167</v>
      </c>
      <c r="G436" s="244" t="s">
        <v>459</v>
      </c>
      <c r="H436" s="247" t="s">
        <v>476</v>
      </c>
      <c r="I436" s="162"/>
      <c r="J436" s="251">
        <v>1</v>
      </c>
      <c r="K436" s="254">
        <v>600000</v>
      </c>
      <c r="L436" s="255">
        <f t="shared" si="32"/>
        <v>600000</v>
      </c>
      <c r="M436" s="257"/>
      <c r="N436" s="262"/>
      <c r="O43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232800</v>
      </c>
      <c r="P436" s="262"/>
      <c r="Q436" s="264" t="str" cm="1">
        <f t="array" ref="Q436">IF(T[[#This Row],[نوع عملیات]]="فروش", _xlfn.XLOOKUP(T[[#This Row],[کالا]], _xlfn._xlws.FILTER(T[کالا], T[نوع عملیات]="خرید"), _xlfn._xlws.FILTER(T[فروشنده / مشتری], T[نوع عملیات]="خرید")), "")</f>
        <v>سرای ملی</v>
      </c>
    </row>
    <row r="437" spans="2:17" ht="16.5" hidden="1" x14ac:dyDescent="0.75">
      <c r="B437" s="227">
        <v>4</v>
      </c>
      <c r="C437" s="150">
        <v>2</v>
      </c>
      <c r="D437" s="150">
        <v>15</v>
      </c>
      <c r="E437" s="150" t="str">
        <f t="shared" si="31"/>
        <v>اردیبهشت</v>
      </c>
      <c r="F437" s="151" t="s">
        <v>302</v>
      </c>
      <c r="G437" s="244"/>
      <c r="H437" s="247" t="s">
        <v>539</v>
      </c>
      <c r="I437" s="162"/>
      <c r="J437" s="251"/>
      <c r="K437" s="254"/>
      <c r="L437" s="255">
        <f t="shared" si="32"/>
        <v>0</v>
      </c>
      <c r="M437" s="257">
        <v>2070000</v>
      </c>
      <c r="N437" s="262" t="s">
        <v>299</v>
      </c>
      <c r="O43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37" s="262"/>
      <c r="Q437" s="264" t="str" cm="1">
        <f t="array" ref="Q437">IF(T[[#This Row],[نوع عملیات]]="فروش", _xlfn.XLOOKUP(T[[#This Row],[کالا]], _xlfn._xlws.FILTER(T[کالا], T[نوع عملیات]="خرید"), _xlfn._xlws.FILTER(T[فروشنده / مشتری], T[نوع عملیات]="خرید")), "")</f>
        <v/>
      </c>
    </row>
    <row r="438" spans="2:17" ht="16.5" hidden="1" x14ac:dyDescent="0.75">
      <c r="B438" s="227">
        <v>4</v>
      </c>
      <c r="C438" s="150">
        <v>2</v>
      </c>
      <c r="D438" s="150">
        <v>16</v>
      </c>
      <c r="E438" s="150" t="str">
        <f t="shared" si="31"/>
        <v>اردیبهشت</v>
      </c>
      <c r="F438" s="151" t="s">
        <v>168</v>
      </c>
      <c r="G438" s="244" t="s">
        <v>479</v>
      </c>
      <c r="H438" s="247" t="s">
        <v>436</v>
      </c>
      <c r="I438" s="162" t="s">
        <v>579</v>
      </c>
      <c r="J438" s="251">
        <v>2</v>
      </c>
      <c r="K438" s="254">
        <v>110000</v>
      </c>
      <c r="L438" s="255">
        <f t="shared" si="32"/>
        <v>220000</v>
      </c>
      <c r="M438" s="257">
        <v>110000</v>
      </c>
      <c r="N438" s="262" t="s">
        <v>346</v>
      </c>
      <c r="O43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38" s="262"/>
      <c r="Q438" s="264" t="str" cm="1">
        <f t="array" ref="Q438">IF(T[[#This Row],[نوع عملیات]]="فروش", _xlfn.XLOOKUP(T[[#This Row],[کالا]], _xlfn._xlws.FILTER(T[کالا], T[نوع عملیات]="خرید"), _xlfn._xlws.FILTER(T[فروشنده / مشتری], T[نوع عملیات]="خرید")), "")</f>
        <v/>
      </c>
    </row>
    <row r="439" spans="2:17" ht="16.5" hidden="1" x14ac:dyDescent="0.75">
      <c r="B439" s="227">
        <v>4</v>
      </c>
      <c r="C439" s="150">
        <v>2</v>
      </c>
      <c r="D439" s="150">
        <v>16</v>
      </c>
      <c r="E439" s="150" t="str">
        <f t="shared" si="31"/>
        <v>اردیبهشت</v>
      </c>
      <c r="F439" s="151" t="s">
        <v>168</v>
      </c>
      <c r="G439" s="244" t="s">
        <v>504</v>
      </c>
      <c r="H439" s="247" t="s">
        <v>436</v>
      </c>
      <c r="I439" s="162" t="s">
        <v>579</v>
      </c>
      <c r="J439" s="251">
        <v>1</v>
      </c>
      <c r="K439" s="254">
        <v>420000</v>
      </c>
      <c r="L439" s="255">
        <f t="shared" si="32"/>
        <v>420000</v>
      </c>
      <c r="M439" s="257">
        <v>420000</v>
      </c>
      <c r="N439" s="262" t="s">
        <v>346</v>
      </c>
      <c r="O43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39" s="262"/>
      <c r="Q439" s="264" t="str" cm="1">
        <f t="array" ref="Q439">IF(T[[#This Row],[نوع عملیات]]="فروش", _xlfn.XLOOKUP(T[[#This Row],[کالا]], _xlfn._xlws.FILTER(T[کالا], T[نوع عملیات]="خرید"), _xlfn._xlws.FILTER(T[فروشنده / مشتری], T[نوع عملیات]="خرید")), "")</f>
        <v/>
      </c>
    </row>
    <row r="440" spans="2:17" ht="16.5" hidden="1" x14ac:dyDescent="0.75">
      <c r="B440" s="227">
        <v>4</v>
      </c>
      <c r="C440" s="150">
        <v>2</v>
      </c>
      <c r="D440" s="150">
        <v>16</v>
      </c>
      <c r="E440" s="150" t="str">
        <f t="shared" si="31"/>
        <v>اردیبهشت</v>
      </c>
      <c r="F440" s="151" t="s">
        <v>302</v>
      </c>
      <c r="G440" s="244"/>
      <c r="H440" s="247" t="s">
        <v>350</v>
      </c>
      <c r="I440" s="162"/>
      <c r="J440" s="251"/>
      <c r="K440" s="254"/>
      <c r="L440" s="255">
        <f t="shared" si="32"/>
        <v>0</v>
      </c>
      <c r="M440" s="257">
        <v>1950000</v>
      </c>
      <c r="N440" s="262" t="s">
        <v>346</v>
      </c>
      <c r="O4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40" s="262"/>
      <c r="Q440" s="264" t="str" cm="1">
        <f t="array" ref="Q440">IF(T[[#This Row],[نوع عملیات]]="فروش", _xlfn.XLOOKUP(T[[#This Row],[کالا]], _xlfn._xlws.FILTER(T[کالا], T[نوع عملیات]="خرید"), _xlfn._xlws.FILTER(T[فروشنده / مشتری], T[نوع عملیات]="خرید")), "")</f>
        <v/>
      </c>
    </row>
    <row r="441" spans="2:17" ht="16.5" hidden="1" x14ac:dyDescent="0.75">
      <c r="B441" s="227">
        <v>4</v>
      </c>
      <c r="C441" s="150">
        <v>2</v>
      </c>
      <c r="D441" s="150">
        <v>16</v>
      </c>
      <c r="E441" s="150" t="str">
        <f t="shared" ref="E441:E472" si="33">CHOOSE(C441, "فروردین", "اردیبهشت", "خرداد", "تیر", "مرداد", "شهریور", "مهر", "آبان", "آذر", "دی", "بهمن", "اسفند")</f>
        <v>اردیبهشت</v>
      </c>
      <c r="F441" s="151" t="s">
        <v>167</v>
      </c>
      <c r="G441" s="244" t="s">
        <v>464</v>
      </c>
      <c r="H441" s="247" t="s">
        <v>416</v>
      </c>
      <c r="I441" s="162"/>
      <c r="J441" s="251">
        <v>1</v>
      </c>
      <c r="K441" s="254">
        <v>2200000</v>
      </c>
      <c r="L441" s="255">
        <f t="shared" si="32"/>
        <v>2200000</v>
      </c>
      <c r="M441" s="257"/>
      <c r="N441" s="262"/>
      <c r="O44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1205000</v>
      </c>
      <c r="P441" s="262"/>
      <c r="Q441" s="264" t="str" cm="1">
        <f t="array" ref="Q441">IF(T[[#This Row],[نوع عملیات]]="فروش", _xlfn.XLOOKUP(T[[#This Row],[کالا]], _xlfn._xlws.FILTER(T[کالا], T[نوع عملیات]="خرید"), _xlfn._xlws.FILTER(T[فروشنده / مشتری], T[نوع عملیات]="خرید")), "")</f>
        <v>سرای ملی</v>
      </c>
    </row>
    <row r="442" spans="2:17" ht="16.5" hidden="1" x14ac:dyDescent="0.75">
      <c r="B442" s="227">
        <v>4</v>
      </c>
      <c r="C442" s="150">
        <v>2</v>
      </c>
      <c r="D442" s="150">
        <v>16</v>
      </c>
      <c r="E442" s="150" t="str">
        <f t="shared" si="33"/>
        <v>اردیبهشت</v>
      </c>
      <c r="F442" s="151" t="s">
        <v>167</v>
      </c>
      <c r="G442" s="244" t="s">
        <v>274</v>
      </c>
      <c r="H442" s="247" t="s">
        <v>416</v>
      </c>
      <c r="I442" s="162"/>
      <c r="J442" s="251">
        <v>1</v>
      </c>
      <c r="K442" s="254">
        <v>200000</v>
      </c>
      <c r="L442" s="255">
        <f t="shared" si="32"/>
        <v>200000</v>
      </c>
      <c r="M442" s="257"/>
      <c r="N442" s="262"/>
      <c r="O44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145714.28571428571</v>
      </c>
      <c r="P442" s="262"/>
      <c r="Q442" s="264" t="str" cm="1">
        <f t="array" ref="Q442">IF(T[[#This Row],[نوع عملیات]]="فروش", _xlfn.XLOOKUP(T[[#This Row],[کالا]], _xlfn._xlws.FILTER(T[کالا], T[نوع عملیات]="خرید"), _xlfn._xlws.FILTER(T[فروشنده / مشتری], T[نوع عملیات]="خرید")), "")</f>
        <v>بازار</v>
      </c>
    </row>
    <row r="443" spans="2:17" ht="16.5" hidden="1" x14ac:dyDescent="0.75">
      <c r="B443" s="227">
        <v>4</v>
      </c>
      <c r="C443" s="150">
        <v>2</v>
      </c>
      <c r="D443" s="150">
        <v>16</v>
      </c>
      <c r="E443" s="150" t="str">
        <f t="shared" si="33"/>
        <v>اردیبهشت</v>
      </c>
      <c r="F443" s="151" t="s">
        <v>167</v>
      </c>
      <c r="G443" s="244" t="s">
        <v>462</v>
      </c>
      <c r="H443" s="247" t="s">
        <v>478</v>
      </c>
      <c r="I443" s="162"/>
      <c r="J443" s="251">
        <v>1</v>
      </c>
      <c r="K443" s="254">
        <v>1700000</v>
      </c>
      <c r="L443" s="255">
        <f t="shared" si="32"/>
        <v>1700000</v>
      </c>
      <c r="M443" s="257"/>
      <c r="N443" s="262"/>
      <c r="O44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830000</v>
      </c>
      <c r="P443" s="262"/>
      <c r="Q443" s="264" t="str" cm="1">
        <f t="array" ref="Q443">IF(T[[#This Row],[نوع عملیات]]="فروش", _xlfn.XLOOKUP(T[[#This Row],[کالا]], _xlfn._xlws.FILTER(T[کالا], T[نوع عملیات]="خرید"), _xlfn._xlws.FILTER(T[فروشنده / مشتری], T[نوع عملیات]="خرید")), "")</f>
        <v>سرای ملی</v>
      </c>
    </row>
    <row r="444" spans="2:17" ht="16.5" hidden="1" x14ac:dyDescent="0.75">
      <c r="B444" s="227">
        <v>4</v>
      </c>
      <c r="C444" s="150">
        <v>2</v>
      </c>
      <c r="D444" s="150">
        <v>16</v>
      </c>
      <c r="E444" s="150" t="str">
        <f t="shared" si="33"/>
        <v>اردیبهشت</v>
      </c>
      <c r="F444" s="151" t="s">
        <v>167</v>
      </c>
      <c r="G444" s="244" t="s">
        <v>370</v>
      </c>
      <c r="H444" s="247" t="s">
        <v>211</v>
      </c>
      <c r="I444" s="162"/>
      <c r="J444" s="251">
        <v>1</v>
      </c>
      <c r="K444" s="254">
        <v>450000</v>
      </c>
      <c r="L444" s="255">
        <f t="shared" si="32"/>
        <v>450000</v>
      </c>
      <c r="M444" s="257">
        <v>450000</v>
      </c>
      <c r="N444" s="262" t="s">
        <v>346</v>
      </c>
      <c r="O44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232000</v>
      </c>
      <c r="P444" s="262"/>
      <c r="Q444" s="264" t="str" cm="1">
        <f t="array" ref="Q444">IF(T[[#This Row],[نوع عملیات]]="فروش", _xlfn.XLOOKUP(T[[#This Row],[کالا]], _xlfn._xlws.FILTER(T[کالا], T[نوع عملیات]="خرید"), _xlfn._xlws.FILTER(T[فروشنده / مشتری], T[نوع عملیات]="خرید")), "")</f>
        <v>بازار</v>
      </c>
    </row>
    <row r="445" spans="2:17" ht="16.5" hidden="1" x14ac:dyDescent="0.75">
      <c r="B445" s="227">
        <v>4</v>
      </c>
      <c r="C445" s="150">
        <v>2</v>
      </c>
      <c r="D445" s="150">
        <v>16</v>
      </c>
      <c r="E445" s="150" t="str">
        <f t="shared" si="33"/>
        <v>اردیبهشت</v>
      </c>
      <c r="F445" s="151" t="s">
        <v>167</v>
      </c>
      <c r="G445" s="244" t="s">
        <v>479</v>
      </c>
      <c r="H445" s="247" t="s">
        <v>211</v>
      </c>
      <c r="I445" s="162"/>
      <c r="J445" s="251">
        <v>1</v>
      </c>
      <c r="K445" s="254">
        <v>165000</v>
      </c>
      <c r="L445" s="255">
        <f t="shared" si="32"/>
        <v>165000</v>
      </c>
      <c r="M445" s="257">
        <v>165000</v>
      </c>
      <c r="N445" s="262" t="s">
        <v>346</v>
      </c>
      <c r="O44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55000</v>
      </c>
      <c r="P445" s="262"/>
      <c r="Q445" s="264" t="str" cm="1">
        <f t="array" ref="Q445">IF(T[[#This Row],[نوع عملیات]]="فروش", _xlfn.XLOOKUP(T[[#This Row],[کالا]], _xlfn._xlws.FILTER(T[کالا], T[نوع عملیات]="خرید"), _xlfn._xlws.FILTER(T[فروشنده / مشتری], T[نوع عملیات]="خرید")), "")</f>
        <v>مهسا - سالن</v>
      </c>
    </row>
    <row r="446" spans="2:17" ht="16.5" hidden="1" x14ac:dyDescent="0.75">
      <c r="B446" s="227">
        <v>4</v>
      </c>
      <c r="C446" s="150">
        <v>2</v>
      </c>
      <c r="D446" s="150">
        <v>16</v>
      </c>
      <c r="E446" s="150" t="str">
        <f t="shared" si="33"/>
        <v>اردیبهشت</v>
      </c>
      <c r="F446" s="151" t="s">
        <v>325</v>
      </c>
      <c r="G446" s="244" t="s">
        <v>337</v>
      </c>
      <c r="H446" s="247" t="s">
        <v>451</v>
      </c>
      <c r="I446" s="162"/>
      <c r="J446" s="251">
        <v>1</v>
      </c>
      <c r="K446" s="254">
        <v>0</v>
      </c>
      <c r="L446" s="255">
        <f t="shared" si="32"/>
        <v>0</v>
      </c>
      <c r="M446" s="257"/>
      <c r="N446" s="262"/>
      <c r="O44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-1700000</v>
      </c>
      <c r="P446" s="262"/>
      <c r="Q446" s="264" t="str" cm="1">
        <f t="array" ref="Q446">IF(T[[#This Row],[نوع عملیات]]="فروش", _xlfn.XLOOKUP(T[[#This Row],[کالا]], _xlfn._xlws.FILTER(T[کالا], T[نوع عملیات]="خرید"), _xlfn._xlws.FILTER(T[فروشنده / مشتری], T[نوع عملیات]="خرید")), "")</f>
        <v/>
      </c>
    </row>
    <row r="447" spans="2:17" ht="16.5" hidden="1" x14ac:dyDescent="0.75">
      <c r="B447" s="227">
        <v>4</v>
      </c>
      <c r="C447" s="150">
        <v>2</v>
      </c>
      <c r="D447" s="150">
        <v>16</v>
      </c>
      <c r="E447" s="150" t="str">
        <f t="shared" si="33"/>
        <v>اردیبهشت</v>
      </c>
      <c r="F447" s="151" t="s">
        <v>167</v>
      </c>
      <c r="G447" s="244" t="s">
        <v>471</v>
      </c>
      <c r="H447" s="247" t="s">
        <v>130</v>
      </c>
      <c r="I447" s="162"/>
      <c r="J447" s="251">
        <v>1</v>
      </c>
      <c r="K447" s="254">
        <v>1300000</v>
      </c>
      <c r="L447" s="255">
        <f t="shared" si="32"/>
        <v>1300000</v>
      </c>
      <c r="M447" s="257"/>
      <c r="N447" s="262"/>
      <c r="O44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560000</v>
      </c>
      <c r="P447" s="262"/>
      <c r="Q447" s="264" t="str" cm="1">
        <f t="array" ref="Q447">IF(T[[#This Row],[نوع عملیات]]="فروش", _xlfn.XLOOKUP(T[[#This Row],[کالا]], _xlfn._xlws.FILTER(T[کالا], T[نوع عملیات]="خرید"), _xlfn._xlws.FILTER(T[فروشنده / مشتری], T[نوع عملیات]="خرید")), "")</f>
        <v>سرای ملی</v>
      </c>
    </row>
    <row r="448" spans="2:17" ht="16.5" hidden="1" x14ac:dyDescent="0.75">
      <c r="B448" s="227">
        <v>4</v>
      </c>
      <c r="C448" s="150">
        <v>2</v>
      </c>
      <c r="D448" s="150">
        <v>16</v>
      </c>
      <c r="E448" s="150" t="str">
        <f t="shared" si="33"/>
        <v>اردیبهشت</v>
      </c>
      <c r="F448" s="151" t="s">
        <v>167</v>
      </c>
      <c r="G448" s="244" t="s">
        <v>456</v>
      </c>
      <c r="H448" s="247" t="s">
        <v>130</v>
      </c>
      <c r="I448" s="162"/>
      <c r="J448" s="251">
        <v>1</v>
      </c>
      <c r="K448" s="254">
        <v>1000000</v>
      </c>
      <c r="L448" s="255">
        <f t="shared" si="32"/>
        <v>1000000</v>
      </c>
      <c r="M448" s="257">
        <v>2300000</v>
      </c>
      <c r="N448" s="262" t="s">
        <v>299</v>
      </c>
      <c r="O4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550000</v>
      </c>
      <c r="P448" s="262"/>
      <c r="Q448" s="264" t="str" cm="1">
        <f t="array" ref="Q448">IF(T[[#This Row],[نوع عملیات]]="فروش", _xlfn.XLOOKUP(T[[#This Row],[کالا]], _xlfn._xlws.FILTER(T[کالا], T[نوع عملیات]="خرید"), _xlfn._xlws.FILTER(T[فروشنده / مشتری], T[نوع عملیات]="خرید")), "")</f>
        <v>سرای ملی</v>
      </c>
    </row>
    <row r="449" spans="2:17" ht="16.5" hidden="1" x14ac:dyDescent="0.75">
      <c r="B449" s="227">
        <v>4</v>
      </c>
      <c r="C449" s="150">
        <v>2</v>
      </c>
      <c r="D449" s="150">
        <v>16</v>
      </c>
      <c r="E449" s="150" t="str">
        <f t="shared" si="33"/>
        <v>اردیبهشت</v>
      </c>
      <c r="F449" s="151" t="s">
        <v>302</v>
      </c>
      <c r="G449" s="244"/>
      <c r="H449" s="247" t="s">
        <v>416</v>
      </c>
      <c r="I449" s="162"/>
      <c r="J449" s="251"/>
      <c r="K449" s="254"/>
      <c r="L449" s="255">
        <f t="shared" ref="L449:L466" si="34">J449*K449</f>
        <v>0</v>
      </c>
      <c r="M449" s="257">
        <v>2700000</v>
      </c>
      <c r="N449" s="262" t="s">
        <v>299</v>
      </c>
      <c r="O4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49" s="262"/>
      <c r="Q449" s="264" t="str" cm="1">
        <f t="array" ref="Q449">IF(T[[#This Row],[نوع عملیات]]="فروش", _xlfn.XLOOKUP(T[[#This Row],[کالا]], _xlfn._xlws.FILTER(T[کالا], T[نوع عملیات]="خرید"), _xlfn._xlws.FILTER(T[فروشنده / مشتری], T[نوع عملیات]="خرید")), "")</f>
        <v/>
      </c>
    </row>
    <row r="450" spans="2:17" ht="16.5" hidden="1" x14ac:dyDescent="0.75">
      <c r="B450" s="227">
        <v>4</v>
      </c>
      <c r="C450" s="150">
        <v>2</v>
      </c>
      <c r="D450" s="150">
        <v>17</v>
      </c>
      <c r="E450" s="150" t="str">
        <f t="shared" si="33"/>
        <v>اردیبهشت</v>
      </c>
      <c r="F450" s="151" t="s">
        <v>167</v>
      </c>
      <c r="G450" s="244" t="s">
        <v>462</v>
      </c>
      <c r="H450" s="247" t="s">
        <v>129</v>
      </c>
      <c r="I450" s="162"/>
      <c r="J450" s="251">
        <v>1</v>
      </c>
      <c r="K450" s="254">
        <v>0</v>
      </c>
      <c r="L450" s="255">
        <f t="shared" si="34"/>
        <v>0</v>
      </c>
      <c r="M450" s="257"/>
      <c r="N450" s="262"/>
      <c r="O45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-870000</v>
      </c>
      <c r="P450" s="262"/>
      <c r="Q450" s="264" t="str" cm="1">
        <f t="array" ref="Q450">IF(T[[#This Row],[نوع عملیات]]="فروش", _xlfn.XLOOKUP(T[[#This Row],[کالا]], _xlfn._xlws.FILTER(T[کالا], T[نوع عملیات]="خرید"), _xlfn._xlws.FILTER(T[فروشنده / مشتری], T[نوع عملیات]="خرید")), "")</f>
        <v>سرای ملی</v>
      </c>
    </row>
    <row r="451" spans="2:17" ht="16.5" hidden="1" x14ac:dyDescent="0.75">
      <c r="B451" s="227">
        <v>4</v>
      </c>
      <c r="C451" s="150">
        <v>2</v>
      </c>
      <c r="D451" s="150">
        <v>17</v>
      </c>
      <c r="E451" s="150" t="str">
        <f t="shared" si="33"/>
        <v>اردیبهشت</v>
      </c>
      <c r="F451" s="151" t="s">
        <v>167</v>
      </c>
      <c r="G451" s="244" t="s">
        <v>471</v>
      </c>
      <c r="H451" s="247" t="s">
        <v>129</v>
      </c>
      <c r="I451" s="162"/>
      <c r="J451" s="251">
        <v>1</v>
      </c>
      <c r="K451" s="254">
        <v>1300000</v>
      </c>
      <c r="L451" s="255">
        <f t="shared" si="34"/>
        <v>1300000</v>
      </c>
      <c r="M451" s="257"/>
      <c r="N451" s="262"/>
      <c r="O4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560000</v>
      </c>
      <c r="P451" s="262"/>
      <c r="Q451" s="264" t="str" cm="1">
        <f t="array" ref="Q451">IF(T[[#This Row],[نوع عملیات]]="فروش", _xlfn.XLOOKUP(T[[#This Row],[کالا]], _xlfn._xlws.FILTER(T[کالا], T[نوع عملیات]="خرید"), _xlfn._xlws.FILTER(T[فروشنده / مشتری], T[نوع عملیات]="خرید")), "")</f>
        <v>سرای ملی</v>
      </c>
    </row>
    <row r="452" spans="2:17" ht="16.5" hidden="1" x14ac:dyDescent="0.75">
      <c r="B452" s="227">
        <v>4</v>
      </c>
      <c r="C452" s="150">
        <v>2</v>
      </c>
      <c r="D452" s="150">
        <v>17</v>
      </c>
      <c r="E452" s="150" t="str">
        <f t="shared" si="33"/>
        <v>اردیبهشت</v>
      </c>
      <c r="F452" s="151" t="s">
        <v>167</v>
      </c>
      <c r="G452" s="244" t="s">
        <v>472</v>
      </c>
      <c r="H452" s="247" t="s">
        <v>129</v>
      </c>
      <c r="I452" s="162"/>
      <c r="J452" s="251">
        <v>1</v>
      </c>
      <c r="K452" s="254">
        <v>1300000</v>
      </c>
      <c r="L452" s="255">
        <f t="shared" si="34"/>
        <v>1300000</v>
      </c>
      <c r="M452" s="257"/>
      <c r="N452" s="262"/>
      <c r="O4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560000</v>
      </c>
      <c r="P452" s="262"/>
      <c r="Q452" s="264" t="str" cm="1">
        <f t="array" ref="Q452">IF(T[[#This Row],[نوع عملیات]]="فروش", _xlfn.XLOOKUP(T[[#This Row],[کالا]], _xlfn._xlws.FILTER(T[کالا], T[نوع عملیات]="خرید"), _xlfn._xlws.FILTER(T[فروشنده / مشتری], T[نوع عملیات]="خرید")), "")</f>
        <v>سرای ملی</v>
      </c>
    </row>
    <row r="453" spans="2:17" ht="16.5" hidden="1" x14ac:dyDescent="0.75">
      <c r="B453" s="227">
        <v>4</v>
      </c>
      <c r="C453" s="150">
        <v>2</v>
      </c>
      <c r="D453" s="150">
        <v>17</v>
      </c>
      <c r="E453" s="150" t="str">
        <f t="shared" si="33"/>
        <v>اردیبهشت</v>
      </c>
      <c r="F453" s="151" t="s">
        <v>167</v>
      </c>
      <c r="G453" s="244" t="s">
        <v>460</v>
      </c>
      <c r="H453" s="247" t="s">
        <v>129</v>
      </c>
      <c r="I453" s="162"/>
      <c r="J453" s="251">
        <v>1</v>
      </c>
      <c r="K453" s="254">
        <v>700000</v>
      </c>
      <c r="L453" s="255">
        <f t="shared" si="34"/>
        <v>700000</v>
      </c>
      <c r="M453" s="257"/>
      <c r="N453" s="262"/>
      <c r="O45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262000</v>
      </c>
      <c r="P453" s="262"/>
      <c r="Q453" s="264" t="str" cm="1">
        <f t="array" ref="Q453">IF(T[[#This Row],[نوع عملیات]]="فروش", _xlfn.XLOOKUP(T[[#This Row],[کالا]], _xlfn._xlws.FILTER(T[کالا], T[نوع عملیات]="خرید"), _xlfn._xlws.FILTER(T[فروشنده / مشتری], T[نوع عملیات]="خرید")), "")</f>
        <v>سرای ملی</v>
      </c>
    </row>
    <row r="454" spans="2:17" ht="16.5" hidden="1" x14ac:dyDescent="0.75">
      <c r="B454" s="227">
        <v>4</v>
      </c>
      <c r="C454" s="150">
        <v>2</v>
      </c>
      <c r="D454" s="150">
        <v>17</v>
      </c>
      <c r="E454" s="150" t="str">
        <f t="shared" si="33"/>
        <v>اردیبهشت</v>
      </c>
      <c r="F454" s="151" t="s">
        <v>167</v>
      </c>
      <c r="G454" s="244" t="s">
        <v>468</v>
      </c>
      <c r="H454" s="247" t="s">
        <v>211</v>
      </c>
      <c r="I454" s="162"/>
      <c r="J454" s="251">
        <v>1</v>
      </c>
      <c r="K454" s="254">
        <v>350000</v>
      </c>
      <c r="L454" s="255">
        <f t="shared" si="34"/>
        <v>350000</v>
      </c>
      <c r="M454" s="257">
        <v>350000</v>
      </c>
      <c r="N454" s="262" t="s">
        <v>299</v>
      </c>
      <c r="O45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454" s="262"/>
      <c r="Q454" s="264" t="str" cm="1">
        <f t="array" ref="Q454">IF(T[[#This Row],[نوع عملیات]]="فروش", _xlfn.XLOOKUP(T[[#This Row],[کالا]], _xlfn._xlws.FILTER(T[کالا], T[نوع عملیات]="خرید"), _xlfn._xlws.FILTER(T[فروشنده / مشتری], T[نوع عملیات]="خرید")), "")</f>
        <v>سرای ملی</v>
      </c>
    </row>
    <row r="455" spans="2:17" ht="16.5" hidden="1" x14ac:dyDescent="0.75">
      <c r="B455" s="227">
        <v>4</v>
      </c>
      <c r="C455" s="150">
        <v>2</v>
      </c>
      <c r="D455" s="150">
        <v>17</v>
      </c>
      <c r="E455" s="150" t="str">
        <f t="shared" si="33"/>
        <v>اردیبهشت</v>
      </c>
      <c r="F455" s="151" t="s">
        <v>302</v>
      </c>
      <c r="G455" s="244"/>
      <c r="H455" s="247" t="s">
        <v>478</v>
      </c>
      <c r="I455" s="162"/>
      <c r="J455" s="251"/>
      <c r="K455" s="254"/>
      <c r="L455" s="255">
        <f t="shared" si="34"/>
        <v>0</v>
      </c>
      <c r="M455" s="257">
        <v>1000000</v>
      </c>
      <c r="N455" s="262" t="s">
        <v>299</v>
      </c>
      <c r="O45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55" s="262"/>
      <c r="Q455" s="264" t="str" cm="1">
        <f t="array" ref="Q455">IF(T[[#This Row],[نوع عملیات]]="فروش", _xlfn.XLOOKUP(T[[#This Row],[کالا]], _xlfn._xlws.FILTER(T[کالا], T[نوع عملیات]="خرید"), _xlfn._xlws.FILTER(T[فروشنده / مشتری], T[نوع عملیات]="خرید")), "")</f>
        <v/>
      </c>
    </row>
    <row r="456" spans="2:17" ht="16.5" hidden="1" x14ac:dyDescent="0.75">
      <c r="B456" s="227">
        <v>4</v>
      </c>
      <c r="C456" s="150">
        <v>2</v>
      </c>
      <c r="D456" s="150">
        <v>18</v>
      </c>
      <c r="E456" s="150" t="str">
        <f t="shared" si="33"/>
        <v>اردیبهشت</v>
      </c>
      <c r="F456" s="151" t="s">
        <v>167</v>
      </c>
      <c r="G456" s="244" t="s">
        <v>468</v>
      </c>
      <c r="H456" s="247" t="s">
        <v>430</v>
      </c>
      <c r="I456" s="162"/>
      <c r="J456" s="251">
        <v>2</v>
      </c>
      <c r="K456" s="254">
        <v>350000</v>
      </c>
      <c r="L456" s="255">
        <f t="shared" si="34"/>
        <v>700000</v>
      </c>
      <c r="M456" s="257">
        <v>1000000</v>
      </c>
      <c r="N456" s="262" t="s">
        <v>298</v>
      </c>
      <c r="O45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404000</v>
      </c>
      <c r="P456" s="262"/>
      <c r="Q456" s="264" t="str" cm="1">
        <f t="array" ref="Q456">IF(T[[#This Row],[نوع عملیات]]="فروش", _xlfn.XLOOKUP(T[[#This Row],[کالا]], _xlfn._xlws.FILTER(T[کالا], T[نوع عملیات]="خرید"), _xlfn._xlws.FILTER(T[فروشنده / مشتری], T[نوع عملیات]="خرید")), "")</f>
        <v>سرای ملی</v>
      </c>
    </row>
    <row r="457" spans="2:17" ht="16.5" hidden="1" x14ac:dyDescent="0.75">
      <c r="B457" s="227">
        <v>4</v>
      </c>
      <c r="C457" s="150">
        <v>2</v>
      </c>
      <c r="D457" s="150">
        <v>18</v>
      </c>
      <c r="E457" s="150" t="str">
        <f t="shared" si="33"/>
        <v>اردیبهشت</v>
      </c>
      <c r="F457" s="151" t="s">
        <v>167</v>
      </c>
      <c r="G457" s="244" t="s">
        <v>468</v>
      </c>
      <c r="H457" s="247" t="s">
        <v>480</v>
      </c>
      <c r="I457" s="162"/>
      <c r="J457" s="251">
        <v>2</v>
      </c>
      <c r="K457" s="254">
        <v>350000</v>
      </c>
      <c r="L457" s="255">
        <f t="shared" si="34"/>
        <v>700000</v>
      </c>
      <c r="M457" s="257"/>
      <c r="N457" s="262"/>
      <c r="O45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404000</v>
      </c>
      <c r="P457" s="262"/>
      <c r="Q457" s="264" t="str" cm="1">
        <f t="array" ref="Q457">IF(T[[#This Row],[نوع عملیات]]="فروش", _xlfn.XLOOKUP(T[[#This Row],[کالا]], _xlfn._xlws.FILTER(T[کالا], T[نوع عملیات]="خرید"), _xlfn._xlws.FILTER(T[فروشنده / مشتری], T[نوع عملیات]="خرید")), "")</f>
        <v>سرای ملی</v>
      </c>
    </row>
    <row r="458" spans="2:17" ht="16.5" hidden="1" x14ac:dyDescent="0.75">
      <c r="B458" s="227">
        <v>4</v>
      </c>
      <c r="C458" s="150">
        <v>2</v>
      </c>
      <c r="D458" s="150">
        <v>18</v>
      </c>
      <c r="E458" s="150" t="str">
        <f t="shared" si="33"/>
        <v>اردیبهشت</v>
      </c>
      <c r="F458" s="151" t="s">
        <v>167</v>
      </c>
      <c r="G458" s="244" t="s">
        <v>277</v>
      </c>
      <c r="H458" s="247" t="s">
        <v>436</v>
      </c>
      <c r="I458" s="162"/>
      <c r="J458" s="251">
        <v>1</v>
      </c>
      <c r="K458" s="254">
        <v>300000</v>
      </c>
      <c r="L458" s="255">
        <f t="shared" si="34"/>
        <v>300000</v>
      </c>
      <c r="M458" s="257">
        <v>300000</v>
      </c>
      <c r="N458" s="262" t="s">
        <v>298</v>
      </c>
      <c r="O45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458" s="262"/>
      <c r="Q458" s="264" t="str" cm="1">
        <f t="array" ref="Q458">IF(T[[#This Row],[نوع عملیات]]="فروش", _xlfn.XLOOKUP(T[[#This Row],[کالا]], _xlfn._xlws.FILTER(T[کالا], T[نوع عملیات]="خرید"), _xlfn._xlws.FILTER(T[فروشنده / مشتری], T[نوع عملیات]="خرید")), "")</f>
        <v>وان ترکیه</v>
      </c>
    </row>
    <row r="459" spans="2:17" ht="16.5" hidden="1" x14ac:dyDescent="0.75">
      <c r="B459" s="227">
        <v>4</v>
      </c>
      <c r="C459" s="150">
        <v>2</v>
      </c>
      <c r="D459" s="150">
        <v>18</v>
      </c>
      <c r="E459" s="150" t="str">
        <f t="shared" si="33"/>
        <v>اردیبهشت</v>
      </c>
      <c r="F459" s="151" t="s">
        <v>302</v>
      </c>
      <c r="G459" s="244"/>
      <c r="H459" s="247" t="s">
        <v>435</v>
      </c>
      <c r="I459" s="162"/>
      <c r="J459" s="251"/>
      <c r="K459" s="254"/>
      <c r="L459" s="255">
        <f t="shared" si="34"/>
        <v>0</v>
      </c>
      <c r="M459" s="257">
        <v>2300000</v>
      </c>
      <c r="N459" s="262" t="s">
        <v>346</v>
      </c>
      <c r="O45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59" s="262"/>
      <c r="Q459" s="264" t="str" cm="1">
        <f t="array" ref="Q459">IF(T[[#This Row],[نوع عملیات]]="فروش", _xlfn.XLOOKUP(T[[#This Row],[کالا]], _xlfn._xlws.FILTER(T[کالا], T[نوع عملیات]="خرید"), _xlfn._xlws.FILTER(T[فروشنده / مشتری], T[نوع عملیات]="خرید")), "")</f>
        <v/>
      </c>
    </row>
    <row r="460" spans="2:17" ht="16.5" hidden="1" x14ac:dyDescent="0.75">
      <c r="B460" s="227">
        <v>4</v>
      </c>
      <c r="C460" s="150">
        <v>2</v>
      </c>
      <c r="D460" s="150">
        <v>18</v>
      </c>
      <c r="E460" s="150" t="str">
        <f t="shared" si="33"/>
        <v>اردیبهشت</v>
      </c>
      <c r="F460" s="151" t="s">
        <v>302</v>
      </c>
      <c r="G460" s="244"/>
      <c r="H460" s="247" t="s">
        <v>423</v>
      </c>
      <c r="I460" s="162"/>
      <c r="J460" s="251"/>
      <c r="K460" s="254"/>
      <c r="L460" s="255">
        <f t="shared" si="34"/>
        <v>0</v>
      </c>
      <c r="M460" s="257">
        <v>1500000</v>
      </c>
      <c r="N460" s="262" t="s">
        <v>298</v>
      </c>
      <c r="O46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0" s="262"/>
      <c r="Q460" s="264" t="str" cm="1">
        <f t="array" ref="Q460">IF(T[[#This Row],[نوع عملیات]]="فروش", _xlfn.XLOOKUP(T[[#This Row],[کالا]], _xlfn._xlws.FILTER(T[کالا], T[نوع عملیات]="خرید"), _xlfn._xlws.FILTER(T[فروشنده / مشتری], T[نوع عملیات]="خرید")), "")</f>
        <v/>
      </c>
    </row>
    <row r="461" spans="2:17" ht="16.5" hidden="1" x14ac:dyDescent="0.75">
      <c r="B461" s="227">
        <v>4</v>
      </c>
      <c r="C461" s="150">
        <v>2</v>
      </c>
      <c r="D461" s="150">
        <v>18</v>
      </c>
      <c r="E461" s="150" t="str">
        <f t="shared" si="33"/>
        <v>اردیبهشت</v>
      </c>
      <c r="F461" s="151" t="s">
        <v>302</v>
      </c>
      <c r="G461" s="244"/>
      <c r="H461" s="247" t="s">
        <v>423</v>
      </c>
      <c r="I461" s="162"/>
      <c r="J461" s="251"/>
      <c r="K461" s="254"/>
      <c r="L461" s="255">
        <f t="shared" si="34"/>
        <v>0</v>
      </c>
      <c r="M461" s="257">
        <v>750000</v>
      </c>
      <c r="N461" s="262" t="s">
        <v>216</v>
      </c>
      <c r="O46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1" s="262"/>
      <c r="Q461" s="264" t="str" cm="1">
        <f t="array" ref="Q461">IF(T[[#This Row],[نوع عملیات]]="فروش", _xlfn.XLOOKUP(T[[#This Row],[کالا]], _xlfn._xlws.FILTER(T[کالا], T[نوع عملیات]="خرید"), _xlfn._xlws.FILTER(T[فروشنده / مشتری], T[نوع عملیات]="خرید")), "")</f>
        <v/>
      </c>
    </row>
    <row r="462" spans="2:17" ht="16.5" hidden="1" x14ac:dyDescent="0.75">
      <c r="B462" s="227">
        <v>4</v>
      </c>
      <c r="C462" s="150">
        <v>2</v>
      </c>
      <c r="D462" s="150">
        <v>18</v>
      </c>
      <c r="E462" s="150" t="str">
        <f t="shared" si="33"/>
        <v>اردیبهشت</v>
      </c>
      <c r="F462" s="151" t="s">
        <v>302</v>
      </c>
      <c r="G462" s="244"/>
      <c r="H462" s="247" t="s">
        <v>281</v>
      </c>
      <c r="I462" s="162"/>
      <c r="J462" s="251"/>
      <c r="K462" s="254"/>
      <c r="L462" s="255">
        <f t="shared" si="34"/>
        <v>0</v>
      </c>
      <c r="M462" s="257">
        <v>1000000</v>
      </c>
      <c r="N462" s="262" t="s">
        <v>346</v>
      </c>
      <c r="O46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2" s="262"/>
      <c r="Q462" s="264" t="str" cm="1">
        <f t="array" ref="Q462">IF(T[[#This Row],[نوع عملیات]]="فروش", _xlfn.XLOOKUP(T[[#This Row],[کالا]], _xlfn._xlws.FILTER(T[کالا], T[نوع عملیات]="خرید"), _xlfn._xlws.FILTER(T[فروشنده / مشتری], T[نوع عملیات]="خرید")), "")</f>
        <v/>
      </c>
    </row>
    <row r="463" spans="2:17" ht="16.5" x14ac:dyDescent="0.75">
      <c r="B463" s="227">
        <v>4</v>
      </c>
      <c r="C463" s="150">
        <v>2</v>
      </c>
      <c r="D463" s="150">
        <v>19</v>
      </c>
      <c r="E463" s="150" t="str">
        <f t="shared" si="33"/>
        <v>اردیبهشت</v>
      </c>
      <c r="F463" s="151" t="s">
        <v>168</v>
      </c>
      <c r="G463" s="244" t="s">
        <v>484</v>
      </c>
      <c r="H463" s="247" t="s">
        <v>390</v>
      </c>
      <c r="I463" s="162" t="s">
        <v>490</v>
      </c>
      <c r="J463" s="251">
        <v>6</v>
      </c>
      <c r="K463" s="254">
        <v>1000000</v>
      </c>
      <c r="L463" s="255">
        <f t="shared" si="34"/>
        <v>6000000</v>
      </c>
      <c r="M463" s="257"/>
      <c r="N463" s="262" t="s">
        <v>346</v>
      </c>
      <c r="O46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3" s="262"/>
      <c r="Q463" s="264" t="str" cm="1">
        <f t="array" ref="Q463">IF(T[[#This Row],[نوع عملیات]]="فروش", _xlfn.XLOOKUP(T[[#This Row],[کالا]], _xlfn._xlws.FILTER(T[کالا], T[نوع عملیات]="خرید"), _xlfn._xlws.FILTER(T[فروشنده / مشتری], T[نوع عملیات]="خرید")), "")</f>
        <v/>
      </c>
    </row>
    <row r="464" spans="2:17" ht="16.5" x14ac:dyDescent="0.75">
      <c r="B464" s="227">
        <v>4</v>
      </c>
      <c r="C464" s="150">
        <v>2</v>
      </c>
      <c r="D464" s="150">
        <v>19</v>
      </c>
      <c r="E464" s="150" t="str">
        <f t="shared" si="33"/>
        <v>اردیبهشت</v>
      </c>
      <c r="F464" s="151" t="s">
        <v>168</v>
      </c>
      <c r="G464" s="244" t="s">
        <v>503</v>
      </c>
      <c r="H464" s="247" t="s">
        <v>390</v>
      </c>
      <c r="I464" s="162" t="s">
        <v>490</v>
      </c>
      <c r="J464" s="251">
        <v>5</v>
      </c>
      <c r="K464" s="254">
        <v>480000</v>
      </c>
      <c r="L464" s="255">
        <f t="shared" si="34"/>
        <v>2400000</v>
      </c>
      <c r="M464" s="257"/>
      <c r="N464" s="262" t="s">
        <v>346</v>
      </c>
      <c r="O46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4" s="262"/>
      <c r="Q464" s="264" t="str" cm="1">
        <f t="array" ref="Q464">IF(T[[#This Row],[نوع عملیات]]="فروش", _xlfn.XLOOKUP(T[[#This Row],[کالا]], _xlfn._xlws.FILTER(T[کالا], T[نوع عملیات]="خرید"), _xlfn._xlws.FILTER(T[فروشنده / مشتری], T[نوع عملیات]="خرید")), "")</f>
        <v/>
      </c>
    </row>
    <row r="465" spans="2:17" ht="16.5" x14ac:dyDescent="0.75">
      <c r="B465" s="227">
        <v>4</v>
      </c>
      <c r="C465" s="150">
        <v>2</v>
      </c>
      <c r="D465" s="150">
        <v>19</v>
      </c>
      <c r="E465" s="150" t="str">
        <f t="shared" si="33"/>
        <v>اردیبهشت</v>
      </c>
      <c r="F465" s="151" t="s">
        <v>168</v>
      </c>
      <c r="G465" s="244" t="s">
        <v>485</v>
      </c>
      <c r="H465" s="247" t="s">
        <v>390</v>
      </c>
      <c r="I465" s="162" t="s">
        <v>490</v>
      </c>
      <c r="J465" s="251">
        <v>10</v>
      </c>
      <c r="K465" s="254">
        <v>1580000</v>
      </c>
      <c r="L465" s="255">
        <f t="shared" si="34"/>
        <v>15800000</v>
      </c>
      <c r="M465" s="257"/>
      <c r="N465" s="262" t="s">
        <v>346</v>
      </c>
      <c r="O46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5" s="262"/>
      <c r="Q465" s="264" t="str" cm="1">
        <f t="array" ref="Q465">IF(T[[#This Row],[نوع عملیات]]="فروش", _xlfn.XLOOKUP(T[[#This Row],[کالا]], _xlfn._xlws.FILTER(T[کالا], T[نوع عملیات]="خرید"), _xlfn._xlws.FILTER(T[فروشنده / مشتری], T[نوع عملیات]="خرید")), "")</f>
        <v/>
      </c>
    </row>
    <row r="466" spans="2:17" ht="16.5" x14ac:dyDescent="0.75">
      <c r="B466" s="227">
        <v>4</v>
      </c>
      <c r="C466" s="150">
        <v>2</v>
      </c>
      <c r="D466" s="150">
        <v>19</v>
      </c>
      <c r="E466" s="150" t="str">
        <f t="shared" si="33"/>
        <v>اردیبهشت</v>
      </c>
      <c r="F466" s="151" t="s">
        <v>168</v>
      </c>
      <c r="G466" s="244" t="s">
        <v>486</v>
      </c>
      <c r="H466" s="247" t="s">
        <v>390</v>
      </c>
      <c r="I466" s="162" t="s">
        <v>490</v>
      </c>
      <c r="J466" s="251">
        <v>1</v>
      </c>
      <c r="K466" s="254">
        <v>1500000</v>
      </c>
      <c r="L466" s="255">
        <f t="shared" si="34"/>
        <v>1500000</v>
      </c>
      <c r="M466" s="257">
        <v>25700000</v>
      </c>
      <c r="N466" s="262" t="s">
        <v>346</v>
      </c>
      <c r="O46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6" s="262"/>
      <c r="Q466" s="264" t="str" cm="1">
        <f t="array" ref="Q466">IF(T[[#This Row],[نوع عملیات]]="فروش", _xlfn.XLOOKUP(T[[#This Row],[کالا]], _xlfn._xlws.FILTER(T[کالا], T[نوع عملیات]="خرید"), _xlfn._xlws.FILTER(T[فروشنده / مشتری], T[نوع عملیات]="خرید")), "")</f>
        <v/>
      </c>
    </row>
    <row r="467" spans="2:17" ht="16.5" x14ac:dyDescent="0.75">
      <c r="B467" s="227">
        <v>4</v>
      </c>
      <c r="C467" s="150">
        <v>2</v>
      </c>
      <c r="D467" s="150">
        <v>19</v>
      </c>
      <c r="E467" s="150" t="str">
        <f t="shared" si="33"/>
        <v>اردیبهشت</v>
      </c>
      <c r="F467" s="151" t="s">
        <v>168</v>
      </c>
      <c r="G467" s="244" t="s">
        <v>486</v>
      </c>
      <c r="H467" s="247" t="s">
        <v>390</v>
      </c>
      <c r="I467" s="162" t="s">
        <v>490</v>
      </c>
      <c r="J467" s="251">
        <v>3</v>
      </c>
      <c r="K467" s="254">
        <f>T[[#This Row],[قیمت کل]]/T[[#This Row],[تعداد]]</f>
        <v>1566666.6666666667</v>
      </c>
      <c r="L467" s="255">
        <v>4700000</v>
      </c>
      <c r="M467" s="257">
        <v>4700000</v>
      </c>
      <c r="N467" s="262" t="s">
        <v>346</v>
      </c>
      <c r="O46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7" s="262"/>
      <c r="Q467" s="264" t="str" cm="1">
        <f t="array" ref="Q467">IF(T[[#This Row],[نوع عملیات]]="فروش", _xlfn.XLOOKUP(T[[#This Row],[کالا]], _xlfn._xlws.FILTER(T[کالا], T[نوع عملیات]="خرید"), _xlfn._xlws.FILTER(T[فروشنده / مشتری], T[نوع عملیات]="خرید")), "")</f>
        <v/>
      </c>
    </row>
    <row r="468" spans="2:17" ht="16.5" x14ac:dyDescent="0.75">
      <c r="B468" s="227">
        <v>4</v>
      </c>
      <c r="C468" s="150">
        <v>2</v>
      </c>
      <c r="D468" s="150">
        <v>19</v>
      </c>
      <c r="E468" s="150" t="str">
        <f t="shared" si="33"/>
        <v>اردیبهشت</v>
      </c>
      <c r="F468" s="151" t="s">
        <v>168</v>
      </c>
      <c r="G468" s="244" t="s">
        <v>511</v>
      </c>
      <c r="H468" s="247" t="s">
        <v>390</v>
      </c>
      <c r="I468" s="162" t="s">
        <v>490</v>
      </c>
      <c r="J468" s="251">
        <v>4</v>
      </c>
      <c r="K468" s="254">
        <v>1375000</v>
      </c>
      <c r="L468" s="255">
        <f t="shared" ref="L468:L512" si="35">J468*K468</f>
        <v>5500000</v>
      </c>
      <c r="M468" s="257">
        <v>5500000</v>
      </c>
      <c r="N468" s="262" t="s">
        <v>346</v>
      </c>
      <c r="O46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8" s="262"/>
      <c r="Q468" s="264" t="str" cm="1">
        <f t="array" ref="Q468">IF(T[[#This Row],[نوع عملیات]]="فروش", _xlfn.XLOOKUP(T[[#This Row],[کالا]], _xlfn._xlws.FILTER(T[کالا], T[نوع عملیات]="خرید"), _xlfn._xlws.FILTER(T[فروشنده / مشتری], T[نوع عملیات]="خرید")), "")</f>
        <v/>
      </c>
    </row>
    <row r="469" spans="2:17" ht="16.5" hidden="1" x14ac:dyDescent="0.75">
      <c r="B469" s="227">
        <v>4</v>
      </c>
      <c r="C469" s="150">
        <v>2</v>
      </c>
      <c r="D469" s="150">
        <v>20</v>
      </c>
      <c r="E469" s="150" t="str">
        <f t="shared" si="33"/>
        <v>اردیبهشت</v>
      </c>
      <c r="F469" s="151" t="s">
        <v>302</v>
      </c>
      <c r="G469" s="244"/>
      <c r="H469" s="247" t="s">
        <v>618</v>
      </c>
      <c r="I469" s="162"/>
      <c r="J469" s="251"/>
      <c r="K469" s="254"/>
      <c r="L469" s="255">
        <f t="shared" si="35"/>
        <v>0</v>
      </c>
      <c r="M469" s="257">
        <v>4000000</v>
      </c>
      <c r="N469" s="262" t="s">
        <v>346</v>
      </c>
      <c r="O46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69" s="262"/>
      <c r="Q469" s="264" t="str" cm="1">
        <f t="array" ref="Q469">IF(T[[#This Row],[نوع عملیات]]="فروش", _xlfn.XLOOKUP(T[[#This Row],[کالا]], _xlfn._xlws.FILTER(T[کالا], T[نوع عملیات]="خرید"), _xlfn._xlws.FILTER(T[فروشنده / مشتری], T[نوع عملیات]="خرید")), "")</f>
        <v/>
      </c>
    </row>
    <row r="470" spans="2:17" ht="16.5" hidden="1" x14ac:dyDescent="0.75">
      <c r="B470" s="325">
        <v>4</v>
      </c>
      <c r="C470" s="326">
        <v>2</v>
      </c>
      <c r="D470" s="326">
        <v>20</v>
      </c>
      <c r="E470" s="326" t="str">
        <f t="shared" si="33"/>
        <v>اردیبهشت</v>
      </c>
      <c r="F470" s="327" t="s">
        <v>302</v>
      </c>
      <c r="G470" s="328" t="s">
        <v>501</v>
      </c>
      <c r="H470" s="329" t="s">
        <v>299</v>
      </c>
      <c r="I470" s="330"/>
      <c r="J470" s="331"/>
      <c r="K470" s="305"/>
      <c r="L470" s="304">
        <f t="shared" si="35"/>
        <v>0</v>
      </c>
      <c r="M470" s="332">
        <v>52129000</v>
      </c>
      <c r="N470" s="333" t="s">
        <v>346</v>
      </c>
      <c r="O470" s="334">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70" s="333"/>
      <c r="Q470" s="333" t="str" cm="1">
        <f t="array" ref="Q470">IF(T[[#This Row],[نوع عملیات]]="فروش", _xlfn.XLOOKUP(T[[#This Row],[کالا]], _xlfn._xlws.FILTER(T[کالا], T[نوع عملیات]="خرید"), _xlfn._xlws.FILTER(T[فروشنده / مشتری], T[نوع عملیات]="خرید")), "")</f>
        <v/>
      </c>
    </row>
    <row r="471" spans="2:17" ht="16.5" hidden="1" x14ac:dyDescent="0.75">
      <c r="B471" s="325">
        <v>4</v>
      </c>
      <c r="C471" s="326">
        <v>2</v>
      </c>
      <c r="D471" s="326">
        <v>20</v>
      </c>
      <c r="E471" s="326" t="str">
        <f t="shared" si="33"/>
        <v>اردیبهشت</v>
      </c>
      <c r="F471" s="327" t="s">
        <v>302</v>
      </c>
      <c r="G471" s="328" t="s">
        <v>501</v>
      </c>
      <c r="H471" s="329" t="s">
        <v>298</v>
      </c>
      <c r="I471" s="330"/>
      <c r="J471" s="331"/>
      <c r="K471" s="305"/>
      <c r="L471" s="304">
        <f t="shared" si="35"/>
        <v>0</v>
      </c>
      <c r="M471" s="332">
        <v>2800000</v>
      </c>
      <c r="N471" s="333" t="s">
        <v>346</v>
      </c>
      <c r="O471" s="334">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71" s="333"/>
      <c r="Q471" s="333" t="str" cm="1">
        <f t="array" ref="Q471">IF(T[[#This Row],[نوع عملیات]]="فروش", _xlfn.XLOOKUP(T[[#This Row],[کالا]], _xlfn._xlws.FILTER(T[کالا], T[نوع عملیات]="خرید"), _xlfn._xlws.FILTER(T[فروشنده / مشتری], T[نوع عملیات]="خرید")), "")</f>
        <v/>
      </c>
    </row>
    <row r="472" spans="2:17" ht="16.5" hidden="1" x14ac:dyDescent="0.75">
      <c r="B472" s="227">
        <v>4</v>
      </c>
      <c r="C472" s="150">
        <v>2</v>
      </c>
      <c r="D472" s="150">
        <v>20</v>
      </c>
      <c r="E472" s="150" t="str">
        <f t="shared" si="33"/>
        <v>اردیبهشت</v>
      </c>
      <c r="F472" s="151" t="s">
        <v>167</v>
      </c>
      <c r="G472" s="244" t="s">
        <v>484</v>
      </c>
      <c r="H472" s="247" t="s">
        <v>130</v>
      </c>
      <c r="I472" s="162"/>
      <c r="J472" s="251">
        <v>1</v>
      </c>
      <c r="K472" s="254">
        <v>1400000</v>
      </c>
      <c r="L472" s="255">
        <f t="shared" si="35"/>
        <v>1400000</v>
      </c>
      <c r="M472" s="257">
        <v>1400000</v>
      </c>
      <c r="N472" s="262" t="s">
        <v>346</v>
      </c>
      <c r="O47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365555.5555555555</v>
      </c>
      <c r="P472" s="262"/>
      <c r="Q472" s="264" t="str" cm="1">
        <f t="array" ref="Q472">IF(T[[#This Row],[نوع عملیات]]="فروش", _xlfn.XLOOKUP(T[[#This Row],[کالا]], _xlfn._xlws.FILTER(T[کالا], T[نوع عملیات]="خرید"), _xlfn._xlws.FILTER(T[فروشنده / مشتری], T[نوع عملیات]="خرید")), "")</f>
        <v>عبدل آباد</v>
      </c>
    </row>
    <row r="473" spans="2:17" ht="16.5" hidden="1" x14ac:dyDescent="0.75">
      <c r="B473" s="227">
        <v>4</v>
      </c>
      <c r="C473" s="150">
        <v>2</v>
      </c>
      <c r="D473" s="150">
        <v>20</v>
      </c>
      <c r="E473" s="150" t="str">
        <f t="shared" ref="E473:E504" si="36">CHOOSE(C473, "فروردین", "اردیبهشت", "خرداد", "تیر", "مرداد", "شهریور", "مهر", "آبان", "آذر", "دی", "بهمن", "اسفند")</f>
        <v>اردیبهشت</v>
      </c>
      <c r="F473" s="151" t="s">
        <v>302</v>
      </c>
      <c r="G473" s="244"/>
      <c r="H473" s="247" t="s">
        <v>419</v>
      </c>
      <c r="I473" s="162"/>
      <c r="J473" s="251"/>
      <c r="K473" s="254"/>
      <c r="L473" s="255">
        <f t="shared" si="35"/>
        <v>0</v>
      </c>
      <c r="M473" s="257">
        <v>1839000</v>
      </c>
      <c r="N473" s="262" t="s">
        <v>299</v>
      </c>
      <c r="O47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73" s="262"/>
      <c r="Q473" s="264" t="str" cm="1">
        <f t="array" ref="Q473">IF(T[[#This Row],[نوع عملیات]]="فروش", _xlfn.XLOOKUP(T[[#This Row],[کالا]], _xlfn._xlws.FILTER(T[کالا], T[نوع عملیات]="خرید"), _xlfn._xlws.FILTER(T[فروشنده / مشتری], T[نوع عملیات]="خرید")), "")</f>
        <v/>
      </c>
    </row>
    <row r="474" spans="2:17" ht="16.5" hidden="1" x14ac:dyDescent="0.75">
      <c r="B474" s="227">
        <v>4</v>
      </c>
      <c r="C474" s="150">
        <v>2</v>
      </c>
      <c r="D474" s="150">
        <v>21</v>
      </c>
      <c r="E474" s="150" t="str">
        <f t="shared" si="36"/>
        <v>اردیبهشت</v>
      </c>
      <c r="F474" s="151" t="s">
        <v>167</v>
      </c>
      <c r="G474" s="244" t="s">
        <v>470</v>
      </c>
      <c r="H474" s="247" t="s">
        <v>422</v>
      </c>
      <c r="I474" s="162"/>
      <c r="J474" s="251">
        <v>1</v>
      </c>
      <c r="K474" s="254">
        <v>650000</v>
      </c>
      <c r="L474" s="255">
        <f t="shared" si="35"/>
        <v>650000</v>
      </c>
      <c r="M474" s="257"/>
      <c r="N474" s="262"/>
      <c r="O47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282000</v>
      </c>
      <c r="P474" s="262"/>
      <c r="Q474" s="264" t="str" cm="1">
        <f t="array" ref="Q474">IF(T[[#This Row],[نوع عملیات]]="فروش", _xlfn.XLOOKUP(T[[#This Row],[کالا]], _xlfn._xlws.FILTER(T[کالا], T[نوع عملیات]="خرید"), _xlfn._xlws.FILTER(T[فروشنده / مشتری], T[نوع عملیات]="خرید")), "")</f>
        <v>سرای ملی</v>
      </c>
    </row>
    <row r="475" spans="2:17" ht="16.5" hidden="1" x14ac:dyDescent="0.75">
      <c r="B475" s="227">
        <v>4</v>
      </c>
      <c r="C475" s="150">
        <v>2</v>
      </c>
      <c r="D475" s="150">
        <v>21</v>
      </c>
      <c r="E475" s="150" t="str">
        <f t="shared" si="36"/>
        <v>اردیبهشت</v>
      </c>
      <c r="F475" s="151" t="s">
        <v>167</v>
      </c>
      <c r="G475" s="244" t="s">
        <v>485</v>
      </c>
      <c r="H475" s="247" t="s">
        <v>211</v>
      </c>
      <c r="I475" s="162"/>
      <c r="J475" s="251">
        <v>1</v>
      </c>
      <c r="K475" s="254">
        <v>2500000</v>
      </c>
      <c r="L475" s="255">
        <f t="shared" si="35"/>
        <v>2500000</v>
      </c>
      <c r="M475" s="257">
        <v>2500000</v>
      </c>
      <c r="N475" s="262" t="s">
        <v>346</v>
      </c>
      <c r="O47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920000</v>
      </c>
      <c r="P475" s="262"/>
      <c r="Q475" s="264" t="str" cm="1">
        <f t="array" ref="Q475">IF(T[[#This Row],[نوع عملیات]]="فروش", _xlfn.XLOOKUP(T[[#This Row],[کالا]], _xlfn._xlws.FILTER(T[کالا], T[نوع عملیات]="خرید"), _xlfn._xlws.FILTER(T[فروشنده / مشتری], T[نوع عملیات]="خرید")), "")</f>
        <v>عبدل آباد</v>
      </c>
    </row>
    <row r="476" spans="2:17" ht="16.5" hidden="1" x14ac:dyDescent="0.75">
      <c r="B476" s="227">
        <v>4</v>
      </c>
      <c r="C476" s="150">
        <v>2</v>
      </c>
      <c r="D476" s="150">
        <v>21</v>
      </c>
      <c r="E476" s="150" t="str">
        <f t="shared" si="36"/>
        <v>اردیبهشت</v>
      </c>
      <c r="F476" s="151" t="s">
        <v>167</v>
      </c>
      <c r="G476" s="244" t="s">
        <v>479</v>
      </c>
      <c r="H476" s="247" t="s">
        <v>424</v>
      </c>
      <c r="I476" s="162"/>
      <c r="J476" s="251">
        <v>1</v>
      </c>
      <c r="K476" s="254">
        <v>170000</v>
      </c>
      <c r="L476" s="255">
        <f t="shared" si="35"/>
        <v>170000</v>
      </c>
      <c r="M476" s="257"/>
      <c r="N476" s="262"/>
      <c r="O47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60000</v>
      </c>
      <c r="P476" s="262"/>
      <c r="Q476" s="264" t="str" cm="1">
        <f t="array" ref="Q476">IF(T[[#This Row],[نوع عملیات]]="فروش", _xlfn.XLOOKUP(T[[#This Row],[کالا]], _xlfn._xlws.FILTER(T[کالا], T[نوع عملیات]="خرید"), _xlfn._xlws.FILTER(T[فروشنده / مشتری], T[نوع عملیات]="خرید")), "")</f>
        <v>مهسا - سالن</v>
      </c>
    </row>
    <row r="477" spans="2:17" ht="16.5" hidden="1" x14ac:dyDescent="0.75">
      <c r="B477" s="227">
        <v>4</v>
      </c>
      <c r="C477" s="150">
        <v>2</v>
      </c>
      <c r="D477" s="150">
        <v>21</v>
      </c>
      <c r="E477" s="150" t="str">
        <f t="shared" si="36"/>
        <v>اردیبهشت</v>
      </c>
      <c r="F477" s="151" t="s">
        <v>167</v>
      </c>
      <c r="G477" s="244" t="s">
        <v>504</v>
      </c>
      <c r="H477" s="247" t="s">
        <v>308</v>
      </c>
      <c r="I477" s="162"/>
      <c r="J477" s="251">
        <v>1</v>
      </c>
      <c r="K477" s="254">
        <v>600000</v>
      </c>
      <c r="L477" s="255">
        <f t="shared" si="35"/>
        <v>600000</v>
      </c>
      <c r="M477" s="257"/>
      <c r="N477" s="262"/>
      <c r="O47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180000</v>
      </c>
      <c r="P477" s="262"/>
      <c r="Q477" s="264" t="str" cm="1">
        <f t="array" ref="Q477">IF(T[[#This Row],[نوع عملیات]]="فروش", _xlfn.XLOOKUP(T[[#This Row],[کالا]], _xlfn._xlws.FILTER(T[کالا], T[نوع عملیات]="خرید"), _xlfn._xlws.FILTER(T[فروشنده / مشتری], T[نوع عملیات]="خرید")), "")</f>
        <v>مهسا - سالن</v>
      </c>
    </row>
    <row r="478" spans="2:17" ht="16.5" hidden="1" x14ac:dyDescent="0.75">
      <c r="B478" s="227">
        <v>4</v>
      </c>
      <c r="C478" s="150">
        <v>2</v>
      </c>
      <c r="D478" s="150">
        <v>21</v>
      </c>
      <c r="E478" s="150" t="str">
        <f t="shared" si="36"/>
        <v>اردیبهشت</v>
      </c>
      <c r="F478" s="151" t="s">
        <v>167</v>
      </c>
      <c r="G478" s="244" t="s">
        <v>505</v>
      </c>
      <c r="H478" s="247" t="s">
        <v>211</v>
      </c>
      <c r="I478" s="162"/>
      <c r="J478" s="251">
        <v>1</v>
      </c>
      <c r="K478" s="254">
        <v>1200000</v>
      </c>
      <c r="L478" s="255">
        <f t="shared" si="35"/>
        <v>1200000</v>
      </c>
      <c r="M478" s="257">
        <v>1200000</v>
      </c>
      <c r="N478" s="262" t="s">
        <v>346</v>
      </c>
      <c r="O47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478" s="262"/>
      <c r="Q478" s="264" t="str" cm="1">
        <f t="array" ref="Q478">IF(T[[#This Row],[نوع عملیات]]="فروش", _xlfn.XLOOKUP(T[[#This Row],[کالا]], _xlfn._xlws.FILTER(T[کالا], T[نوع عملیات]="خرید"), _xlfn._xlws.FILTER(T[فروشنده / مشتری], T[نوع عملیات]="خرید")), "")</f>
        <v>دلگشا</v>
      </c>
    </row>
    <row r="479" spans="2:17" ht="16.5" hidden="1" x14ac:dyDescent="0.75">
      <c r="B479" s="227">
        <v>4</v>
      </c>
      <c r="C479" s="150">
        <v>2</v>
      </c>
      <c r="D479" s="150">
        <v>22</v>
      </c>
      <c r="E479" s="150" t="str">
        <f t="shared" si="36"/>
        <v>اردیبهشت</v>
      </c>
      <c r="F479" s="151" t="s">
        <v>167</v>
      </c>
      <c r="G479" s="244" t="s">
        <v>347</v>
      </c>
      <c r="H479" s="247" t="s">
        <v>506</v>
      </c>
      <c r="I479" s="162"/>
      <c r="J479" s="251">
        <v>1</v>
      </c>
      <c r="K479" s="254">
        <v>1100000</v>
      </c>
      <c r="L479" s="255">
        <f t="shared" si="35"/>
        <v>1100000</v>
      </c>
      <c r="M479" s="257"/>
      <c r="N479" s="262"/>
      <c r="O47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479" s="262"/>
      <c r="Q479" s="264" t="str" cm="1">
        <f t="array" ref="Q479">IF(T[[#This Row],[نوع عملیات]]="فروش", _xlfn.XLOOKUP(T[[#This Row],[کالا]], _xlfn._xlws.FILTER(T[کالا], T[نوع عملیات]="خرید"), _xlfn._xlws.FILTER(T[فروشنده / مشتری], T[نوع عملیات]="خرید")), "")</f>
        <v>دلگشا</v>
      </c>
    </row>
    <row r="480" spans="2:17" ht="16.5" hidden="1" x14ac:dyDescent="0.75">
      <c r="B480" s="227">
        <v>4</v>
      </c>
      <c r="C480" s="150">
        <v>2</v>
      </c>
      <c r="D480" s="150">
        <v>22</v>
      </c>
      <c r="E480" s="150" t="str">
        <f t="shared" si="36"/>
        <v>اردیبهشت</v>
      </c>
      <c r="F480" s="151" t="s">
        <v>167</v>
      </c>
      <c r="G480" s="244" t="s">
        <v>410</v>
      </c>
      <c r="H480" s="247" t="s">
        <v>506</v>
      </c>
      <c r="I480" s="162"/>
      <c r="J480" s="251">
        <v>1</v>
      </c>
      <c r="K480" s="254">
        <v>1900000</v>
      </c>
      <c r="L480" s="255">
        <f t="shared" si="35"/>
        <v>1900000</v>
      </c>
      <c r="M480" s="257"/>
      <c r="N480" s="262"/>
      <c r="O48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1000000</v>
      </c>
      <c r="P480" s="262"/>
      <c r="Q480" s="264" t="str" cm="1">
        <f t="array" ref="Q480">IF(T[[#This Row],[نوع عملیات]]="فروش", _xlfn.XLOOKUP(T[[#This Row],[کالا]], _xlfn._xlws.FILTER(T[کالا], T[نوع عملیات]="خرید"), _xlfn._xlws.FILTER(T[فروشنده / مشتری], T[نوع عملیات]="خرید")), "")</f>
        <v>عبدل آباد</v>
      </c>
    </row>
    <row r="481" spans="2:17" ht="16.5" hidden="1" x14ac:dyDescent="0.75">
      <c r="B481" s="227">
        <v>4</v>
      </c>
      <c r="C481" s="150">
        <v>2</v>
      </c>
      <c r="D481" s="150">
        <v>22</v>
      </c>
      <c r="E481" s="150" t="str">
        <f t="shared" si="36"/>
        <v>اردیبهشت</v>
      </c>
      <c r="F481" s="151" t="s">
        <v>167</v>
      </c>
      <c r="G481" s="244" t="s">
        <v>274</v>
      </c>
      <c r="H481" s="247" t="s">
        <v>506</v>
      </c>
      <c r="I481" s="162"/>
      <c r="J481" s="251">
        <v>1</v>
      </c>
      <c r="K481" s="254">
        <v>200000</v>
      </c>
      <c r="L481" s="255">
        <f t="shared" si="35"/>
        <v>200000</v>
      </c>
      <c r="M481" s="257"/>
      <c r="N481" s="262"/>
      <c r="O48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145714.28571428571</v>
      </c>
      <c r="P481" s="262"/>
      <c r="Q481" s="264" t="str" cm="1">
        <f t="array" ref="Q481">IF(T[[#This Row],[نوع عملیات]]="فروش", _xlfn.XLOOKUP(T[[#This Row],[کالا]], _xlfn._xlws.FILTER(T[کالا], T[نوع عملیات]="خرید"), _xlfn._xlws.FILTER(T[فروشنده / مشتری], T[نوع عملیات]="خرید")), "")</f>
        <v>بازار</v>
      </c>
    </row>
    <row r="482" spans="2:17" ht="16.5" hidden="1" x14ac:dyDescent="0.75">
      <c r="B482" s="227">
        <v>4</v>
      </c>
      <c r="C482" s="150">
        <v>2</v>
      </c>
      <c r="D482" s="150">
        <v>22</v>
      </c>
      <c r="E482" s="150" t="str">
        <f t="shared" si="36"/>
        <v>اردیبهشت</v>
      </c>
      <c r="F482" s="151" t="s">
        <v>167</v>
      </c>
      <c r="G482" s="244" t="s">
        <v>508</v>
      </c>
      <c r="H482" s="247" t="s">
        <v>211</v>
      </c>
      <c r="I482" s="162"/>
      <c r="J482" s="251">
        <v>1</v>
      </c>
      <c r="K482" s="254">
        <v>1500000</v>
      </c>
      <c r="L482" s="255">
        <f t="shared" si="35"/>
        <v>1500000</v>
      </c>
      <c r="M482" s="257">
        <v>1500000</v>
      </c>
      <c r="N482" s="262" t="s">
        <v>299</v>
      </c>
      <c r="O48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600000</v>
      </c>
      <c r="P482" s="262"/>
      <c r="Q482" s="264" t="str" cm="1">
        <f t="array" ref="Q482">IF(T[[#This Row],[نوع عملیات]]="فروش", _xlfn.XLOOKUP(T[[#This Row],[کالا]], _xlfn._xlws.FILTER(T[کالا], T[نوع عملیات]="خرید"), _xlfn._xlws.FILTER(T[فروشنده / مشتری], T[نوع عملیات]="خرید")), "")</f>
        <v>عبدل آباد</v>
      </c>
    </row>
    <row r="483" spans="2:17" ht="16.5" hidden="1" x14ac:dyDescent="0.75">
      <c r="B483" s="227">
        <v>4</v>
      </c>
      <c r="C483" s="150">
        <v>2</v>
      </c>
      <c r="D483" s="150">
        <v>22</v>
      </c>
      <c r="E483" s="150" t="str">
        <f t="shared" si="36"/>
        <v>اردیبهشت</v>
      </c>
      <c r="F483" s="151" t="s">
        <v>167</v>
      </c>
      <c r="G483" s="244" t="s">
        <v>486</v>
      </c>
      <c r="H483" s="247" t="s">
        <v>474</v>
      </c>
      <c r="I483" s="162"/>
      <c r="J483" s="251">
        <v>2</v>
      </c>
      <c r="K483" s="254">
        <v>2000000</v>
      </c>
      <c r="L483" s="255">
        <f t="shared" si="35"/>
        <v>4000000</v>
      </c>
      <c r="M483" s="257"/>
      <c r="N483" s="262"/>
      <c r="O48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902500</v>
      </c>
      <c r="P483" s="262"/>
      <c r="Q483" s="264" t="str" cm="1">
        <f t="array" ref="Q483">IF(T[[#This Row],[نوع عملیات]]="فروش", _xlfn.XLOOKUP(T[[#This Row],[کالا]], _xlfn._xlws.FILTER(T[کالا], T[نوع عملیات]="خرید"), _xlfn._xlws.FILTER(T[فروشنده / مشتری], T[نوع عملیات]="خرید")), "")</f>
        <v>عبدل آباد</v>
      </c>
    </row>
    <row r="484" spans="2:17" ht="16.5" hidden="1" x14ac:dyDescent="0.75">
      <c r="B484" s="227">
        <v>4</v>
      </c>
      <c r="C484" s="150">
        <v>2</v>
      </c>
      <c r="D484" s="150">
        <v>22</v>
      </c>
      <c r="E484" s="150" t="str">
        <f t="shared" si="36"/>
        <v>اردیبهشت</v>
      </c>
      <c r="F484" s="151" t="s">
        <v>167</v>
      </c>
      <c r="G484" s="244" t="s">
        <v>484</v>
      </c>
      <c r="H484" s="247" t="s">
        <v>510</v>
      </c>
      <c r="I484" s="162"/>
      <c r="J484" s="251">
        <v>1</v>
      </c>
      <c r="K484" s="254">
        <v>1400000</v>
      </c>
      <c r="L484" s="255">
        <f t="shared" si="35"/>
        <v>1400000</v>
      </c>
      <c r="M484" s="257"/>
      <c r="N484" s="262"/>
      <c r="O48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365555.5555555555</v>
      </c>
      <c r="P484" s="262"/>
      <c r="Q484" s="264" t="str" cm="1">
        <f t="array" ref="Q484">IF(T[[#This Row],[نوع عملیات]]="فروش", _xlfn.XLOOKUP(T[[#This Row],[کالا]], _xlfn._xlws.FILTER(T[کالا], T[نوع عملیات]="خرید"), _xlfn._xlws.FILTER(T[فروشنده / مشتری], T[نوع عملیات]="خرید")), "")</f>
        <v>عبدل آباد</v>
      </c>
    </row>
    <row r="485" spans="2:17" ht="16.5" hidden="1" x14ac:dyDescent="0.75">
      <c r="B485" s="227">
        <v>4</v>
      </c>
      <c r="C485" s="150">
        <v>2</v>
      </c>
      <c r="D485" s="150">
        <v>22</v>
      </c>
      <c r="E485" s="150" t="str">
        <f t="shared" si="36"/>
        <v>اردیبهشت</v>
      </c>
      <c r="F485" s="151" t="s">
        <v>167</v>
      </c>
      <c r="G485" s="244" t="s">
        <v>486</v>
      </c>
      <c r="H485" s="247" t="s">
        <v>510</v>
      </c>
      <c r="I485" s="162"/>
      <c r="J485" s="251">
        <v>1</v>
      </c>
      <c r="K485" s="254">
        <v>2000000</v>
      </c>
      <c r="L485" s="255">
        <f t="shared" si="35"/>
        <v>2000000</v>
      </c>
      <c r="M485" s="257"/>
      <c r="N485" s="262"/>
      <c r="O48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485" s="262"/>
      <c r="Q485" s="264" t="str" cm="1">
        <f t="array" ref="Q485">IF(T[[#This Row],[نوع عملیات]]="فروش", _xlfn.XLOOKUP(T[[#This Row],[کالا]], _xlfn._xlws.FILTER(T[کالا], T[نوع عملیات]="خرید"), _xlfn._xlws.FILTER(T[فروشنده / مشتری], T[نوع عملیات]="خرید")), "")</f>
        <v>عبدل آباد</v>
      </c>
    </row>
    <row r="486" spans="2:17" ht="16.5" hidden="1" x14ac:dyDescent="0.75">
      <c r="B486" s="227">
        <v>4</v>
      </c>
      <c r="C486" s="150">
        <v>2</v>
      </c>
      <c r="D486" s="150">
        <v>22</v>
      </c>
      <c r="E486" s="150" t="str">
        <f t="shared" si="36"/>
        <v>اردیبهشت</v>
      </c>
      <c r="F486" s="151" t="s">
        <v>167</v>
      </c>
      <c r="G486" s="244" t="s">
        <v>484</v>
      </c>
      <c r="H486" s="247" t="s">
        <v>434</v>
      </c>
      <c r="I486" s="162"/>
      <c r="J486" s="251">
        <v>1</v>
      </c>
      <c r="K486" s="254">
        <v>1400000</v>
      </c>
      <c r="L486" s="255">
        <f t="shared" si="35"/>
        <v>1400000</v>
      </c>
      <c r="M486" s="257"/>
      <c r="N486" s="262"/>
      <c r="O48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365555.5555555555</v>
      </c>
      <c r="P486" s="262"/>
      <c r="Q486" s="264" t="str" cm="1">
        <f t="array" ref="Q486">IF(T[[#This Row],[نوع عملیات]]="فروش", _xlfn.XLOOKUP(T[[#This Row],[کالا]], _xlfn._xlws.FILTER(T[کالا], T[نوع عملیات]="خرید"), _xlfn._xlws.FILTER(T[فروشنده / مشتری], T[نوع عملیات]="خرید")), "")</f>
        <v>عبدل آباد</v>
      </c>
    </row>
    <row r="487" spans="2:17" ht="16.5" hidden="1" x14ac:dyDescent="0.75">
      <c r="B487" s="227">
        <v>4</v>
      </c>
      <c r="C487" s="150">
        <v>2</v>
      </c>
      <c r="D487" s="150">
        <v>22</v>
      </c>
      <c r="E487" s="150" t="str">
        <f t="shared" si="36"/>
        <v>اردیبهشت</v>
      </c>
      <c r="F487" s="151" t="s">
        <v>167</v>
      </c>
      <c r="G487" s="244" t="s">
        <v>511</v>
      </c>
      <c r="H487" s="247" t="s">
        <v>211</v>
      </c>
      <c r="I487" s="162"/>
      <c r="J487" s="251">
        <v>1</v>
      </c>
      <c r="K487" s="254">
        <v>2000000</v>
      </c>
      <c r="L487" s="255">
        <f t="shared" si="35"/>
        <v>2000000</v>
      </c>
      <c r="M487" s="257"/>
      <c r="N487" s="262"/>
      <c r="O48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625000</v>
      </c>
      <c r="P487" s="262"/>
      <c r="Q487" s="264" t="str" cm="1">
        <f t="array" ref="Q487">IF(T[[#This Row],[نوع عملیات]]="فروش", _xlfn.XLOOKUP(T[[#This Row],[کالا]], _xlfn._xlws.FILTER(T[کالا], T[نوع عملیات]="خرید"), _xlfn._xlws.FILTER(T[فروشنده / مشتری], T[نوع عملیات]="خرید")), "")</f>
        <v>عبدل آباد</v>
      </c>
    </row>
    <row r="488" spans="2:17" ht="16.5" hidden="1" x14ac:dyDescent="0.75">
      <c r="B488" s="227">
        <v>4</v>
      </c>
      <c r="C488" s="150">
        <v>2</v>
      </c>
      <c r="D488" s="150">
        <v>22</v>
      </c>
      <c r="E488" s="150" t="str">
        <f t="shared" si="36"/>
        <v>اردیبهشت</v>
      </c>
      <c r="F488" s="151" t="s">
        <v>167</v>
      </c>
      <c r="G488" s="244" t="s">
        <v>369</v>
      </c>
      <c r="H488" s="247" t="s">
        <v>211</v>
      </c>
      <c r="I488" s="162"/>
      <c r="J488" s="251">
        <v>1</v>
      </c>
      <c r="K488" s="254">
        <v>600000</v>
      </c>
      <c r="L488" s="255">
        <f t="shared" si="35"/>
        <v>600000</v>
      </c>
      <c r="M488" s="257">
        <v>2600000</v>
      </c>
      <c r="N488" s="262" t="s">
        <v>299</v>
      </c>
      <c r="O48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302000</v>
      </c>
      <c r="P488" s="262"/>
      <c r="Q488" s="264" t="str" cm="1">
        <f t="array" ref="Q488">IF(T[[#This Row],[نوع عملیات]]="فروش", _xlfn.XLOOKUP(T[[#This Row],[کالا]], _xlfn._xlws.FILTER(T[کالا], T[نوع عملیات]="خرید"), _xlfn._xlws.FILTER(T[فروشنده / مشتری], T[نوع عملیات]="خرید")), "")</f>
        <v>بازار</v>
      </c>
    </row>
    <row r="489" spans="2:17" ht="16.5" hidden="1" x14ac:dyDescent="0.75">
      <c r="B489" s="227">
        <v>4</v>
      </c>
      <c r="C489" s="150">
        <v>2</v>
      </c>
      <c r="D489" s="150">
        <v>22</v>
      </c>
      <c r="E489" s="150" t="str">
        <f t="shared" si="36"/>
        <v>اردیبهشت</v>
      </c>
      <c r="F489" s="151" t="s">
        <v>167</v>
      </c>
      <c r="G489" s="244" t="s">
        <v>369</v>
      </c>
      <c r="H489" s="247" t="s">
        <v>539</v>
      </c>
      <c r="I489" s="162"/>
      <c r="J489" s="251">
        <v>1</v>
      </c>
      <c r="K489" s="254">
        <v>600000</v>
      </c>
      <c r="L489" s="255">
        <f t="shared" si="35"/>
        <v>600000</v>
      </c>
      <c r="M489" s="257"/>
      <c r="N489" s="262"/>
      <c r="O48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302000</v>
      </c>
      <c r="P489" s="262"/>
      <c r="Q489" s="264" t="str" cm="1">
        <f t="array" ref="Q489">IF(T[[#This Row],[نوع عملیات]]="فروش", _xlfn.XLOOKUP(T[[#This Row],[کالا]], _xlfn._xlws.FILTER(T[کالا], T[نوع عملیات]="خرید"), _xlfn._xlws.FILTER(T[فروشنده / مشتری], T[نوع عملیات]="خرید")), "")</f>
        <v>بازار</v>
      </c>
    </row>
    <row r="490" spans="2:17" ht="16.5" hidden="1" x14ac:dyDescent="0.75">
      <c r="B490" s="227">
        <v>4</v>
      </c>
      <c r="C490" s="150">
        <v>2</v>
      </c>
      <c r="D490" s="150">
        <v>22</v>
      </c>
      <c r="E490" s="150" t="str">
        <f t="shared" si="36"/>
        <v>اردیبهشت</v>
      </c>
      <c r="F490" s="151" t="s">
        <v>167</v>
      </c>
      <c r="G490" s="244" t="s">
        <v>484</v>
      </c>
      <c r="H490" s="247" t="s">
        <v>282</v>
      </c>
      <c r="I490" s="162"/>
      <c r="J490" s="251">
        <v>1</v>
      </c>
      <c r="K490" s="254">
        <v>1400000</v>
      </c>
      <c r="L490" s="255">
        <f t="shared" si="35"/>
        <v>1400000</v>
      </c>
      <c r="M490" s="257"/>
      <c r="N490" s="262"/>
      <c r="O49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365555.5555555555</v>
      </c>
      <c r="P490" s="262"/>
      <c r="Q490" s="264" t="str" cm="1">
        <f t="array" ref="Q490">IF(T[[#This Row],[نوع عملیات]]="فروش", _xlfn.XLOOKUP(T[[#This Row],[کالا]], _xlfn._xlws.FILTER(T[کالا], T[نوع عملیات]="خرید"), _xlfn._xlws.FILTER(T[فروشنده / مشتری], T[نوع عملیات]="خرید")), "")</f>
        <v>عبدل آباد</v>
      </c>
    </row>
    <row r="491" spans="2:17" ht="16.5" hidden="1" x14ac:dyDescent="0.75">
      <c r="B491" s="227">
        <v>4</v>
      </c>
      <c r="C491" s="150">
        <v>2</v>
      </c>
      <c r="D491" s="150">
        <v>22</v>
      </c>
      <c r="E491" s="150" t="str">
        <f t="shared" si="36"/>
        <v>اردیبهشت</v>
      </c>
      <c r="F491" s="151" t="s">
        <v>167</v>
      </c>
      <c r="G491" s="244" t="s">
        <v>484</v>
      </c>
      <c r="H491" s="247" t="s">
        <v>416</v>
      </c>
      <c r="I491" s="162"/>
      <c r="J491" s="251">
        <v>1</v>
      </c>
      <c r="K491" s="254">
        <v>1400000</v>
      </c>
      <c r="L491" s="255">
        <f t="shared" si="35"/>
        <v>1400000</v>
      </c>
      <c r="M491" s="257"/>
      <c r="N491" s="262"/>
      <c r="O49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365555.5555555555</v>
      </c>
      <c r="P491" s="262"/>
      <c r="Q491" s="264" t="str" cm="1">
        <f t="array" ref="Q491">IF(T[[#This Row],[نوع عملیات]]="فروش", _xlfn.XLOOKUP(T[[#This Row],[کالا]], _xlfn._xlws.FILTER(T[کالا], T[نوع عملیات]="خرید"), _xlfn._xlws.FILTER(T[فروشنده / مشتری], T[نوع عملیات]="خرید")), "")</f>
        <v>عبدل آباد</v>
      </c>
    </row>
    <row r="492" spans="2:17" ht="16.5" hidden="1" x14ac:dyDescent="0.75">
      <c r="B492" s="227">
        <v>4</v>
      </c>
      <c r="C492" s="150">
        <v>2</v>
      </c>
      <c r="D492" s="150">
        <v>22</v>
      </c>
      <c r="E492" s="150" t="str">
        <f t="shared" si="36"/>
        <v>اردیبهشت</v>
      </c>
      <c r="F492" s="151" t="s">
        <v>302</v>
      </c>
      <c r="G492" s="244"/>
      <c r="H492" s="247" t="s">
        <v>619</v>
      </c>
      <c r="I492" s="162"/>
      <c r="J492" s="251"/>
      <c r="K492" s="254"/>
      <c r="L492" s="255">
        <f t="shared" si="35"/>
        <v>0</v>
      </c>
      <c r="M492" s="257">
        <v>1000000</v>
      </c>
      <c r="N492" s="262" t="s">
        <v>216</v>
      </c>
      <c r="O49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92" s="262"/>
      <c r="Q492" s="264" t="str" cm="1">
        <f t="array" ref="Q492">IF(T[[#This Row],[نوع عملیات]]="فروش", _xlfn.XLOOKUP(T[[#This Row],[کالا]], _xlfn._xlws.FILTER(T[کالا], T[نوع عملیات]="خرید"), _xlfn._xlws.FILTER(T[فروشنده / مشتری], T[نوع عملیات]="خرید")), "")</f>
        <v/>
      </c>
    </row>
    <row r="493" spans="2:17" ht="16.5" hidden="1" x14ac:dyDescent="0.75">
      <c r="B493" s="227">
        <v>4</v>
      </c>
      <c r="C493" s="150">
        <v>2</v>
      </c>
      <c r="D493" s="150">
        <v>24</v>
      </c>
      <c r="E493" s="150" t="str">
        <f t="shared" si="36"/>
        <v>اردیبهشت</v>
      </c>
      <c r="F493" s="151" t="s">
        <v>167</v>
      </c>
      <c r="G493" s="244" t="s">
        <v>245</v>
      </c>
      <c r="H493" s="247" t="s">
        <v>419</v>
      </c>
      <c r="I493" s="162"/>
      <c r="J493" s="251">
        <v>1</v>
      </c>
      <c r="K493" s="254">
        <v>900000</v>
      </c>
      <c r="L493" s="255">
        <f t="shared" si="35"/>
        <v>900000</v>
      </c>
      <c r="M493" s="257"/>
      <c r="N493" s="262"/>
      <c r="O49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260000</v>
      </c>
      <c r="P493" s="262"/>
      <c r="Q493" s="264" t="str" cm="1">
        <f t="array" ref="Q493">IF(T[[#This Row],[نوع عملیات]]="فروش", _xlfn.XLOOKUP(T[[#This Row],[کالا]], _xlfn._xlws.FILTER(T[کالا], T[نوع عملیات]="خرید"), _xlfn._xlws.FILTER(T[فروشنده / مشتری], T[نوع عملیات]="خرید")), "")</f>
        <v>دلگشا</v>
      </c>
    </row>
    <row r="494" spans="2:17" ht="16.5" hidden="1" x14ac:dyDescent="0.75">
      <c r="B494" s="227">
        <v>4</v>
      </c>
      <c r="C494" s="150">
        <v>2</v>
      </c>
      <c r="D494" s="150">
        <v>24</v>
      </c>
      <c r="E494" s="150" t="str">
        <f t="shared" si="36"/>
        <v>اردیبهشت</v>
      </c>
      <c r="F494" s="151" t="s">
        <v>167</v>
      </c>
      <c r="G494" s="244" t="s">
        <v>347</v>
      </c>
      <c r="H494" s="247" t="s">
        <v>419</v>
      </c>
      <c r="I494" s="162"/>
      <c r="J494" s="251">
        <v>1</v>
      </c>
      <c r="K494" s="254">
        <v>980000</v>
      </c>
      <c r="L494" s="255">
        <f t="shared" si="35"/>
        <v>980000</v>
      </c>
      <c r="M494" s="257"/>
      <c r="N494" s="262"/>
      <c r="O49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130000</v>
      </c>
      <c r="P494" s="262"/>
      <c r="Q494" s="264" t="str" cm="1">
        <f t="array" ref="Q494">IF(T[[#This Row],[نوع عملیات]]="فروش", _xlfn.XLOOKUP(T[[#This Row],[کالا]], _xlfn._xlws.FILTER(T[کالا], T[نوع عملیات]="خرید"), _xlfn._xlws.FILTER(T[فروشنده / مشتری], T[نوع عملیات]="خرید")), "")</f>
        <v>دلگشا</v>
      </c>
    </row>
    <row r="495" spans="2:17" ht="16.5" hidden="1" x14ac:dyDescent="0.75">
      <c r="B495" s="227">
        <v>4</v>
      </c>
      <c r="C495" s="150">
        <v>2</v>
      </c>
      <c r="D495" s="150">
        <v>24</v>
      </c>
      <c r="E495" s="150" t="str">
        <f t="shared" si="36"/>
        <v>اردیبهشت</v>
      </c>
      <c r="F495" s="151" t="s">
        <v>167</v>
      </c>
      <c r="G495" s="244" t="s">
        <v>234</v>
      </c>
      <c r="H495" s="247" t="s">
        <v>419</v>
      </c>
      <c r="I495" s="162"/>
      <c r="J495" s="251">
        <v>1</v>
      </c>
      <c r="K495" s="254">
        <v>1200000</v>
      </c>
      <c r="L495" s="255">
        <f t="shared" si="35"/>
        <v>1200000</v>
      </c>
      <c r="M495" s="257"/>
      <c r="N495" s="262"/>
      <c r="O49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550000</v>
      </c>
      <c r="P495" s="262"/>
      <c r="Q495" s="264" t="str" cm="1">
        <f t="array" ref="Q495">IF(T[[#This Row],[نوع عملیات]]="فروش", _xlfn.XLOOKUP(T[[#This Row],[کالا]], _xlfn._xlws.FILTER(T[کالا], T[نوع عملیات]="خرید"), _xlfn._xlws.FILTER(T[فروشنده / مشتری], T[نوع عملیات]="خرید")), "")</f>
        <v>مهناز - تولیدی</v>
      </c>
    </row>
    <row r="496" spans="2:17" ht="16.5" hidden="1" x14ac:dyDescent="0.75">
      <c r="B496" s="227">
        <v>4</v>
      </c>
      <c r="C496" s="150">
        <v>2</v>
      </c>
      <c r="D496" s="150">
        <v>24</v>
      </c>
      <c r="E496" s="150" t="str">
        <f t="shared" si="36"/>
        <v>اردیبهشت</v>
      </c>
      <c r="F496" s="151" t="s">
        <v>167</v>
      </c>
      <c r="G496" s="244" t="s">
        <v>459</v>
      </c>
      <c r="H496" s="247" t="s">
        <v>512</v>
      </c>
      <c r="I496" s="162"/>
      <c r="J496" s="251">
        <v>1</v>
      </c>
      <c r="K496" s="254">
        <v>750000</v>
      </c>
      <c r="L496" s="255">
        <f t="shared" si="35"/>
        <v>750000</v>
      </c>
      <c r="M496" s="257"/>
      <c r="N496" s="262"/>
      <c r="O49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382800</v>
      </c>
      <c r="P496" s="262"/>
      <c r="Q496" s="264" t="str" cm="1">
        <f t="array" ref="Q496">IF(T[[#This Row],[نوع عملیات]]="فروش", _xlfn.XLOOKUP(T[[#This Row],[کالا]], _xlfn._xlws.FILTER(T[کالا], T[نوع عملیات]="خرید"), _xlfn._xlws.FILTER(T[فروشنده / مشتری], T[نوع عملیات]="خرید")), "")</f>
        <v>سرای ملی</v>
      </c>
    </row>
    <row r="497" spans="2:17" ht="16.5" hidden="1" x14ac:dyDescent="0.75">
      <c r="B497" s="227">
        <v>4</v>
      </c>
      <c r="C497" s="150">
        <v>2</v>
      </c>
      <c r="D497" s="150">
        <v>24</v>
      </c>
      <c r="E497" s="150" t="str">
        <f t="shared" si="36"/>
        <v>اردیبهشت</v>
      </c>
      <c r="F497" s="151" t="s">
        <v>167</v>
      </c>
      <c r="G497" s="244" t="s">
        <v>472</v>
      </c>
      <c r="H497" s="247" t="s">
        <v>513</v>
      </c>
      <c r="I497" s="162"/>
      <c r="J497" s="251">
        <v>1</v>
      </c>
      <c r="K497" s="254">
        <v>1300000</v>
      </c>
      <c r="L497" s="255">
        <f t="shared" si="35"/>
        <v>1300000</v>
      </c>
      <c r="M497" s="257"/>
      <c r="N497" s="262"/>
      <c r="O49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560000</v>
      </c>
      <c r="P497" s="262"/>
      <c r="Q497" s="264" t="str" cm="1">
        <f t="array" ref="Q497">IF(T[[#This Row],[نوع عملیات]]="فروش", _xlfn.XLOOKUP(T[[#This Row],[کالا]], _xlfn._xlws.FILTER(T[کالا], T[نوع عملیات]="خرید"), _xlfn._xlws.FILTER(T[فروشنده / مشتری], T[نوع عملیات]="خرید")), "")</f>
        <v>سرای ملی</v>
      </c>
    </row>
    <row r="498" spans="2:17" ht="16.5" hidden="1" x14ac:dyDescent="0.75">
      <c r="B498" s="227">
        <v>4</v>
      </c>
      <c r="C498" s="150">
        <v>2</v>
      </c>
      <c r="D498" s="150">
        <v>25</v>
      </c>
      <c r="E498" s="150" t="str">
        <f t="shared" si="36"/>
        <v>اردیبهشت</v>
      </c>
      <c r="F498" s="151" t="s">
        <v>167</v>
      </c>
      <c r="G498" s="244" t="s">
        <v>485</v>
      </c>
      <c r="H498" s="247" t="s">
        <v>618</v>
      </c>
      <c r="I498" s="162"/>
      <c r="J498" s="251">
        <v>1</v>
      </c>
      <c r="K498" s="254">
        <v>2200000</v>
      </c>
      <c r="L498" s="255">
        <f t="shared" si="35"/>
        <v>2200000</v>
      </c>
      <c r="M498" s="257"/>
      <c r="N498" s="262"/>
      <c r="O49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620000</v>
      </c>
      <c r="P498" s="262"/>
      <c r="Q498" s="264" t="str" cm="1">
        <f t="array" ref="Q498">IF(T[[#This Row],[نوع عملیات]]="فروش", _xlfn.XLOOKUP(T[[#This Row],[کالا]], _xlfn._xlws.FILTER(T[کالا], T[نوع عملیات]="خرید"), _xlfn._xlws.FILTER(T[فروشنده / مشتری], T[نوع عملیات]="خرید")), "")</f>
        <v>عبدل آباد</v>
      </c>
    </row>
    <row r="499" spans="2:17" ht="16.5" hidden="1" x14ac:dyDescent="0.75">
      <c r="B499" s="227">
        <v>4</v>
      </c>
      <c r="C499" s="150">
        <v>2</v>
      </c>
      <c r="D499" s="150">
        <v>25</v>
      </c>
      <c r="E499" s="150" t="str">
        <f t="shared" si="36"/>
        <v>اردیبهشت</v>
      </c>
      <c r="F499" s="151" t="s">
        <v>302</v>
      </c>
      <c r="G499" s="244"/>
      <c r="H499" s="247" t="s">
        <v>129</v>
      </c>
      <c r="I499" s="162"/>
      <c r="J499" s="251"/>
      <c r="K499" s="254"/>
      <c r="L499" s="255">
        <f t="shared" si="35"/>
        <v>0</v>
      </c>
      <c r="M499" s="257">
        <v>1870000</v>
      </c>
      <c r="N499" s="262" t="s">
        <v>346</v>
      </c>
      <c r="O49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499" s="262"/>
      <c r="Q499" s="264" t="str" cm="1">
        <f t="array" ref="Q499">IF(T[[#This Row],[نوع عملیات]]="فروش", _xlfn.XLOOKUP(T[[#This Row],[کالا]], _xlfn._xlws.FILTER(T[کالا], T[نوع عملیات]="خرید"), _xlfn._xlws.FILTER(T[فروشنده / مشتری], T[نوع عملیات]="خرید")), "")</f>
        <v/>
      </c>
    </row>
    <row r="500" spans="2:17" ht="16.5" hidden="1" x14ac:dyDescent="0.75">
      <c r="B500" s="227">
        <v>4</v>
      </c>
      <c r="C500" s="150">
        <v>2</v>
      </c>
      <c r="D500" s="150">
        <v>25</v>
      </c>
      <c r="E500" s="150" t="str">
        <f t="shared" si="36"/>
        <v>اردیبهشت</v>
      </c>
      <c r="F500" s="151" t="s">
        <v>302</v>
      </c>
      <c r="G500" s="244"/>
      <c r="H500" s="247" t="s">
        <v>129</v>
      </c>
      <c r="I500" s="162"/>
      <c r="J500" s="251"/>
      <c r="K500" s="254"/>
      <c r="L500" s="255">
        <f t="shared" si="35"/>
        <v>0</v>
      </c>
      <c r="M500" s="257">
        <f>3300000-M499</f>
        <v>1430000</v>
      </c>
      <c r="N500" s="262" t="s">
        <v>346</v>
      </c>
      <c r="O5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00" s="262"/>
      <c r="Q500" s="264" t="str" cm="1">
        <f t="array" ref="Q500">IF(T[[#This Row],[نوع عملیات]]="فروش", _xlfn.XLOOKUP(T[[#This Row],[کالا]], _xlfn._xlws.FILTER(T[کالا], T[نوع عملیات]="خرید"), _xlfn._xlws.FILTER(T[فروشنده / مشتری], T[نوع عملیات]="خرید")), "")</f>
        <v/>
      </c>
    </row>
    <row r="501" spans="2:17" ht="16.5" x14ac:dyDescent="0.75">
      <c r="B501" s="227">
        <v>4</v>
      </c>
      <c r="C501" s="150">
        <v>2</v>
      </c>
      <c r="D501" s="150">
        <v>26</v>
      </c>
      <c r="E501" s="150" t="str">
        <f t="shared" si="36"/>
        <v>اردیبهشت</v>
      </c>
      <c r="F501" s="151" t="s">
        <v>168</v>
      </c>
      <c r="G501" s="244" t="s">
        <v>514</v>
      </c>
      <c r="H501" s="247" t="s">
        <v>390</v>
      </c>
      <c r="I501" s="162" t="s">
        <v>490</v>
      </c>
      <c r="J501" s="251">
        <v>6</v>
      </c>
      <c r="K501" s="254">
        <v>680000</v>
      </c>
      <c r="L501" s="255">
        <f t="shared" si="35"/>
        <v>4080000</v>
      </c>
      <c r="M501" s="257">
        <v>4080000</v>
      </c>
      <c r="N501" s="262" t="s">
        <v>518</v>
      </c>
      <c r="O5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01" s="262"/>
      <c r="Q501" s="264" t="str" cm="1">
        <f t="array" ref="Q501">IF(T[[#This Row],[نوع عملیات]]="فروش", _xlfn.XLOOKUP(T[[#This Row],[کالا]], _xlfn._xlws.FILTER(T[کالا], T[نوع عملیات]="خرید"), _xlfn._xlws.FILTER(T[فروشنده / مشتری], T[نوع عملیات]="خرید")), "")</f>
        <v/>
      </c>
    </row>
    <row r="502" spans="2:17" ht="16.5" x14ac:dyDescent="0.75">
      <c r="B502" s="227">
        <v>4</v>
      </c>
      <c r="C502" s="150">
        <v>2</v>
      </c>
      <c r="D502" s="150">
        <v>26</v>
      </c>
      <c r="E502" s="150" t="str">
        <f t="shared" si="36"/>
        <v>اردیبهشت</v>
      </c>
      <c r="F502" s="151" t="s">
        <v>168</v>
      </c>
      <c r="G502" s="244" t="s">
        <v>486</v>
      </c>
      <c r="H502" s="247" t="s">
        <v>390</v>
      </c>
      <c r="I502" s="162" t="s">
        <v>490</v>
      </c>
      <c r="J502" s="251">
        <v>6</v>
      </c>
      <c r="K502" s="254">
        <v>1580000</v>
      </c>
      <c r="L502" s="255">
        <f t="shared" si="35"/>
        <v>9480000</v>
      </c>
      <c r="M502" s="257"/>
      <c r="N502" s="262" t="s">
        <v>346</v>
      </c>
      <c r="O5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02" s="262"/>
      <c r="Q502" s="264" t="str" cm="1">
        <f t="array" ref="Q502">IF(T[[#This Row],[نوع عملیات]]="فروش", _xlfn.XLOOKUP(T[[#This Row],[کالا]], _xlfn._xlws.FILTER(T[کالا], T[نوع عملیات]="خرید"), _xlfn._xlws.FILTER(T[فروشنده / مشتری], T[نوع عملیات]="خرید")), "")</f>
        <v/>
      </c>
    </row>
    <row r="503" spans="2:17" ht="16.5" x14ac:dyDescent="0.75">
      <c r="B503" s="227">
        <v>4</v>
      </c>
      <c r="C503" s="150">
        <v>2</v>
      </c>
      <c r="D503" s="150">
        <v>26</v>
      </c>
      <c r="E503" s="150" t="str">
        <f t="shared" si="36"/>
        <v>اردیبهشت</v>
      </c>
      <c r="F503" s="151" t="s">
        <v>168</v>
      </c>
      <c r="G503" s="244" t="s">
        <v>484</v>
      </c>
      <c r="H503" s="247" t="s">
        <v>390</v>
      </c>
      <c r="I503" s="162" t="s">
        <v>490</v>
      </c>
      <c r="J503" s="251">
        <v>1</v>
      </c>
      <c r="K503" s="254">
        <v>920000</v>
      </c>
      <c r="L503" s="255">
        <f t="shared" si="35"/>
        <v>920000</v>
      </c>
      <c r="M503" s="257">
        <v>10400000</v>
      </c>
      <c r="N503" s="262" t="s">
        <v>346</v>
      </c>
      <c r="O5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03" s="262"/>
      <c r="Q503" s="264" t="str" cm="1">
        <f t="array" ref="Q503">IF(T[[#This Row],[نوع عملیات]]="فروش", _xlfn.XLOOKUP(T[[#This Row],[کالا]], _xlfn._xlws.FILTER(T[کالا], T[نوع عملیات]="خرید"), _xlfn._xlws.FILTER(T[فروشنده / مشتری], T[نوع عملیات]="خرید")), "")</f>
        <v/>
      </c>
    </row>
    <row r="504" spans="2:17" ht="16.5" x14ac:dyDescent="0.75">
      <c r="B504" s="227">
        <v>4</v>
      </c>
      <c r="C504" s="150">
        <v>2</v>
      </c>
      <c r="D504" s="150">
        <v>26</v>
      </c>
      <c r="E504" s="150" t="str">
        <f t="shared" si="36"/>
        <v>اردیبهشت</v>
      </c>
      <c r="F504" s="151" t="s">
        <v>168</v>
      </c>
      <c r="G504" s="244" t="s">
        <v>515</v>
      </c>
      <c r="H504" s="247" t="s">
        <v>390</v>
      </c>
      <c r="I504" s="162" t="s">
        <v>490</v>
      </c>
      <c r="J504" s="251">
        <v>4</v>
      </c>
      <c r="K504" s="254">
        <v>1080000</v>
      </c>
      <c r="L504" s="255">
        <f t="shared" si="35"/>
        <v>4320000</v>
      </c>
      <c r="M504" s="257"/>
      <c r="N504" s="262" t="s">
        <v>518</v>
      </c>
      <c r="O5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04" s="262"/>
      <c r="Q504" s="264" t="str" cm="1">
        <f t="array" ref="Q504">IF(T[[#This Row],[نوع عملیات]]="فروش", _xlfn.XLOOKUP(T[[#This Row],[کالا]], _xlfn._xlws.FILTER(T[کالا], T[نوع عملیات]="خرید"), _xlfn._xlws.FILTER(T[فروشنده / مشتری], T[نوع عملیات]="خرید")), "")</f>
        <v/>
      </c>
    </row>
    <row r="505" spans="2:17" ht="16.5" x14ac:dyDescent="0.75">
      <c r="B505" s="227">
        <v>4</v>
      </c>
      <c r="C505" s="150">
        <v>2</v>
      </c>
      <c r="D505" s="150">
        <v>26</v>
      </c>
      <c r="E505" s="150" t="str">
        <f t="shared" ref="E505:E536" si="37">CHOOSE(C505, "فروردین", "اردیبهشت", "خرداد", "تیر", "مرداد", "شهریور", "مهر", "آبان", "آذر", "دی", "بهمن", "اسفند")</f>
        <v>اردیبهشت</v>
      </c>
      <c r="F505" s="151" t="s">
        <v>168</v>
      </c>
      <c r="G505" s="244" t="s">
        <v>516</v>
      </c>
      <c r="H505" s="247" t="s">
        <v>390</v>
      </c>
      <c r="I505" s="162" t="s">
        <v>490</v>
      </c>
      <c r="J505" s="251">
        <v>2</v>
      </c>
      <c r="K505" s="254">
        <v>671000</v>
      </c>
      <c r="L505" s="255">
        <f t="shared" si="35"/>
        <v>1342000</v>
      </c>
      <c r="M505" s="257">
        <v>5662000</v>
      </c>
      <c r="N505" s="262" t="s">
        <v>518</v>
      </c>
      <c r="O5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05" s="262"/>
      <c r="Q505" s="264" t="str" cm="1">
        <f t="array" ref="Q505">IF(T[[#This Row],[نوع عملیات]]="فروش", _xlfn.XLOOKUP(T[[#This Row],[کالا]], _xlfn._xlws.FILTER(T[کالا], T[نوع عملیات]="خرید"), _xlfn._xlws.FILTER(T[فروشنده / مشتری], T[نوع عملیات]="خرید")), "")</f>
        <v/>
      </c>
    </row>
    <row r="506" spans="2:17" ht="16.5" x14ac:dyDescent="0.75">
      <c r="B506" s="227">
        <v>4</v>
      </c>
      <c r="C506" s="150">
        <v>2</v>
      </c>
      <c r="D506" s="150">
        <v>26</v>
      </c>
      <c r="E506" s="150" t="str">
        <f t="shared" si="37"/>
        <v>اردیبهشت</v>
      </c>
      <c r="F506" s="151" t="s">
        <v>168</v>
      </c>
      <c r="G506" s="244" t="s">
        <v>468</v>
      </c>
      <c r="H506" s="247" t="s">
        <v>390</v>
      </c>
      <c r="I506" s="162" t="s">
        <v>490</v>
      </c>
      <c r="J506" s="251">
        <v>16</v>
      </c>
      <c r="K506" s="254">
        <v>148000</v>
      </c>
      <c r="L506" s="255">
        <f t="shared" si="35"/>
        <v>2368000</v>
      </c>
      <c r="M506" s="257">
        <v>2368000</v>
      </c>
      <c r="N506" s="262" t="s">
        <v>518</v>
      </c>
      <c r="O5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06" s="262"/>
      <c r="Q506" s="264" t="str" cm="1">
        <f t="array" ref="Q506">IF(T[[#This Row],[نوع عملیات]]="فروش", _xlfn.XLOOKUP(T[[#This Row],[کالا]], _xlfn._xlws.FILTER(T[کالا], T[نوع عملیات]="خرید"), _xlfn._xlws.FILTER(T[فروشنده / مشتری], T[نوع عملیات]="خرید")), "")</f>
        <v/>
      </c>
    </row>
    <row r="507" spans="2:17" ht="16.5" hidden="1" x14ac:dyDescent="0.75">
      <c r="B507" s="227">
        <v>4</v>
      </c>
      <c r="C507" s="150">
        <v>2</v>
      </c>
      <c r="D507" s="150">
        <v>27</v>
      </c>
      <c r="E507" s="150" t="str">
        <f t="shared" si="37"/>
        <v>اردیبهشت</v>
      </c>
      <c r="F507" s="151" t="s">
        <v>167</v>
      </c>
      <c r="G507" s="244" t="s">
        <v>486</v>
      </c>
      <c r="H507" s="247" t="s">
        <v>517</v>
      </c>
      <c r="I507" s="162"/>
      <c r="J507" s="251">
        <v>2</v>
      </c>
      <c r="K507" s="254">
        <v>2000000</v>
      </c>
      <c r="L507" s="255">
        <f t="shared" si="35"/>
        <v>4000000</v>
      </c>
      <c r="M507" s="257"/>
      <c r="N507" s="262"/>
      <c r="O5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902500</v>
      </c>
      <c r="P507" s="262"/>
      <c r="Q507" s="264" t="str" cm="1">
        <f t="array" ref="Q507">IF(T[[#This Row],[نوع عملیات]]="فروش", _xlfn.XLOOKUP(T[[#This Row],[کالا]], _xlfn._xlws.FILTER(T[کالا], T[نوع عملیات]="خرید"), _xlfn._xlws.FILTER(T[فروشنده / مشتری], T[نوع عملیات]="خرید")), "")</f>
        <v>عبدل آباد</v>
      </c>
    </row>
    <row r="508" spans="2:17" ht="16.5" hidden="1" x14ac:dyDescent="0.75">
      <c r="B508" s="227">
        <v>4</v>
      </c>
      <c r="C508" s="150">
        <v>2</v>
      </c>
      <c r="D508" s="150">
        <v>27</v>
      </c>
      <c r="E508" s="150" t="str">
        <f t="shared" si="37"/>
        <v>اردیبهشت</v>
      </c>
      <c r="F508" s="151" t="s">
        <v>167</v>
      </c>
      <c r="G508" s="244" t="s">
        <v>337</v>
      </c>
      <c r="H508" s="247" t="s">
        <v>517</v>
      </c>
      <c r="I508" s="162"/>
      <c r="J508" s="251">
        <v>1</v>
      </c>
      <c r="K508" s="254">
        <v>1800000</v>
      </c>
      <c r="L508" s="255">
        <f t="shared" si="35"/>
        <v>1800000</v>
      </c>
      <c r="M508" s="257"/>
      <c r="N508" s="262"/>
      <c r="O5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508" s="262"/>
      <c r="Q508" s="264" t="str" cm="1">
        <f t="array" ref="Q508">IF(T[[#This Row],[نوع عملیات]]="فروش", _xlfn.XLOOKUP(T[[#This Row],[کالا]], _xlfn._xlws.FILTER(T[کالا], T[نوع عملیات]="خرید"), _xlfn._xlws.FILTER(T[فروشنده / مشتری], T[نوع عملیات]="خرید")), "")</f>
        <v>دلگشا</v>
      </c>
    </row>
    <row r="509" spans="2:17" ht="16.5" hidden="1" x14ac:dyDescent="0.75">
      <c r="B509" s="227">
        <v>4</v>
      </c>
      <c r="C509" s="150">
        <v>2</v>
      </c>
      <c r="D509" s="150">
        <v>27</v>
      </c>
      <c r="E509" s="150" t="str">
        <f t="shared" si="37"/>
        <v>اردیبهشت</v>
      </c>
      <c r="F509" s="151" t="s">
        <v>167</v>
      </c>
      <c r="G509" s="244" t="s">
        <v>484</v>
      </c>
      <c r="H509" s="247" t="s">
        <v>517</v>
      </c>
      <c r="I509" s="162"/>
      <c r="J509" s="251">
        <v>1</v>
      </c>
      <c r="K509" s="254">
        <v>1400000</v>
      </c>
      <c r="L509" s="255">
        <f t="shared" si="35"/>
        <v>1400000</v>
      </c>
      <c r="M509" s="257"/>
      <c r="N509" s="262"/>
      <c r="O5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365555.5555555555</v>
      </c>
      <c r="P509" s="262"/>
      <c r="Q509" s="264" t="str" cm="1">
        <f t="array" ref="Q509">IF(T[[#This Row],[نوع عملیات]]="فروش", _xlfn.XLOOKUP(T[[#This Row],[کالا]], _xlfn._xlws.FILTER(T[کالا], T[نوع عملیات]="خرید"), _xlfn._xlws.FILTER(T[فروشنده / مشتری], T[نوع عملیات]="خرید")), "")</f>
        <v>عبدل آباد</v>
      </c>
    </row>
    <row r="510" spans="2:17" ht="16.5" hidden="1" x14ac:dyDescent="0.75">
      <c r="B510" s="227">
        <v>4</v>
      </c>
      <c r="C510" s="150">
        <v>2</v>
      </c>
      <c r="D510" s="150">
        <v>27</v>
      </c>
      <c r="E510" s="150" t="str">
        <f t="shared" si="37"/>
        <v>اردیبهشت</v>
      </c>
      <c r="F510" s="151" t="s">
        <v>167</v>
      </c>
      <c r="G510" s="244" t="s">
        <v>468</v>
      </c>
      <c r="H510" s="247" t="s">
        <v>517</v>
      </c>
      <c r="I510" s="162"/>
      <c r="J510" s="251">
        <v>4</v>
      </c>
      <c r="K510" s="254">
        <v>300000</v>
      </c>
      <c r="L510" s="255">
        <f t="shared" si="35"/>
        <v>1200000</v>
      </c>
      <c r="M510" s="257">
        <v>4000000</v>
      </c>
      <c r="N510" s="262" t="s">
        <v>346</v>
      </c>
      <c r="O5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608000</v>
      </c>
      <c r="P510" s="262"/>
      <c r="Q510" s="264" t="str" cm="1">
        <f t="array" ref="Q510">IF(T[[#This Row],[نوع عملیات]]="فروش", _xlfn.XLOOKUP(T[[#This Row],[کالا]], _xlfn._xlws.FILTER(T[کالا], T[نوع عملیات]="خرید"), _xlfn._xlws.FILTER(T[فروشنده / مشتری], T[نوع عملیات]="خرید")), "")</f>
        <v>سرای ملی</v>
      </c>
    </row>
    <row r="511" spans="2:17" ht="16.5" hidden="1" x14ac:dyDescent="0.75">
      <c r="B511" s="227">
        <v>4</v>
      </c>
      <c r="C511" s="150">
        <v>2</v>
      </c>
      <c r="D511" s="150">
        <v>27</v>
      </c>
      <c r="E511" s="150" t="str">
        <f t="shared" si="37"/>
        <v>اردیبهشت</v>
      </c>
      <c r="F511" s="151" t="s">
        <v>302</v>
      </c>
      <c r="G511" s="244"/>
      <c r="H511" s="247" t="s">
        <v>434</v>
      </c>
      <c r="I511" s="162"/>
      <c r="J511" s="251"/>
      <c r="K511" s="254"/>
      <c r="L511" s="255">
        <f t="shared" si="35"/>
        <v>0</v>
      </c>
      <c r="M511" s="257">
        <v>5000000</v>
      </c>
      <c r="N511" s="262" t="s">
        <v>346</v>
      </c>
      <c r="O5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11" s="262"/>
      <c r="Q511" s="264" t="str" cm="1">
        <f t="array" ref="Q511">IF(T[[#This Row],[نوع عملیات]]="فروش", _xlfn.XLOOKUP(T[[#This Row],[کالا]], _xlfn._xlws.FILTER(T[کالا], T[نوع عملیات]="خرید"), _xlfn._xlws.FILTER(T[فروشنده / مشتری], T[نوع عملیات]="خرید")), "")</f>
        <v/>
      </c>
    </row>
    <row r="512" spans="2:17" ht="16.5" hidden="1" x14ac:dyDescent="0.75">
      <c r="B512" s="227">
        <v>4</v>
      </c>
      <c r="C512" s="150">
        <v>2</v>
      </c>
      <c r="D512" s="150">
        <v>28</v>
      </c>
      <c r="E512" s="150" t="str">
        <f t="shared" si="37"/>
        <v>اردیبهشت</v>
      </c>
      <c r="F512" s="151" t="s">
        <v>167</v>
      </c>
      <c r="G512" s="244" t="s">
        <v>486</v>
      </c>
      <c r="H512" s="247" t="s">
        <v>618</v>
      </c>
      <c r="I512" s="162"/>
      <c r="J512" s="251">
        <v>1</v>
      </c>
      <c r="K512" s="254">
        <v>2000000</v>
      </c>
      <c r="L512" s="255">
        <f t="shared" si="35"/>
        <v>2000000</v>
      </c>
      <c r="M512" s="257"/>
      <c r="N512" s="262"/>
      <c r="O5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512" s="262"/>
      <c r="Q512" s="264" t="str" cm="1">
        <f t="array" ref="Q512">IF(T[[#This Row],[نوع عملیات]]="فروش", _xlfn.XLOOKUP(T[[#This Row],[کالا]], _xlfn._xlws.FILTER(T[کالا], T[نوع عملیات]="خرید"), _xlfn._xlws.FILTER(T[فروشنده / مشتری], T[نوع عملیات]="خرید")), "")</f>
        <v>عبدل آباد</v>
      </c>
    </row>
    <row r="513" spans="2:17" ht="16.5" hidden="1" x14ac:dyDescent="0.75">
      <c r="B513" s="227">
        <v>4</v>
      </c>
      <c r="C513" s="150">
        <v>2</v>
      </c>
      <c r="D513" s="150">
        <v>28</v>
      </c>
      <c r="E513" s="150" t="str">
        <f t="shared" si="37"/>
        <v>اردیبهشت</v>
      </c>
      <c r="F513" s="151" t="s">
        <v>167</v>
      </c>
      <c r="G513" s="244" t="s">
        <v>468</v>
      </c>
      <c r="H513" s="247" t="s">
        <v>419</v>
      </c>
      <c r="I513" s="162"/>
      <c r="J513" s="251">
        <v>3</v>
      </c>
      <c r="K513" s="254">
        <f>T[[#This Row],[قیمت کل]]/3</f>
        <v>333333.33333333331</v>
      </c>
      <c r="L513" s="255">
        <v>1000000</v>
      </c>
      <c r="M513" s="257"/>
      <c r="N513" s="262"/>
      <c r="O51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556000</v>
      </c>
      <c r="P513" s="262"/>
      <c r="Q513" s="264" t="str" cm="1">
        <f t="array" ref="Q513">IF(T[[#This Row],[نوع عملیات]]="فروش", _xlfn.XLOOKUP(T[[#This Row],[کالا]], _xlfn._xlws.FILTER(T[کالا], T[نوع عملیات]="خرید"), _xlfn._xlws.FILTER(T[فروشنده / مشتری], T[نوع عملیات]="خرید")), "")</f>
        <v>سرای ملی</v>
      </c>
    </row>
    <row r="514" spans="2:17" ht="16.5" hidden="1" x14ac:dyDescent="0.75">
      <c r="B514" s="227">
        <v>4</v>
      </c>
      <c r="C514" s="150">
        <v>2</v>
      </c>
      <c r="D514" s="150">
        <v>28</v>
      </c>
      <c r="E514" s="150" t="str">
        <f t="shared" si="37"/>
        <v>اردیبهشت</v>
      </c>
      <c r="F514" s="151" t="s">
        <v>167</v>
      </c>
      <c r="G514" s="244" t="s">
        <v>515</v>
      </c>
      <c r="H514" s="247" t="s">
        <v>519</v>
      </c>
      <c r="I514" s="162"/>
      <c r="J514" s="251">
        <v>1</v>
      </c>
      <c r="K514" s="254">
        <v>1200000</v>
      </c>
      <c r="L514" s="255">
        <f t="shared" ref="L514:L545" si="38">J514*K514</f>
        <v>1200000</v>
      </c>
      <c r="M514" s="257"/>
      <c r="N514" s="262"/>
      <c r="O5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120000</v>
      </c>
      <c r="P514" s="262"/>
      <c r="Q514" s="264" t="str" cm="1">
        <f t="array" ref="Q514">IF(T[[#This Row],[نوع عملیات]]="فروش", _xlfn.XLOOKUP(T[[#This Row],[کالا]], _xlfn._xlws.FILTER(T[کالا], T[نوع عملیات]="خرید"), _xlfn._xlws.FILTER(T[فروشنده / مشتری], T[نوع عملیات]="خرید")), "")</f>
        <v>عبدل آباد</v>
      </c>
    </row>
    <row r="515" spans="2:17" ht="16.5" hidden="1" x14ac:dyDescent="0.75">
      <c r="B515" s="227">
        <v>4</v>
      </c>
      <c r="C515" s="150">
        <v>2</v>
      </c>
      <c r="D515" s="150">
        <v>28</v>
      </c>
      <c r="E515" s="150" t="str">
        <f t="shared" si="37"/>
        <v>اردیبهشت</v>
      </c>
      <c r="F515" s="151" t="s">
        <v>167</v>
      </c>
      <c r="G515" s="244" t="s">
        <v>468</v>
      </c>
      <c r="H515" s="247" t="s">
        <v>211</v>
      </c>
      <c r="I515" s="162"/>
      <c r="J515" s="251">
        <v>2</v>
      </c>
      <c r="K515" s="254">
        <v>340000</v>
      </c>
      <c r="L515" s="255">
        <f t="shared" si="38"/>
        <v>680000</v>
      </c>
      <c r="M515" s="257">
        <v>680000</v>
      </c>
      <c r="N515" s="262" t="s">
        <v>299</v>
      </c>
      <c r="O51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384000</v>
      </c>
      <c r="P515" s="262"/>
      <c r="Q515" s="264" t="str" cm="1">
        <f t="array" ref="Q515">IF(T[[#This Row],[نوع عملیات]]="فروش", _xlfn.XLOOKUP(T[[#This Row],[کالا]], _xlfn._xlws.FILTER(T[کالا], T[نوع عملیات]="خرید"), _xlfn._xlws.FILTER(T[فروشنده / مشتری], T[نوع عملیات]="خرید")), "")</f>
        <v>سرای ملی</v>
      </c>
    </row>
    <row r="516" spans="2:17" ht="16.5" hidden="1" x14ac:dyDescent="0.75">
      <c r="B516" s="227">
        <v>4</v>
      </c>
      <c r="C516" s="150">
        <v>2</v>
      </c>
      <c r="D516" s="150">
        <v>28</v>
      </c>
      <c r="E516" s="150" t="str">
        <f t="shared" si="37"/>
        <v>اردیبهشت</v>
      </c>
      <c r="F516" s="151" t="s">
        <v>167</v>
      </c>
      <c r="G516" s="244" t="s">
        <v>515</v>
      </c>
      <c r="H516" s="247" t="s">
        <v>324</v>
      </c>
      <c r="I516" s="162"/>
      <c r="J516" s="251">
        <v>1</v>
      </c>
      <c r="K516" s="254">
        <v>1500000</v>
      </c>
      <c r="L516" s="255">
        <f t="shared" si="38"/>
        <v>1500000</v>
      </c>
      <c r="M516" s="257">
        <v>1000000</v>
      </c>
      <c r="N516" s="262" t="s">
        <v>299</v>
      </c>
      <c r="O51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16" s="262"/>
      <c r="Q516" s="264" t="str" cm="1">
        <f t="array" ref="Q516">IF(T[[#This Row],[نوع عملیات]]="فروش", _xlfn.XLOOKUP(T[[#This Row],[کالا]], _xlfn._xlws.FILTER(T[کالا], T[نوع عملیات]="خرید"), _xlfn._xlws.FILTER(T[فروشنده / مشتری], T[نوع عملیات]="خرید")), "")</f>
        <v>عبدل آباد</v>
      </c>
    </row>
    <row r="517" spans="2:17" ht="16.5" hidden="1" x14ac:dyDescent="0.75">
      <c r="B517" s="227">
        <v>4</v>
      </c>
      <c r="C517" s="150">
        <v>2</v>
      </c>
      <c r="D517" s="150">
        <v>28</v>
      </c>
      <c r="E517" s="150" t="str">
        <f t="shared" si="37"/>
        <v>اردیبهشت</v>
      </c>
      <c r="F517" s="151" t="s">
        <v>302</v>
      </c>
      <c r="G517" s="244"/>
      <c r="H517" s="247" t="s">
        <v>473</v>
      </c>
      <c r="I517" s="162"/>
      <c r="J517" s="251"/>
      <c r="K517" s="254"/>
      <c r="L517" s="255">
        <f t="shared" si="38"/>
        <v>0</v>
      </c>
      <c r="M517" s="257">
        <v>500000</v>
      </c>
      <c r="N517" s="262" t="s">
        <v>299</v>
      </c>
      <c r="O51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17" s="262"/>
      <c r="Q517" s="264" t="str" cm="1">
        <f t="array" ref="Q517">IF(T[[#This Row],[نوع عملیات]]="فروش", _xlfn.XLOOKUP(T[[#This Row],[کالا]], _xlfn._xlws.FILTER(T[کالا], T[نوع عملیات]="خرید"), _xlfn._xlws.FILTER(T[فروشنده / مشتری], T[نوع عملیات]="خرید")), "")</f>
        <v/>
      </c>
    </row>
    <row r="518" spans="2:17" ht="16.5" hidden="1" x14ac:dyDescent="0.75">
      <c r="B518" s="227">
        <v>4</v>
      </c>
      <c r="C518" s="150">
        <v>2</v>
      </c>
      <c r="D518" s="150">
        <v>29</v>
      </c>
      <c r="E518" s="150" t="str">
        <f t="shared" si="37"/>
        <v>اردیبهشت</v>
      </c>
      <c r="F518" s="151" t="s">
        <v>302</v>
      </c>
      <c r="G518" s="244"/>
      <c r="H518" s="247" t="s">
        <v>520</v>
      </c>
      <c r="I518" s="162"/>
      <c r="J518" s="251"/>
      <c r="K518" s="254"/>
      <c r="L518" s="255">
        <f t="shared" si="38"/>
        <v>0</v>
      </c>
      <c r="M518" s="257">
        <v>700000</v>
      </c>
      <c r="N518" s="262" t="s">
        <v>299</v>
      </c>
      <c r="O51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18" s="262"/>
      <c r="Q518" s="264" t="str" cm="1">
        <f t="array" ref="Q518">IF(T[[#This Row],[نوع عملیات]]="فروش", _xlfn.XLOOKUP(T[[#This Row],[کالا]], _xlfn._xlws.FILTER(T[کالا], T[نوع عملیات]="خرید"), _xlfn._xlws.FILTER(T[فروشنده / مشتری], T[نوع عملیات]="خرید")), "")</f>
        <v/>
      </c>
    </row>
    <row r="519" spans="2:17" ht="16.5" hidden="1" x14ac:dyDescent="0.75">
      <c r="B519" s="227">
        <v>4</v>
      </c>
      <c r="C519" s="150">
        <v>2</v>
      </c>
      <c r="D519" s="150">
        <v>29</v>
      </c>
      <c r="E519" s="150" t="str">
        <f t="shared" si="37"/>
        <v>اردیبهشت</v>
      </c>
      <c r="F519" s="151" t="s">
        <v>167</v>
      </c>
      <c r="G519" s="244" t="s">
        <v>468</v>
      </c>
      <c r="H519" s="247" t="s">
        <v>510</v>
      </c>
      <c r="I519" s="162"/>
      <c r="J519" s="251">
        <v>1</v>
      </c>
      <c r="K519" s="254">
        <v>300000</v>
      </c>
      <c r="L519" s="255">
        <f t="shared" si="38"/>
        <v>300000</v>
      </c>
      <c r="M519" s="257"/>
      <c r="N519" s="262"/>
      <c r="O51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519" s="262"/>
      <c r="Q519" s="264" t="str" cm="1">
        <f t="array" ref="Q519">IF(T[[#This Row],[نوع عملیات]]="فروش", _xlfn.XLOOKUP(T[[#This Row],[کالا]], _xlfn._xlws.FILTER(T[کالا], T[نوع عملیات]="خرید"), _xlfn._xlws.FILTER(T[فروشنده / مشتری], T[نوع عملیات]="خرید")), "")</f>
        <v>سرای ملی</v>
      </c>
    </row>
    <row r="520" spans="2:17" ht="16.5" hidden="1" x14ac:dyDescent="0.75">
      <c r="B520" s="227">
        <v>4</v>
      </c>
      <c r="C520" s="150">
        <v>2</v>
      </c>
      <c r="D520" s="150">
        <v>29</v>
      </c>
      <c r="E520" s="150" t="str">
        <f t="shared" si="37"/>
        <v>اردیبهشت</v>
      </c>
      <c r="F520" s="151" t="s">
        <v>167</v>
      </c>
      <c r="G520" s="244" t="s">
        <v>484</v>
      </c>
      <c r="H520" s="247" t="s">
        <v>510</v>
      </c>
      <c r="I520" s="162"/>
      <c r="J520" s="251">
        <v>1</v>
      </c>
      <c r="K520" s="254">
        <v>1400000</v>
      </c>
      <c r="L520" s="255">
        <f t="shared" si="38"/>
        <v>1400000</v>
      </c>
      <c r="M520" s="257"/>
      <c r="N520" s="262"/>
      <c r="O52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365555.5555555555</v>
      </c>
      <c r="P520" s="262"/>
      <c r="Q520" s="264" t="str" cm="1">
        <f t="array" ref="Q520">IF(T[[#This Row],[نوع عملیات]]="فروش", _xlfn.XLOOKUP(T[[#This Row],[کالا]], _xlfn._xlws.FILTER(T[کالا], T[نوع عملیات]="خرید"), _xlfn._xlws.FILTER(T[فروشنده / مشتری], T[نوع عملیات]="خرید")), "")</f>
        <v>عبدل آباد</v>
      </c>
    </row>
    <row r="521" spans="2:17" ht="16.5" hidden="1" x14ac:dyDescent="0.75">
      <c r="B521" s="227">
        <v>4</v>
      </c>
      <c r="C521" s="150">
        <v>2</v>
      </c>
      <c r="D521" s="150">
        <v>29</v>
      </c>
      <c r="E521" s="150" t="str">
        <f t="shared" si="37"/>
        <v>اردیبهشت</v>
      </c>
      <c r="F521" s="151" t="s">
        <v>302</v>
      </c>
      <c r="G521" s="244"/>
      <c r="H521" s="247" t="s">
        <v>538</v>
      </c>
      <c r="I521" s="162"/>
      <c r="J521" s="251"/>
      <c r="K521" s="254"/>
      <c r="L521" s="255">
        <f t="shared" si="38"/>
        <v>0</v>
      </c>
      <c r="M521" s="257">
        <v>1300000</v>
      </c>
      <c r="N521" s="262" t="s">
        <v>299</v>
      </c>
      <c r="O52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21" s="262"/>
      <c r="Q521" s="264" t="str" cm="1">
        <f t="array" ref="Q521">IF(T[[#This Row],[نوع عملیات]]="فروش", _xlfn.XLOOKUP(T[[#This Row],[کالا]], _xlfn._xlws.FILTER(T[کالا], T[نوع عملیات]="خرید"), _xlfn._xlws.FILTER(T[فروشنده / مشتری], T[نوع عملیات]="خرید")), "")</f>
        <v/>
      </c>
    </row>
    <row r="522" spans="2:17" ht="16.5" hidden="1" x14ac:dyDescent="0.75">
      <c r="B522" s="227">
        <v>4</v>
      </c>
      <c r="C522" s="150">
        <v>2</v>
      </c>
      <c r="D522" s="150">
        <v>29</v>
      </c>
      <c r="E522" s="150" t="str">
        <f t="shared" si="37"/>
        <v>اردیبهشت</v>
      </c>
      <c r="F522" s="151" t="s">
        <v>167</v>
      </c>
      <c r="G522" s="244" t="s">
        <v>515</v>
      </c>
      <c r="H522" s="247" t="s">
        <v>211</v>
      </c>
      <c r="I522" s="162"/>
      <c r="J522" s="251">
        <v>1</v>
      </c>
      <c r="K522" s="254">
        <v>1500000</v>
      </c>
      <c r="L522" s="255">
        <f t="shared" si="38"/>
        <v>1500000</v>
      </c>
      <c r="M522" s="257">
        <v>1500000</v>
      </c>
      <c r="N522" s="262" t="s">
        <v>299</v>
      </c>
      <c r="O52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22" s="262"/>
      <c r="Q522" s="264" t="str" cm="1">
        <f t="array" ref="Q522">IF(T[[#This Row],[نوع عملیات]]="فروش", _xlfn.XLOOKUP(T[[#This Row],[کالا]], _xlfn._xlws.FILTER(T[کالا], T[نوع عملیات]="خرید"), _xlfn._xlws.FILTER(T[فروشنده / مشتری], T[نوع عملیات]="خرید")), "")</f>
        <v>عبدل آباد</v>
      </c>
    </row>
    <row r="523" spans="2:17" ht="16.5" hidden="1" x14ac:dyDescent="0.75">
      <c r="B523" s="227">
        <v>4</v>
      </c>
      <c r="C523" s="150">
        <v>2</v>
      </c>
      <c r="D523" s="150">
        <v>29</v>
      </c>
      <c r="E523" s="150" t="str">
        <f t="shared" si="37"/>
        <v>اردیبهشت</v>
      </c>
      <c r="F523" s="151" t="s">
        <v>167</v>
      </c>
      <c r="G523" s="244" t="s">
        <v>464</v>
      </c>
      <c r="H523" s="247" t="s">
        <v>211</v>
      </c>
      <c r="I523" s="162"/>
      <c r="J523" s="251">
        <v>1</v>
      </c>
      <c r="K523" s="254">
        <v>2100000</v>
      </c>
      <c r="L523" s="255">
        <f t="shared" si="38"/>
        <v>2100000</v>
      </c>
      <c r="M523" s="257"/>
      <c r="N523" s="262"/>
      <c r="O52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1105000</v>
      </c>
      <c r="P523" s="262"/>
      <c r="Q523" s="264" t="str" cm="1">
        <f t="array" ref="Q523">IF(T[[#This Row],[نوع عملیات]]="فروش", _xlfn.XLOOKUP(T[[#This Row],[کالا]], _xlfn._xlws.FILTER(T[کالا], T[نوع عملیات]="خرید"), _xlfn._xlws.FILTER(T[فروشنده / مشتری], T[نوع عملیات]="خرید")), "")</f>
        <v>سرای ملی</v>
      </c>
    </row>
    <row r="524" spans="2:17" ht="16.5" hidden="1" x14ac:dyDescent="0.75">
      <c r="B524" s="227">
        <v>4</v>
      </c>
      <c r="C524" s="150">
        <v>2</v>
      </c>
      <c r="D524" s="150">
        <v>29</v>
      </c>
      <c r="E524" s="150" t="str">
        <f t="shared" si="37"/>
        <v>اردیبهشت</v>
      </c>
      <c r="F524" s="151" t="s">
        <v>167</v>
      </c>
      <c r="G524" s="244" t="s">
        <v>469</v>
      </c>
      <c r="H524" s="247" t="s">
        <v>211</v>
      </c>
      <c r="I524" s="162"/>
      <c r="J524" s="251">
        <v>1</v>
      </c>
      <c r="K524" s="254">
        <v>1200000</v>
      </c>
      <c r="L524" s="255">
        <f t="shared" si="38"/>
        <v>1200000</v>
      </c>
      <c r="M524" s="257"/>
      <c r="N524" s="262"/>
      <c r="O52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603333.33333333337</v>
      </c>
      <c r="P524" s="262"/>
      <c r="Q524" s="264" t="str" cm="1">
        <f t="array" ref="Q524">IF(T[[#This Row],[نوع عملیات]]="فروش", _xlfn.XLOOKUP(T[[#This Row],[کالا]], _xlfn._xlws.FILTER(T[کالا], T[نوع عملیات]="خرید"), _xlfn._xlws.FILTER(T[فروشنده / مشتری], T[نوع عملیات]="خرید")), "")</f>
        <v>سرای ملی</v>
      </c>
    </row>
    <row r="525" spans="2:17" ht="16.5" hidden="1" x14ac:dyDescent="0.75">
      <c r="B525" s="227">
        <v>4</v>
      </c>
      <c r="C525" s="150">
        <v>2</v>
      </c>
      <c r="D525" s="150">
        <v>29</v>
      </c>
      <c r="E525" s="150" t="str">
        <f t="shared" si="37"/>
        <v>اردیبهشت</v>
      </c>
      <c r="F525" s="151" t="s">
        <v>167</v>
      </c>
      <c r="G525" s="244" t="s">
        <v>468</v>
      </c>
      <c r="H525" s="247" t="s">
        <v>211</v>
      </c>
      <c r="I525" s="162"/>
      <c r="J525" s="251">
        <v>2</v>
      </c>
      <c r="K525" s="254">
        <v>350000</v>
      </c>
      <c r="L525" s="255">
        <f t="shared" si="38"/>
        <v>700000</v>
      </c>
      <c r="M525" s="257">
        <v>4000000</v>
      </c>
      <c r="N525" s="262" t="s">
        <v>346</v>
      </c>
      <c r="O52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404000</v>
      </c>
      <c r="P525" s="262"/>
      <c r="Q525" s="264" t="str" cm="1">
        <f t="array" ref="Q525">IF(T[[#This Row],[نوع عملیات]]="فروش", _xlfn.XLOOKUP(T[[#This Row],[کالا]], _xlfn._xlws.FILTER(T[کالا], T[نوع عملیات]="خرید"), _xlfn._xlws.FILTER(T[فروشنده / مشتری], T[نوع عملیات]="خرید")), "")</f>
        <v>سرای ملی</v>
      </c>
    </row>
    <row r="526" spans="2:17" ht="16.5" hidden="1" x14ac:dyDescent="0.75">
      <c r="B526" s="227">
        <v>4</v>
      </c>
      <c r="C526" s="150">
        <v>2</v>
      </c>
      <c r="D526" s="150">
        <v>29</v>
      </c>
      <c r="E526" s="150" t="str">
        <f t="shared" si="37"/>
        <v>اردیبهشت</v>
      </c>
      <c r="F526" s="151" t="s">
        <v>167</v>
      </c>
      <c r="G526" s="244" t="s">
        <v>457</v>
      </c>
      <c r="H526" s="247" t="s">
        <v>539</v>
      </c>
      <c r="I526" s="162"/>
      <c r="J526" s="251">
        <v>1</v>
      </c>
      <c r="K526" s="254">
        <v>1400000</v>
      </c>
      <c r="L526" s="255">
        <f t="shared" si="38"/>
        <v>1400000</v>
      </c>
      <c r="M526" s="257"/>
      <c r="N526" s="262"/>
      <c r="O52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526" s="262"/>
      <c r="Q526" s="264" t="str" cm="1">
        <f t="array" ref="Q526">IF(T[[#This Row],[نوع عملیات]]="فروش", _xlfn.XLOOKUP(T[[#This Row],[کالا]], _xlfn._xlws.FILTER(T[کالا], T[نوع عملیات]="خرید"), _xlfn._xlws.FILTER(T[فروشنده / مشتری], T[نوع عملیات]="خرید")), "")</f>
        <v>عبدل آباد</v>
      </c>
    </row>
    <row r="527" spans="2:17" ht="16.5" hidden="1" x14ac:dyDescent="0.75">
      <c r="B527" s="227">
        <v>4</v>
      </c>
      <c r="C527" s="150">
        <v>2</v>
      </c>
      <c r="D527" s="150">
        <v>29</v>
      </c>
      <c r="E527" s="150" t="str">
        <f t="shared" si="37"/>
        <v>اردیبهشت</v>
      </c>
      <c r="F527" s="151" t="s">
        <v>167</v>
      </c>
      <c r="G527" s="244" t="s">
        <v>515</v>
      </c>
      <c r="H527" s="247" t="s">
        <v>521</v>
      </c>
      <c r="I527" s="162"/>
      <c r="J527" s="251">
        <v>1</v>
      </c>
      <c r="K527" s="254">
        <v>1500000</v>
      </c>
      <c r="L527" s="255">
        <f t="shared" si="38"/>
        <v>1500000</v>
      </c>
      <c r="M527" s="257"/>
      <c r="N527" s="262"/>
      <c r="O52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27" s="262"/>
      <c r="Q527" s="264" t="str" cm="1">
        <f t="array" ref="Q527">IF(T[[#This Row],[نوع عملیات]]="فروش", _xlfn.XLOOKUP(T[[#This Row],[کالا]], _xlfn._xlws.FILTER(T[کالا], T[نوع عملیات]="خرید"), _xlfn._xlws.FILTER(T[فروشنده / مشتری], T[نوع عملیات]="خرید")), "")</f>
        <v>عبدل آباد</v>
      </c>
    </row>
    <row r="528" spans="2:17" ht="16.5" hidden="1" x14ac:dyDescent="0.75">
      <c r="B528" s="227">
        <v>4</v>
      </c>
      <c r="C528" s="150">
        <v>2</v>
      </c>
      <c r="D528" s="150">
        <v>29</v>
      </c>
      <c r="E528" s="150" t="str">
        <f t="shared" si="37"/>
        <v>اردیبهشت</v>
      </c>
      <c r="F528" s="151" t="s">
        <v>167</v>
      </c>
      <c r="G528" s="244" t="s">
        <v>426</v>
      </c>
      <c r="H528" s="247" t="s">
        <v>521</v>
      </c>
      <c r="I528" s="162"/>
      <c r="J528" s="251">
        <v>1</v>
      </c>
      <c r="K528" s="254">
        <v>1100000</v>
      </c>
      <c r="L528" s="255">
        <f t="shared" si="38"/>
        <v>1100000</v>
      </c>
      <c r="M528" s="257"/>
      <c r="N528" s="262"/>
      <c r="O52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400000</v>
      </c>
      <c r="P528" s="262"/>
      <c r="Q528" s="264" t="str" cm="1">
        <f t="array" ref="Q528">IF(T[[#This Row],[نوع عملیات]]="فروش", _xlfn.XLOOKUP(T[[#This Row],[کالا]], _xlfn._xlws.FILTER(T[کالا], T[نوع عملیات]="خرید"), _xlfn._xlws.FILTER(T[فروشنده / مشتری], T[نوع عملیات]="خرید")), "")</f>
        <v>عبدل آباد</v>
      </c>
    </row>
    <row r="529" spans="2:17" ht="16.5" hidden="1" x14ac:dyDescent="0.75">
      <c r="B529" s="227">
        <v>4</v>
      </c>
      <c r="C529" s="150">
        <v>2</v>
      </c>
      <c r="D529" s="150">
        <v>29</v>
      </c>
      <c r="E529" s="150" t="str">
        <f t="shared" si="37"/>
        <v>اردیبهشت</v>
      </c>
      <c r="F529" s="151" t="s">
        <v>167</v>
      </c>
      <c r="G529" s="244" t="s">
        <v>472</v>
      </c>
      <c r="H529" s="247" t="s">
        <v>308</v>
      </c>
      <c r="I529" s="162"/>
      <c r="J529" s="251">
        <v>1</v>
      </c>
      <c r="K529" s="254">
        <v>1500000</v>
      </c>
      <c r="L529" s="255">
        <f t="shared" si="38"/>
        <v>1500000</v>
      </c>
      <c r="M529" s="257"/>
      <c r="N529" s="262"/>
      <c r="O52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760000</v>
      </c>
      <c r="P529" s="262"/>
      <c r="Q529" s="264" t="str" cm="1">
        <f t="array" ref="Q529">IF(T[[#This Row],[نوع عملیات]]="فروش", _xlfn.XLOOKUP(T[[#This Row],[کالا]], _xlfn._xlws.FILTER(T[کالا], T[نوع عملیات]="خرید"), _xlfn._xlws.FILTER(T[فروشنده / مشتری], T[نوع عملیات]="خرید")), "")</f>
        <v>سرای ملی</v>
      </c>
    </row>
    <row r="530" spans="2:17" ht="16.5" hidden="1" x14ac:dyDescent="0.75">
      <c r="B530" s="227">
        <v>4</v>
      </c>
      <c r="C530" s="150">
        <v>2</v>
      </c>
      <c r="D530" s="150">
        <v>29</v>
      </c>
      <c r="E530" s="150" t="str">
        <f t="shared" si="37"/>
        <v>اردیبهشت</v>
      </c>
      <c r="F530" s="151" t="s">
        <v>167</v>
      </c>
      <c r="G530" s="244" t="s">
        <v>469</v>
      </c>
      <c r="H530" s="247" t="s">
        <v>308</v>
      </c>
      <c r="I530" s="162"/>
      <c r="J530" s="251">
        <v>1</v>
      </c>
      <c r="K530" s="254">
        <v>1000000</v>
      </c>
      <c r="L530" s="255">
        <f t="shared" si="38"/>
        <v>1000000</v>
      </c>
      <c r="M530" s="257"/>
      <c r="N530" s="262"/>
      <c r="O53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403333.33333333337</v>
      </c>
      <c r="P530" s="262"/>
      <c r="Q530" s="264" t="str" cm="1">
        <f t="array" ref="Q530">IF(T[[#This Row],[نوع عملیات]]="فروش", _xlfn.XLOOKUP(T[[#This Row],[کالا]], _xlfn._xlws.FILTER(T[کالا], T[نوع عملیات]="خرید"), _xlfn._xlws.FILTER(T[فروشنده / مشتری], T[نوع عملیات]="خرید")), "")</f>
        <v>سرای ملی</v>
      </c>
    </row>
    <row r="531" spans="2:17" ht="16.5" hidden="1" x14ac:dyDescent="0.75">
      <c r="B531" s="227">
        <v>4</v>
      </c>
      <c r="C531" s="150">
        <v>2</v>
      </c>
      <c r="D531" s="150">
        <v>29</v>
      </c>
      <c r="E531" s="150" t="str">
        <f t="shared" si="37"/>
        <v>اردیبهشت</v>
      </c>
      <c r="F531" s="151" t="s">
        <v>167</v>
      </c>
      <c r="G531" s="244" t="s">
        <v>464</v>
      </c>
      <c r="H531" s="247" t="s">
        <v>308</v>
      </c>
      <c r="I531" s="162"/>
      <c r="J531" s="251">
        <v>1</v>
      </c>
      <c r="K531" s="254">
        <v>1900000</v>
      </c>
      <c r="L531" s="255">
        <f t="shared" si="38"/>
        <v>1900000</v>
      </c>
      <c r="M531" s="257">
        <v>1500000</v>
      </c>
      <c r="N531" s="262" t="s">
        <v>299</v>
      </c>
      <c r="O53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905000</v>
      </c>
      <c r="P531" s="262"/>
      <c r="Q531" s="264" t="str" cm="1">
        <f t="array" ref="Q531">IF(T[[#This Row],[نوع عملیات]]="فروش", _xlfn.XLOOKUP(T[[#This Row],[کالا]], _xlfn._xlws.FILTER(T[کالا], T[نوع عملیات]="خرید"), _xlfn._xlws.FILTER(T[فروشنده / مشتری], T[نوع عملیات]="خرید")), "")</f>
        <v>سرای ملی</v>
      </c>
    </row>
    <row r="532" spans="2:17" ht="16.5" hidden="1" x14ac:dyDescent="0.75">
      <c r="B532" s="227">
        <v>4</v>
      </c>
      <c r="C532" s="150">
        <v>2</v>
      </c>
      <c r="D532" s="150">
        <v>30</v>
      </c>
      <c r="E532" s="150" t="str">
        <f t="shared" si="37"/>
        <v>اردیبهشت</v>
      </c>
      <c r="F532" s="151" t="s">
        <v>167</v>
      </c>
      <c r="G532" s="244" t="s">
        <v>468</v>
      </c>
      <c r="H532" s="247" t="s">
        <v>211</v>
      </c>
      <c r="I532" s="162"/>
      <c r="J532" s="251">
        <v>1</v>
      </c>
      <c r="K532" s="254">
        <v>350000</v>
      </c>
      <c r="L532" s="255">
        <f t="shared" si="38"/>
        <v>350000</v>
      </c>
      <c r="M532" s="257">
        <v>350000</v>
      </c>
      <c r="N532" s="262" t="s">
        <v>299</v>
      </c>
      <c r="O53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532" s="262"/>
      <c r="Q532" s="264" t="str" cm="1">
        <f t="array" ref="Q532">IF(T[[#This Row],[نوع عملیات]]="فروش", _xlfn.XLOOKUP(T[[#This Row],[کالا]], _xlfn._xlws.FILTER(T[کالا], T[نوع عملیات]="خرید"), _xlfn._xlws.FILTER(T[فروشنده / مشتری], T[نوع عملیات]="خرید")), "")</f>
        <v>سرای ملی</v>
      </c>
    </row>
    <row r="533" spans="2:17" ht="16.5" hidden="1" x14ac:dyDescent="0.75">
      <c r="B533" s="227">
        <v>4</v>
      </c>
      <c r="C533" s="150">
        <v>2</v>
      </c>
      <c r="D533" s="150">
        <v>30</v>
      </c>
      <c r="E533" s="150" t="str">
        <f t="shared" si="37"/>
        <v>اردیبهشت</v>
      </c>
      <c r="F533" s="151" t="s">
        <v>167</v>
      </c>
      <c r="G533" s="244" t="s">
        <v>388</v>
      </c>
      <c r="H533" s="247" t="s">
        <v>473</v>
      </c>
      <c r="I533" s="162"/>
      <c r="J533" s="251">
        <v>1</v>
      </c>
      <c r="K533" s="254">
        <v>1300000</v>
      </c>
      <c r="L533" s="255">
        <f t="shared" si="38"/>
        <v>1300000</v>
      </c>
      <c r="M533" s="257"/>
      <c r="N533" s="262"/>
      <c r="O53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33" s="262"/>
      <c r="Q533" s="264" t="str" cm="1">
        <f t="array" ref="Q533">IF(T[[#This Row],[نوع عملیات]]="فروش", _xlfn.XLOOKUP(T[[#This Row],[کالا]], _xlfn._xlws.FILTER(T[کالا], T[نوع عملیات]="خرید"), _xlfn._xlws.FILTER(T[فروشنده / مشتری], T[نوع عملیات]="خرید")), "")</f>
        <v>عبدل آباد</v>
      </c>
    </row>
    <row r="534" spans="2:17" ht="16.5" hidden="1" x14ac:dyDescent="0.75">
      <c r="B534" s="227">
        <v>4</v>
      </c>
      <c r="C534" s="150">
        <v>2</v>
      </c>
      <c r="D534" s="150">
        <v>30</v>
      </c>
      <c r="E534" s="150" t="str">
        <f t="shared" si="37"/>
        <v>اردیبهشت</v>
      </c>
      <c r="F534" s="151" t="s">
        <v>167</v>
      </c>
      <c r="G534" s="244" t="s">
        <v>219</v>
      </c>
      <c r="H534" s="247" t="s">
        <v>473</v>
      </c>
      <c r="I534" s="162"/>
      <c r="J534" s="251">
        <v>1</v>
      </c>
      <c r="K534" s="254">
        <v>400000</v>
      </c>
      <c r="L534" s="255">
        <f t="shared" si="38"/>
        <v>400000</v>
      </c>
      <c r="M534" s="257">
        <v>500000</v>
      </c>
      <c r="N534" s="262" t="s">
        <v>299</v>
      </c>
      <c r="O53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534" s="262"/>
      <c r="Q534" s="264" t="str" cm="1">
        <f t="array" ref="Q534">IF(T[[#This Row],[نوع عملیات]]="فروش", _xlfn.XLOOKUP(T[[#This Row],[کالا]], _xlfn._xlws.FILTER(T[کالا], T[نوع عملیات]="خرید"), _xlfn._xlws.FILTER(T[فروشنده / مشتری], T[نوع عملیات]="خرید")), "")</f>
        <v>مهناز - تولیدی</v>
      </c>
    </row>
    <row r="535" spans="2:17" ht="16.5" hidden="1" x14ac:dyDescent="0.75">
      <c r="B535" s="227">
        <v>4</v>
      </c>
      <c r="C535" s="150">
        <v>2</v>
      </c>
      <c r="D535" s="150">
        <v>30</v>
      </c>
      <c r="E535" s="150" t="str">
        <f t="shared" si="37"/>
        <v>اردیبهشت</v>
      </c>
      <c r="F535" s="151" t="s">
        <v>167</v>
      </c>
      <c r="G535" s="244" t="s">
        <v>486</v>
      </c>
      <c r="H535" s="247" t="s">
        <v>416</v>
      </c>
      <c r="I535" s="162"/>
      <c r="J535" s="251">
        <v>1</v>
      </c>
      <c r="K535" s="254">
        <v>2000000</v>
      </c>
      <c r="L535" s="255">
        <f t="shared" si="38"/>
        <v>2000000</v>
      </c>
      <c r="M535" s="257"/>
      <c r="N535" s="262"/>
      <c r="O53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535" s="262"/>
      <c r="Q535" s="264" t="str" cm="1">
        <f t="array" ref="Q535">IF(T[[#This Row],[نوع عملیات]]="فروش", _xlfn.XLOOKUP(T[[#This Row],[کالا]], _xlfn._xlws.FILTER(T[کالا], T[نوع عملیات]="خرید"), _xlfn._xlws.FILTER(T[فروشنده / مشتری], T[نوع عملیات]="خرید")), "")</f>
        <v>عبدل آباد</v>
      </c>
    </row>
    <row r="536" spans="2:17" ht="16.5" hidden="1" x14ac:dyDescent="0.75">
      <c r="B536" s="227">
        <v>4</v>
      </c>
      <c r="C536" s="150">
        <v>2</v>
      </c>
      <c r="D536" s="150">
        <v>20</v>
      </c>
      <c r="E536" s="150" t="str">
        <f t="shared" si="37"/>
        <v>اردیبهشت</v>
      </c>
      <c r="F536" s="151" t="s">
        <v>167</v>
      </c>
      <c r="G536" s="244" t="s">
        <v>388</v>
      </c>
      <c r="H536" s="247" t="s">
        <v>624</v>
      </c>
      <c r="I536" s="162"/>
      <c r="J536" s="251">
        <v>1</v>
      </c>
      <c r="K536" s="254">
        <v>1300000</v>
      </c>
      <c r="L536" s="255">
        <f t="shared" si="38"/>
        <v>1300000</v>
      </c>
      <c r="M536" s="257">
        <v>1300000</v>
      </c>
      <c r="N536" s="262" t="s">
        <v>346</v>
      </c>
      <c r="O53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36" s="262"/>
      <c r="Q536" s="264" t="str" cm="1">
        <f t="array" ref="Q536">IF(T[[#This Row],[نوع عملیات]]="فروش", _xlfn.XLOOKUP(T[[#This Row],[کالا]], _xlfn._xlws.FILTER(T[کالا], T[نوع عملیات]="خرید"), _xlfn._xlws.FILTER(T[فروشنده / مشتری], T[نوع عملیات]="خرید")), "")</f>
        <v>عبدل آباد</v>
      </c>
    </row>
    <row r="537" spans="2:17" ht="16.5" hidden="1" x14ac:dyDescent="0.75">
      <c r="B537" s="227">
        <v>4</v>
      </c>
      <c r="C537" s="150">
        <v>2</v>
      </c>
      <c r="D537" s="150">
        <v>31</v>
      </c>
      <c r="E537" s="150" t="str">
        <f t="shared" ref="E537:E559" si="39">CHOOSE(C537, "فروردین", "اردیبهشت", "خرداد", "تیر", "مرداد", "شهریور", "مهر", "آبان", "آذر", "دی", "بهمن", "اسفند")</f>
        <v>اردیبهشت</v>
      </c>
      <c r="F537" s="151" t="s">
        <v>168</v>
      </c>
      <c r="G537" s="244" t="s">
        <v>525</v>
      </c>
      <c r="H537" s="247" t="s">
        <v>524</v>
      </c>
      <c r="I537" s="162" t="s">
        <v>530</v>
      </c>
      <c r="J537" s="251">
        <v>16</v>
      </c>
      <c r="K537" s="254">
        <v>680000</v>
      </c>
      <c r="L537" s="255">
        <f t="shared" si="38"/>
        <v>10880000</v>
      </c>
      <c r="M537" s="257"/>
      <c r="N537" s="262"/>
      <c r="O53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37" s="262"/>
      <c r="Q537" s="264" t="str" cm="1">
        <f t="array" ref="Q537">IF(T[[#This Row],[نوع عملیات]]="فروش", _xlfn.XLOOKUP(T[[#This Row],[کالا]], _xlfn._xlws.FILTER(T[کالا], T[نوع عملیات]="خرید"), _xlfn._xlws.FILTER(T[فروشنده / مشتری], T[نوع عملیات]="خرید")), "")</f>
        <v/>
      </c>
    </row>
    <row r="538" spans="2:17" ht="16.5" hidden="1" x14ac:dyDescent="0.75">
      <c r="B538" s="227">
        <v>4</v>
      </c>
      <c r="C538" s="150">
        <v>2</v>
      </c>
      <c r="D538" s="150">
        <v>31</v>
      </c>
      <c r="E538" s="150" t="str">
        <f t="shared" si="39"/>
        <v>اردیبهشت</v>
      </c>
      <c r="F538" s="151" t="s">
        <v>168</v>
      </c>
      <c r="G538" s="244" t="s">
        <v>526</v>
      </c>
      <c r="H538" s="247" t="s">
        <v>524</v>
      </c>
      <c r="I538" s="162" t="s">
        <v>530</v>
      </c>
      <c r="J538" s="251">
        <v>2</v>
      </c>
      <c r="K538" s="254">
        <v>500000</v>
      </c>
      <c r="L538" s="255">
        <f t="shared" si="38"/>
        <v>1000000</v>
      </c>
      <c r="M538" s="257"/>
      <c r="N538" s="262"/>
      <c r="O53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38" s="262"/>
      <c r="Q538" s="264" t="str" cm="1">
        <f t="array" ref="Q538">IF(T[[#This Row],[نوع عملیات]]="فروش", _xlfn.XLOOKUP(T[[#This Row],[کالا]], _xlfn._xlws.FILTER(T[کالا], T[نوع عملیات]="خرید"), _xlfn._xlws.FILTER(T[فروشنده / مشتری], T[نوع عملیات]="خرید")), "")</f>
        <v/>
      </c>
    </row>
    <row r="539" spans="2:17" ht="16.5" hidden="1" x14ac:dyDescent="0.75">
      <c r="B539" s="227">
        <v>4</v>
      </c>
      <c r="C539" s="150">
        <v>2</v>
      </c>
      <c r="D539" s="150">
        <v>31</v>
      </c>
      <c r="E539" s="150" t="str">
        <f t="shared" si="39"/>
        <v>اردیبهشت</v>
      </c>
      <c r="F539" s="151" t="s">
        <v>168</v>
      </c>
      <c r="G539" s="244" t="s">
        <v>522</v>
      </c>
      <c r="H539" s="247" t="s">
        <v>524</v>
      </c>
      <c r="I539" s="162" t="s">
        <v>530</v>
      </c>
      <c r="J539" s="251">
        <v>14</v>
      </c>
      <c r="K539" s="254">
        <v>500000</v>
      </c>
      <c r="L539" s="255">
        <f t="shared" si="38"/>
        <v>7000000</v>
      </c>
      <c r="M539" s="257"/>
      <c r="N539" s="262"/>
      <c r="O53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39" s="262"/>
      <c r="Q539" s="264" t="str" cm="1">
        <f t="array" ref="Q539">IF(T[[#This Row],[نوع عملیات]]="فروش", _xlfn.XLOOKUP(T[[#This Row],[کالا]], _xlfn._xlws.FILTER(T[کالا], T[نوع عملیات]="خرید"), _xlfn._xlws.FILTER(T[فروشنده / مشتری], T[نوع عملیات]="خرید")), "")</f>
        <v/>
      </c>
    </row>
    <row r="540" spans="2:17" ht="16.5" hidden="1" x14ac:dyDescent="0.75">
      <c r="B540" s="227">
        <v>4</v>
      </c>
      <c r="C540" s="150">
        <v>2</v>
      </c>
      <c r="D540" s="150">
        <v>31</v>
      </c>
      <c r="E540" s="150" t="str">
        <f t="shared" si="39"/>
        <v>اردیبهشت</v>
      </c>
      <c r="F540" s="151" t="s">
        <v>168</v>
      </c>
      <c r="G540" s="244" t="s">
        <v>527</v>
      </c>
      <c r="H540" s="247" t="s">
        <v>524</v>
      </c>
      <c r="I540" s="162" t="s">
        <v>530</v>
      </c>
      <c r="J540" s="251">
        <v>4</v>
      </c>
      <c r="K540" s="254">
        <v>350000</v>
      </c>
      <c r="L540" s="255">
        <f t="shared" si="38"/>
        <v>1400000</v>
      </c>
      <c r="M540" s="257"/>
      <c r="N540" s="262"/>
      <c r="O5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40" s="262"/>
      <c r="Q540" s="264" t="str" cm="1">
        <f t="array" ref="Q540">IF(T[[#This Row],[نوع عملیات]]="فروش", _xlfn.XLOOKUP(T[[#This Row],[کالا]], _xlfn._xlws.FILTER(T[کالا], T[نوع عملیات]="خرید"), _xlfn._xlws.FILTER(T[فروشنده / مشتری], T[نوع عملیات]="خرید")), "")</f>
        <v/>
      </c>
    </row>
    <row r="541" spans="2:17" ht="16.5" hidden="1" x14ac:dyDescent="0.75">
      <c r="B541" s="227">
        <v>4</v>
      </c>
      <c r="C541" s="150">
        <v>2</v>
      </c>
      <c r="D541" s="150">
        <v>31</v>
      </c>
      <c r="E541" s="150" t="str">
        <f t="shared" si="39"/>
        <v>اردیبهشت</v>
      </c>
      <c r="F541" s="151" t="s">
        <v>168</v>
      </c>
      <c r="G541" s="244" t="s">
        <v>528</v>
      </c>
      <c r="H541" s="247" t="s">
        <v>524</v>
      </c>
      <c r="I541" s="162" t="s">
        <v>530</v>
      </c>
      <c r="J541" s="251">
        <v>4</v>
      </c>
      <c r="K541" s="254">
        <v>300000</v>
      </c>
      <c r="L541" s="255">
        <f t="shared" si="38"/>
        <v>1200000</v>
      </c>
      <c r="M541" s="257"/>
      <c r="N541" s="262"/>
      <c r="O54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41" s="262"/>
      <c r="Q541" s="264" t="str" cm="1">
        <f t="array" ref="Q541">IF(T[[#This Row],[نوع عملیات]]="فروش", _xlfn.XLOOKUP(T[[#This Row],[کالا]], _xlfn._xlws.FILTER(T[کالا], T[نوع عملیات]="خرید"), _xlfn._xlws.FILTER(T[فروشنده / مشتری], T[نوع عملیات]="خرید")), "")</f>
        <v/>
      </c>
    </row>
    <row r="542" spans="2:17" ht="16.5" hidden="1" x14ac:dyDescent="0.75">
      <c r="B542" s="227">
        <v>4</v>
      </c>
      <c r="C542" s="150">
        <v>2</v>
      </c>
      <c r="D542" s="150">
        <v>31</v>
      </c>
      <c r="E542" s="150" t="str">
        <f t="shared" si="39"/>
        <v>اردیبهشت</v>
      </c>
      <c r="F542" s="151" t="s">
        <v>168</v>
      </c>
      <c r="G542" s="244" t="s">
        <v>529</v>
      </c>
      <c r="H542" s="247" t="s">
        <v>524</v>
      </c>
      <c r="I542" s="162" t="s">
        <v>530</v>
      </c>
      <c r="J542" s="251">
        <v>5</v>
      </c>
      <c r="K542" s="254">
        <v>500000</v>
      </c>
      <c r="L542" s="255">
        <f t="shared" si="38"/>
        <v>2500000</v>
      </c>
      <c r="M542" s="257"/>
      <c r="N542" s="262"/>
      <c r="O54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42" s="262"/>
      <c r="Q542" s="264" t="str" cm="1">
        <f t="array" ref="Q542">IF(T[[#This Row],[نوع عملیات]]="فروش", _xlfn.XLOOKUP(T[[#This Row],[کالا]], _xlfn._xlws.FILTER(T[کالا], T[نوع عملیات]="خرید"), _xlfn._xlws.FILTER(T[فروشنده / مشتری], T[نوع عملیات]="خرید")), "")</f>
        <v/>
      </c>
    </row>
    <row r="543" spans="2:17" ht="16.5" hidden="1" x14ac:dyDescent="0.75">
      <c r="B543" s="227">
        <v>4</v>
      </c>
      <c r="C543" s="150">
        <v>2</v>
      </c>
      <c r="D543" s="150">
        <v>31</v>
      </c>
      <c r="E543" s="150" t="str">
        <f t="shared" si="39"/>
        <v>اردیبهشت</v>
      </c>
      <c r="F543" s="151" t="s">
        <v>167</v>
      </c>
      <c r="G543" s="244" t="s">
        <v>525</v>
      </c>
      <c r="H543" s="247" t="s">
        <v>308</v>
      </c>
      <c r="I543" s="162"/>
      <c r="J543" s="251">
        <v>1</v>
      </c>
      <c r="K543" s="254">
        <v>1200000</v>
      </c>
      <c r="L543" s="255">
        <f t="shared" si="38"/>
        <v>1200000</v>
      </c>
      <c r="M543" s="257"/>
      <c r="N543" s="262"/>
      <c r="O54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520000</v>
      </c>
      <c r="P543" s="262"/>
      <c r="Q543" s="264" t="str" cm="1">
        <f t="array" ref="Q543">IF(T[[#This Row],[نوع عملیات]]="فروش", _xlfn.XLOOKUP(T[[#This Row],[کالا]], _xlfn._xlws.FILTER(T[کالا], T[نوع عملیات]="خرید"), _xlfn._xlws.FILTER(T[فروشنده / مشتری], T[نوع عملیات]="خرید")), "")</f>
        <v>مهناز - تولیدی</v>
      </c>
    </row>
    <row r="544" spans="2:17" ht="16.5" hidden="1" x14ac:dyDescent="0.75">
      <c r="B544" s="227">
        <v>4</v>
      </c>
      <c r="C544" s="150">
        <v>2</v>
      </c>
      <c r="D544" s="150">
        <v>31</v>
      </c>
      <c r="E544" s="150" t="str">
        <f t="shared" si="39"/>
        <v>اردیبهشت</v>
      </c>
      <c r="F544" s="151" t="s">
        <v>167</v>
      </c>
      <c r="G544" s="244" t="s">
        <v>485</v>
      </c>
      <c r="H544" s="247" t="s">
        <v>308</v>
      </c>
      <c r="I544" s="162"/>
      <c r="J544" s="251">
        <v>1</v>
      </c>
      <c r="K544" s="254">
        <v>2000000</v>
      </c>
      <c r="L544" s="255">
        <f t="shared" si="38"/>
        <v>2000000</v>
      </c>
      <c r="M544" s="257"/>
      <c r="N544" s="262"/>
      <c r="O54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44" s="262"/>
      <c r="Q544" s="264" t="str" cm="1">
        <f t="array" ref="Q544">IF(T[[#This Row],[نوع عملیات]]="فروش", _xlfn.XLOOKUP(T[[#This Row],[کالا]], _xlfn._xlws.FILTER(T[کالا], T[نوع عملیات]="خرید"), _xlfn._xlws.FILTER(T[فروشنده / مشتری], T[نوع عملیات]="خرید")), "")</f>
        <v>عبدل آباد</v>
      </c>
    </row>
    <row r="545" spans="2:17" ht="16.5" hidden="1" x14ac:dyDescent="0.75">
      <c r="B545" s="227">
        <v>4</v>
      </c>
      <c r="C545" s="150">
        <v>2</v>
      </c>
      <c r="D545" s="150">
        <v>31</v>
      </c>
      <c r="E545" s="150" t="str">
        <f t="shared" si="39"/>
        <v>اردیبهشت</v>
      </c>
      <c r="F545" s="151" t="s">
        <v>167</v>
      </c>
      <c r="G545" s="244" t="s">
        <v>575</v>
      </c>
      <c r="H545" s="247" t="s">
        <v>308</v>
      </c>
      <c r="I545" s="162"/>
      <c r="J545" s="251">
        <v>1</v>
      </c>
      <c r="K545" s="254">
        <v>1400000</v>
      </c>
      <c r="L545" s="255">
        <f t="shared" si="38"/>
        <v>1400000</v>
      </c>
      <c r="M545" s="257"/>
      <c r="N545" s="262"/>
      <c r="O54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45" s="262"/>
      <c r="Q545" s="264" t="str" cm="1">
        <f t="array" ref="Q545">IF(T[[#This Row],[نوع عملیات]]="فروش", _xlfn.XLOOKUP(T[[#This Row],[کالا]], _xlfn._xlws.FILTER(T[کالا], T[نوع عملیات]="خرید"), _xlfn._xlws.FILTER(T[فروشنده / مشتری], T[نوع عملیات]="خرید")), "")</f>
        <v>سرای ملی</v>
      </c>
    </row>
    <row r="546" spans="2:17" ht="16.5" hidden="1" x14ac:dyDescent="0.75">
      <c r="B546" s="227">
        <v>4</v>
      </c>
      <c r="C546" s="150">
        <v>2</v>
      </c>
      <c r="D546" s="150">
        <v>31</v>
      </c>
      <c r="E546" s="150" t="str">
        <f t="shared" si="39"/>
        <v>اردیبهشت</v>
      </c>
      <c r="F546" s="151" t="s">
        <v>167</v>
      </c>
      <c r="G546" s="244" t="s">
        <v>522</v>
      </c>
      <c r="H546" s="247" t="s">
        <v>308</v>
      </c>
      <c r="I546" s="162"/>
      <c r="J546" s="251">
        <v>1</v>
      </c>
      <c r="K546" s="254">
        <v>750000</v>
      </c>
      <c r="L546" s="255">
        <f t="shared" ref="L546:L576" si="40">J546*K546</f>
        <v>750000</v>
      </c>
      <c r="M546" s="257"/>
      <c r="N546" s="262"/>
      <c r="O54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546" s="262"/>
      <c r="Q546" s="264" t="str" cm="1">
        <f t="array" ref="Q546">IF(T[[#This Row],[نوع عملیات]]="فروش", _xlfn.XLOOKUP(T[[#This Row],[کالا]], _xlfn._xlws.FILTER(T[کالا], T[نوع عملیات]="خرید"), _xlfn._xlws.FILTER(T[فروشنده / مشتری], T[نوع عملیات]="خرید")), "")</f>
        <v>مهناز - تولیدی</v>
      </c>
    </row>
    <row r="547" spans="2:17" ht="16.5" hidden="1" x14ac:dyDescent="0.75">
      <c r="B547" s="227">
        <v>4</v>
      </c>
      <c r="C547" s="150">
        <v>3</v>
      </c>
      <c r="D547" s="150">
        <v>1</v>
      </c>
      <c r="E547" s="150" t="str">
        <f t="shared" si="39"/>
        <v>خرداد</v>
      </c>
      <c r="F547" s="151" t="s">
        <v>302</v>
      </c>
      <c r="G547" s="244"/>
      <c r="H547" s="247" t="s">
        <v>519</v>
      </c>
      <c r="I547" s="162"/>
      <c r="J547" s="251"/>
      <c r="K547" s="254"/>
      <c r="L547" s="255">
        <f t="shared" si="40"/>
        <v>0</v>
      </c>
      <c r="M547" s="257">
        <v>1200000</v>
      </c>
      <c r="N547" s="262" t="s">
        <v>346</v>
      </c>
      <c r="O54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47" s="262"/>
      <c r="Q547" s="264" t="str" cm="1">
        <f t="array" ref="Q547">IF(T[[#This Row],[نوع عملیات]]="فروش", _xlfn.XLOOKUP(T[[#This Row],[کالا]], _xlfn._xlws.FILTER(T[کالا], T[نوع عملیات]="خرید"), _xlfn._xlws.FILTER(T[فروشنده / مشتری], T[نوع عملیات]="خرید")), "")</f>
        <v/>
      </c>
    </row>
    <row r="548" spans="2:17" ht="16.5" hidden="1" x14ac:dyDescent="0.75">
      <c r="B548" s="227">
        <v>4</v>
      </c>
      <c r="C548" s="150">
        <v>3</v>
      </c>
      <c r="D548" s="150">
        <v>1</v>
      </c>
      <c r="E548" s="150" t="str">
        <f t="shared" si="39"/>
        <v>خرداد</v>
      </c>
      <c r="F548" s="151" t="s">
        <v>302</v>
      </c>
      <c r="G548" s="244"/>
      <c r="H548" s="247" t="s">
        <v>308</v>
      </c>
      <c r="I548" s="162"/>
      <c r="J548" s="251"/>
      <c r="K548" s="254"/>
      <c r="L548" s="255">
        <f t="shared" si="40"/>
        <v>0</v>
      </c>
      <c r="M548" s="257">
        <v>1000000</v>
      </c>
      <c r="N548" s="262" t="s">
        <v>299</v>
      </c>
      <c r="O5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48" s="262"/>
      <c r="Q548" s="264" t="str" cm="1">
        <f t="array" ref="Q548">IF(T[[#This Row],[نوع عملیات]]="فروش", _xlfn.XLOOKUP(T[[#This Row],[کالا]], _xlfn._xlws.FILTER(T[کالا], T[نوع عملیات]="خرید"), _xlfn._xlws.FILTER(T[فروشنده / مشتری], T[نوع عملیات]="خرید")), "")</f>
        <v/>
      </c>
    </row>
    <row r="549" spans="2:17" ht="16.5" hidden="1" x14ac:dyDescent="0.75">
      <c r="B549" s="227">
        <v>4</v>
      </c>
      <c r="C549" s="150">
        <v>3</v>
      </c>
      <c r="D549" s="150">
        <v>1</v>
      </c>
      <c r="E549" s="150" t="str">
        <f t="shared" si="39"/>
        <v>خرداد</v>
      </c>
      <c r="F549" s="151" t="s">
        <v>167</v>
      </c>
      <c r="G549" s="244" t="s">
        <v>369</v>
      </c>
      <c r="H549" s="247" t="s">
        <v>523</v>
      </c>
      <c r="I549" s="162"/>
      <c r="J549" s="251">
        <v>1</v>
      </c>
      <c r="K549" s="254">
        <v>600000</v>
      </c>
      <c r="L549" s="255">
        <f t="shared" si="40"/>
        <v>600000</v>
      </c>
      <c r="M549" s="257"/>
      <c r="N549" s="262"/>
      <c r="O5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302000</v>
      </c>
      <c r="P549" s="262"/>
      <c r="Q549" s="264" t="str" cm="1">
        <f t="array" ref="Q549">IF(T[[#This Row],[نوع عملیات]]="فروش", _xlfn.XLOOKUP(T[[#This Row],[کالا]], _xlfn._xlws.FILTER(T[کالا], T[نوع عملیات]="خرید"), _xlfn._xlws.FILTER(T[فروشنده / مشتری], T[نوع عملیات]="خرید")), "")</f>
        <v>بازار</v>
      </c>
    </row>
    <row r="550" spans="2:17" ht="16.5" hidden="1" x14ac:dyDescent="0.75">
      <c r="B550" s="227">
        <v>4</v>
      </c>
      <c r="C550" s="150">
        <v>3</v>
      </c>
      <c r="D550" s="150">
        <v>1</v>
      </c>
      <c r="E550" s="150" t="str">
        <f t="shared" si="39"/>
        <v>خرداد</v>
      </c>
      <c r="F550" s="151" t="s">
        <v>167</v>
      </c>
      <c r="G550" s="244" t="s">
        <v>360</v>
      </c>
      <c r="H550" s="247" t="s">
        <v>523</v>
      </c>
      <c r="I550" s="162"/>
      <c r="J550" s="251">
        <v>1</v>
      </c>
      <c r="K550" s="254">
        <v>300000</v>
      </c>
      <c r="L550" s="255">
        <f t="shared" si="40"/>
        <v>300000</v>
      </c>
      <c r="M550" s="257"/>
      <c r="N550" s="262"/>
      <c r="O55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126000</v>
      </c>
      <c r="P550" s="262"/>
      <c r="Q550" s="264" t="str" cm="1">
        <f t="array" ref="Q550">IF(T[[#This Row],[نوع عملیات]]="فروش", _xlfn.XLOOKUP(T[[#This Row],[کالا]], _xlfn._xlws.FILTER(T[کالا], T[نوع عملیات]="خرید"), _xlfn._xlws.FILTER(T[فروشنده / مشتری], T[نوع عملیات]="خرید")), "")</f>
        <v>بازار</v>
      </c>
    </row>
    <row r="551" spans="2:17" ht="16.5" hidden="1" x14ac:dyDescent="0.75">
      <c r="B551" s="227">
        <v>4</v>
      </c>
      <c r="C551" s="150">
        <v>3</v>
      </c>
      <c r="D551" s="150">
        <v>1</v>
      </c>
      <c r="E551" s="150" t="str">
        <f t="shared" si="39"/>
        <v>خرداد</v>
      </c>
      <c r="F551" s="151" t="s">
        <v>167</v>
      </c>
      <c r="G551" s="244" t="s">
        <v>353</v>
      </c>
      <c r="H551" s="247" t="s">
        <v>523</v>
      </c>
      <c r="I551" s="162"/>
      <c r="J551" s="251">
        <v>1</v>
      </c>
      <c r="K551" s="254">
        <v>400000</v>
      </c>
      <c r="L551" s="255">
        <f t="shared" si="40"/>
        <v>400000</v>
      </c>
      <c r="M551" s="257"/>
      <c r="N551" s="262"/>
      <c r="O5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52941.176470588252</v>
      </c>
      <c r="P551" s="262"/>
      <c r="Q551" s="264" t="str" cm="1">
        <f t="array" ref="Q551">IF(T[[#This Row],[نوع عملیات]]="فروش", _xlfn.XLOOKUP(T[[#This Row],[کالا]], _xlfn._xlws.FILTER(T[کالا], T[نوع عملیات]="خرید"), _xlfn._xlws.FILTER(T[فروشنده / مشتری], T[نوع عملیات]="خرید")), "")</f>
        <v>بازار</v>
      </c>
    </row>
    <row r="552" spans="2:17" ht="16.5" hidden="1" x14ac:dyDescent="0.75">
      <c r="B552" s="227">
        <v>4</v>
      </c>
      <c r="C552" s="150">
        <v>3</v>
      </c>
      <c r="D552" s="150">
        <v>1</v>
      </c>
      <c r="E552" s="150" t="str">
        <f t="shared" si="39"/>
        <v>خرداد</v>
      </c>
      <c r="F552" s="151" t="s">
        <v>167</v>
      </c>
      <c r="G552" s="244" t="s">
        <v>412</v>
      </c>
      <c r="H552" s="247" t="s">
        <v>523</v>
      </c>
      <c r="I552" s="162"/>
      <c r="J552" s="251">
        <v>1</v>
      </c>
      <c r="K552" s="254">
        <v>1300000</v>
      </c>
      <c r="L552" s="255">
        <f t="shared" si="40"/>
        <v>1300000</v>
      </c>
      <c r="M552" s="257"/>
      <c r="N552" s="262"/>
      <c r="O5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150000</v>
      </c>
      <c r="P552" s="262"/>
      <c r="Q552" s="264" t="str" cm="1">
        <f t="array" ref="Q552">IF(T[[#This Row],[نوع عملیات]]="فروش", _xlfn.XLOOKUP(T[[#This Row],[کالا]], _xlfn._xlws.FILTER(T[کالا], T[نوع عملیات]="خرید"), _xlfn._xlws.FILTER(T[فروشنده / مشتری], T[نوع عملیات]="خرید")), "")</f>
        <v>عبدل آباد</v>
      </c>
    </row>
    <row r="553" spans="2:17" ht="16.5" hidden="1" x14ac:dyDescent="0.75">
      <c r="B553" s="227">
        <v>4</v>
      </c>
      <c r="C553" s="150">
        <v>3</v>
      </c>
      <c r="D553" s="150">
        <v>1</v>
      </c>
      <c r="E553" s="150" t="str">
        <f t="shared" si="39"/>
        <v>خرداد</v>
      </c>
      <c r="F553" s="151" t="s">
        <v>167</v>
      </c>
      <c r="G553" s="244" t="s">
        <v>375</v>
      </c>
      <c r="H553" s="247" t="s">
        <v>523</v>
      </c>
      <c r="I553" s="162"/>
      <c r="J553" s="251">
        <v>1</v>
      </c>
      <c r="K553" s="254">
        <v>1400000</v>
      </c>
      <c r="L553" s="255">
        <f t="shared" si="40"/>
        <v>1400000</v>
      </c>
      <c r="M553" s="257">
        <v>4000000</v>
      </c>
      <c r="N553" s="262" t="s">
        <v>346</v>
      </c>
      <c r="O55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843333.33333333337</v>
      </c>
      <c r="P553" s="262"/>
      <c r="Q553" s="264" t="str" cm="1">
        <f t="array" ref="Q553">IF(T[[#This Row],[نوع عملیات]]="فروش", _xlfn.XLOOKUP(T[[#This Row],[کالا]], _xlfn._xlws.FILTER(T[کالا], T[نوع عملیات]="خرید"), _xlfn._xlws.FILTER(T[فروشنده / مشتری], T[نوع عملیات]="خرید")), "")</f>
        <v>بازار</v>
      </c>
    </row>
    <row r="554" spans="2:17" ht="16.5" hidden="1" x14ac:dyDescent="0.75">
      <c r="B554" s="227">
        <v>4</v>
      </c>
      <c r="C554" s="150">
        <v>3</v>
      </c>
      <c r="D554" s="150">
        <v>1</v>
      </c>
      <c r="E554" s="150" t="str">
        <f t="shared" si="39"/>
        <v>خرداد</v>
      </c>
      <c r="F554" s="151" t="s">
        <v>167</v>
      </c>
      <c r="G554" s="244" t="s">
        <v>525</v>
      </c>
      <c r="H554" s="247" t="s">
        <v>473</v>
      </c>
      <c r="I554" s="162"/>
      <c r="J554" s="251">
        <v>1</v>
      </c>
      <c r="K554" s="254">
        <v>1200000</v>
      </c>
      <c r="L554" s="255">
        <f t="shared" si="40"/>
        <v>1200000</v>
      </c>
      <c r="M554" s="257"/>
      <c r="N554" s="262"/>
      <c r="O55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520000</v>
      </c>
      <c r="P554" s="262"/>
      <c r="Q554" s="264" t="str" cm="1">
        <f t="array" ref="Q554">IF(T[[#This Row],[نوع عملیات]]="فروش", _xlfn.XLOOKUP(T[[#This Row],[کالا]], _xlfn._xlws.FILTER(T[کالا], T[نوع عملیات]="خرید"), _xlfn._xlws.FILTER(T[فروشنده / مشتری], T[نوع عملیات]="خرید")), "")</f>
        <v>مهناز - تولیدی</v>
      </c>
    </row>
    <row r="555" spans="2:17" ht="16.5" hidden="1" x14ac:dyDescent="0.75">
      <c r="B555" s="227">
        <v>4</v>
      </c>
      <c r="C555" s="150">
        <v>3</v>
      </c>
      <c r="D555" s="150">
        <v>1</v>
      </c>
      <c r="E555" s="150" t="str">
        <f t="shared" si="39"/>
        <v>خرداد</v>
      </c>
      <c r="F555" s="151" t="s">
        <v>167</v>
      </c>
      <c r="G555" s="244" t="s">
        <v>251</v>
      </c>
      <c r="H555" s="247" t="s">
        <v>473</v>
      </c>
      <c r="I555" s="162"/>
      <c r="J555" s="251">
        <v>2</v>
      </c>
      <c r="K555" s="254">
        <v>200000</v>
      </c>
      <c r="L555" s="255">
        <f t="shared" si="40"/>
        <v>400000</v>
      </c>
      <c r="M555" s="257"/>
      <c r="N555" s="262"/>
      <c r="O55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v>
      </c>
      <c r="P555" s="262"/>
      <c r="Q555" s="264" t="str" cm="1">
        <f t="array" ref="Q555">IF(T[[#This Row],[نوع عملیات]]="فروش", _xlfn.XLOOKUP(T[[#This Row],[کالا]], _xlfn._xlws.FILTER(T[کالا], T[نوع عملیات]="خرید"), _xlfn._xlws.FILTER(T[فروشنده / مشتری], T[نوع عملیات]="خرید")), "")</f>
        <v>بازار</v>
      </c>
    </row>
    <row r="556" spans="2:17" ht="16.5" hidden="1" x14ac:dyDescent="0.75">
      <c r="B556" s="227">
        <v>4</v>
      </c>
      <c r="C556" s="150">
        <v>3</v>
      </c>
      <c r="D556" s="150">
        <v>1</v>
      </c>
      <c r="E556" s="150" t="str">
        <f t="shared" si="39"/>
        <v>خرداد</v>
      </c>
      <c r="F556" s="151" t="s">
        <v>167</v>
      </c>
      <c r="G556" s="244" t="s">
        <v>467</v>
      </c>
      <c r="H556" s="247" t="s">
        <v>211</v>
      </c>
      <c r="I556" s="162"/>
      <c r="J556" s="251">
        <v>1</v>
      </c>
      <c r="K556" s="254">
        <v>750000</v>
      </c>
      <c r="L556" s="255">
        <f t="shared" si="40"/>
        <v>750000</v>
      </c>
      <c r="M556" s="257"/>
      <c r="N556" s="262"/>
      <c r="O55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400000</v>
      </c>
      <c r="P556" s="262"/>
      <c r="Q556" s="264" t="str" cm="1">
        <f t="array" ref="Q556">IF(T[[#This Row],[نوع عملیات]]="فروش", _xlfn.XLOOKUP(T[[#This Row],[کالا]], _xlfn._xlws.FILTER(T[کالا], T[نوع عملیات]="خرید"), _xlfn._xlws.FILTER(T[فروشنده / مشتری], T[نوع عملیات]="خرید")), "")</f>
        <v>سرای ملی</v>
      </c>
    </row>
    <row r="557" spans="2:17" ht="16.5" hidden="1" x14ac:dyDescent="0.75">
      <c r="B557" s="227">
        <v>4</v>
      </c>
      <c r="C557" s="150">
        <v>3</v>
      </c>
      <c r="D557" s="150">
        <v>1</v>
      </c>
      <c r="E557" s="150" t="str">
        <f t="shared" si="39"/>
        <v>خرداد</v>
      </c>
      <c r="F557" s="151" t="s">
        <v>167</v>
      </c>
      <c r="G557" s="244" t="s">
        <v>468</v>
      </c>
      <c r="H557" s="247" t="s">
        <v>211</v>
      </c>
      <c r="I557" s="162"/>
      <c r="J557" s="251">
        <v>1</v>
      </c>
      <c r="K557" s="254">
        <v>300000</v>
      </c>
      <c r="L557" s="255">
        <f t="shared" si="40"/>
        <v>300000</v>
      </c>
      <c r="M557" s="257">
        <v>1050000</v>
      </c>
      <c r="N557" s="262" t="s">
        <v>299</v>
      </c>
      <c r="O55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557" s="262"/>
      <c r="Q557" s="264" t="str" cm="1">
        <f t="array" ref="Q557">IF(T[[#This Row],[نوع عملیات]]="فروش", _xlfn.XLOOKUP(T[[#This Row],[کالا]], _xlfn._xlws.FILTER(T[کالا], T[نوع عملیات]="خرید"), _xlfn._xlws.FILTER(T[فروشنده / مشتری], T[نوع عملیات]="خرید")), "")</f>
        <v>سرای ملی</v>
      </c>
    </row>
    <row r="558" spans="2:17" ht="16.5" hidden="1" x14ac:dyDescent="0.75">
      <c r="B558" s="227">
        <v>4</v>
      </c>
      <c r="C558" s="150">
        <v>3</v>
      </c>
      <c r="D558" s="150">
        <v>1</v>
      </c>
      <c r="E558" s="150" t="str">
        <f t="shared" si="39"/>
        <v>خرداد</v>
      </c>
      <c r="F558" s="151" t="s">
        <v>168</v>
      </c>
      <c r="G558" s="244" t="s">
        <v>531</v>
      </c>
      <c r="H558" s="247" t="s">
        <v>451</v>
      </c>
      <c r="I558" s="162" t="s">
        <v>451</v>
      </c>
      <c r="J558" s="251">
        <v>1</v>
      </c>
      <c r="K558" s="254">
        <v>0</v>
      </c>
      <c r="L558" s="255">
        <f t="shared" si="40"/>
        <v>0</v>
      </c>
      <c r="M558" s="257"/>
      <c r="N558" s="262"/>
      <c r="O55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58" s="262"/>
      <c r="Q558" s="264" t="str" cm="1">
        <f t="array" ref="Q558">IF(T[[#This Row],[نوع عملیات]]="فروش", _xlfn.XLOOKUP(T[[#This Row],[کالا]], _xlfn._xlws.FILTER(T[کالا], T[نوع عملیات]="خرید"), _xlfn._xlws.FILTER(T[فروشنده / مشتری], T[نوع عملیات]="خرید")), "")</f>
        <v/>
      </c>
    </row>
    <row r="559" spans="2:17" ht="16.5" hidden="1" x14ac:dyDescent="0.75">
      <c r="B559" s="227">
        <v>4</v>
      </c>
      <c r="C559" s="150">
        <v>3</v>
      </c>
      <c r="D559" s="150">
        <v>2</v>
      </c>
      <c r="E559" s="150" t="str">
        <f t="shared" si="39"/>
        <v>خرداد</v>
      </c>
      <c r="F559" s="151" t="s">
        <v>167</v>
      </c>
      <c r="G559" s="244" t="s">
        <v>347</v>
      </c>
      <c r="H559" s="247" t="s">
        <v>352</v>
      </c>
      <c r="I559" s="162"/>
      <c r="J559" s="251">
        <v>1</v>
      </c>
      <c r="K559" s="254">
        <v>950000</v>
      </c>
      <c r="L559" s="255">
        <f t="shared" si="40"/>
        <v>950000</v>
      </c>
      <c r="M559" s="257"/>
      <c r="N559" s="262"/>
      <c r="O55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559" s="262"/>
      <c r="Q559" s="264" t="str" cm="1">
        <f t="array" ref="Q559">IF(T[[#This Row],[نوع عملیات]]="فروش", _xlfn.XLOOKUP(T[[#This Row],[کالا]], _xlfn._xlws.FILTER(T[کالا], T[نوع عملیات]="خرید"), _xlfn._xlws.FILTER(T[فروشنده / مشتری], T[نوع عملیات]="خرید")), "")</f>
        <v>دلگشا</v>
      </c>
    </row>
    <row r="560" spans="2:17" ht="16.5" hidden="1" x14ac:dyDescent="0.75">
      <c r="B560" s="227">
        <v>4</v>
      </c>
      <c r="C560" s="150">
        <v>3</v>
      </c>
      <c r="D560" s="150">
        <v>2</v>
      </c>
      <c r="E560" s="150"/>
      <c r="F560" s="151" t="s">
        <v>167</v>
      </c>
      <c r="G560" s="244" t="s">
        <v>461</v>
      </c>
      <c r="H560" s="247" t="s">
        <v>352</v>
      </c>
      <c r="I560" s="162"/>
      <c r="J560" s="251">
        <v>1</v>
      </c>
      <c r="K560" s="254">
        <v>750000</v>
      </c>
      <c r="L560" s="255">
        <f t="shared" si="40"/>
        <v>750000</v>
      </c>
      <c r="M560" s="257"/>
      <c r="N560" s="262"/>
      <c r="O56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382800</v>
      </c>
      <c r="P560" s="262"/>
      <c r="Q560" s="264" t="str" cm="1">
        <f t="array" ref="Q560">IF(T[[#This Row],[نوع عملیات]]="فروش", _xlfn.XLOOKUP(T[[#This Row],[کالا]], _xlfn._xlws.FILTER(T[کالا], T[نوع عملیات]="خرید"), _xlfn._xlws.FILTER(T[فروشنده / مشتری], T[نوع عملیات]="خرید")), "")</f>
        <v>سرای ملی</v>
      </c>
    </row>
    <row r="561" spans="2:17" ht="16.5" hidden="1" x14ac:dyDescent="0.75">
      <c r="B561" s="227">
        <v>4</v>
      </c>
      <c r="C561" s="150">
        <v>3</v>
      </c>
      <c r="D561" s="150">
        <v>2</v>
      </c>
      <c r="E561" s="150"/>
      <c r="F561" s="151" t="s">
        <v>167</v>
      </c>
      <c r="G561" s="244" t="s">
        <v>206</v>
      </c>
      <c r="H561" s="247" t="s">
        <v>352</v>
      </c>
      <c r="I561" s="162"/>
      <c r="J561" s="251">
        <v>1</v>
      </c>
      <c r="K561" s="254">
        <v>450000</v>
      </c>
      <c r="L561" s="255">
        <f t="shared" si="40"/>
        <v>450000</v>
      </c>
      <c r="M561" s="257"/>
      <c r="N561" s="262"/>
      <c r="O56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v>
      </c>
      <c r="P561" s="262"/>
      <c r="Q561" s="264" t="str" cm="1">
        <f t="array" ref="Q561">IF(T[[#This Row],[نوع عملیات]]="فروش", _xlfn.XLOOKUP(T[[#This Row],[کالا]], _xlfn._xlws.FILTER(T[کالا], T[نوع عملیات]="خرید"), _xlfn._xlws.FILTER(T[فروشنده / مشتری], T[نوع عملیات]="خرید")), "")</f>
        <v>فریده</v>
      </c>
    </row>
    <row r="562" spans="2:17" ht="16.5" hidden="1" x14ac:dyDescent="0.75">
      <c r="B562" s="227">
        <v>4</v>
      </c>
      <c r="C562" s="150">
        <v>3</v>
      </c>
      <c r="D562" s="150">
        <v>2</v>
      </c>
      <c r="E562" s="150"/>
      <c r="F562" s="151" t="s">
        <v>167</v>
      </c>
      <c r="G562" s="244" t="s">
        <v>531</v>
      </c>
      <c r="H562" s="247" t="s">
        <v>352</v>
      </c>
      <c r="I562" s="162"/>
      <c r="J562" s="251">
        <v>1</v>
      </c>
      <c r="K562" s="254">
        <v>250000</v>
      </c>
      <c r="L562" s="255">
        <f t="shared" si="40"/>
        <v>250000</v>
      </c>
      <c r="M562" s="257"/>
      <c r="N562" s="262"/>
      <c r="O56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562" s="262"/>
      <c r="Q562" s="264" t="str" cm="1">
        <f t="array" ref="Q562">IF(T[[#This Row],[نوع عملیات]]="فروش", _xlfn.XLOOKUP(T[[#This Row],[کالا]], _xlfn._xlws.FILTER(T[کالا], T[نوع عملیات]="خرید"), _xlfn._xlws.FILTER(T[فروشنده / مشتری], T[نوع عملیات]="خرید")), "")</f>
        <v>خودم</v>
      </c>
    </row>
    <row r="563" spans="2:17" ht="16.5" hidden="1" x14ac:dyDescent="0.75">
      <c r="B563" s="227">
        <v>4</v>
      </c>
      <c r="C563" s="150">
        <v>3</v>
      </c>
      <c r="D563" s="150">
        <v>2</v>
      </c>
      <c r="E563" s="150"/>
      <c r="F563" s="151" t="s">
        <v>167</v>
      </c>
      <c r="G563" s="244" t="s">
        <v>353</v>
      </c>
      <c r="H563" s="247" t="s">
        <v>352</v>
      </c>
      <c r="I563" s="162"/>
      <c r="J563" s="251">
        <v>1</v>
      </c>
      <c r="K563" s="254">
        <v>500000</v>
      </c>
      <c r="L563" s="255">
        <f t="shared" si="40"/>
        <v>500000</v>
      </c>
      <c r="M563" s="257"/>
      <c r="N563" s="262"/>
      <c r="O56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152941.17647058825</v>
      </c>
      <c r="P563" s="262"/>
      <c r="Q563" s="264" t="str" cm="1">
        <f t="array" ref="Q563">IF(T[[#This Row],[نوع عملیات]]="فروش", _xlfn.XLOOKUP(T[[#This Row],[کالا]], _xlfn._xlws.FILTER(T[کالا], T[نوع عملیات]="خرید"), _xlfn._xlws.FILTER(T[فروشنده / مشتری], T[نوع عملیات]="خرید")), "")</f>
        <v>بازار</v>
      </c>
    </row>
    <row r="564" spans="2:17" ht="16.5" x14ac:dyDescent="0.75">
      <c r="B564" s="227">
        <v>4</v>
      </c>
      <c r="C564" s="150">
        <v>3</v>
      </c>
      <c r="D564" s="150">
        <v>5</v>
      </c>
      <c r="E564" s="150"/>
      <c r="F564" s="151" t="s">
        <v>168</v>
      </c>
      <c r="G564" s="244" t="s">
        <v>532</v>
      </c>
      <c r="H564" s="247" t="s">
        <v>390</v>
      </c>
      <c r="I564" s="162" t="s">
        <v>533</v>
      </c>
      <c r="J564" s="251">
        <v>4</v>
      </c>
      <c r="K564" s="254">
        <v>1250000</v>
      </c>
      <c r="L564" s="255">
        <f t="shared" si="40"/>
        <v>5000000</v>
      </c>
      <c r="M564" s="257">
        <v>5000000</v>
      </c>
      <c r="N564" s="262" t="s">
        <v>346</v>
      </c>
      <c r="O56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64" s="262"/>
      <c r="Q564" s="264" t="str" cm="1">
        <f t="array" ref="Q564">IF(T[[#This Row],[نوع عملیات]]="فروش", _xlfn.XLOOKUP(T[[#This Row],[کالا]], _xlfn._xlws.FILTER(T[کالا], T[نوع عملیات]="خرید"), _xlfn._xlws.FILTER(T[فروشنده / مشتری], T[نوع عملیات]="خرید")), "")</f>
        <v/>
      </c>
    </row>
    <row r="565" spans="2:17" ht="16.5" x14ac:dyDescent="0.75">
      <c r="B565" s="227">
        <v>4</v>
      </c>
      <c r="C565" s="150">
        <v>3</v>
      </c>
      <c r="D565" s="150">
        <v>5</v>
      </c>
      <c r="E565" s="150"/>
      <c r="F565" s="151" t="s">
        <v>168</v>
      </c>
      <c r="G565" s="244" t="s">
        <v>534</v>
      </c>
      <c r="H565" s="247" t="s">
        <v>390</v>
      </c>
      <c r="I565" s="162" t="s">
        <v>533</v>
      </c>
      <c r="J565" s="251">
        <v>10</v>
      </c>
      <c r="K565" s="254">
        <v>960000</v>
      </c>
      <c r="L565" s="255">
        <f t="shared" si="40"/>
        <v>9600000</v>
      </c>
      <c r="M565" s="257">
        <v>9600000</v>
      </c>
      <c r="N565" s="262" t="s">
        <v>346</v>
      </c>
      <c r="O56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65" s="262"/>
      <c r="Q565" s="264" t="str" cm="1">
        <f t="array" ref="Q565">IF(T[[#This Row],[نوع عملیات]]="فروش", _xlfn.XLOOKUP(T[[#This Row],[کالا]], _xlfn._xlws.FILTER(T[کالا], T[نوع عملیات]="خرید"), _xlfn._xlws.FILTER(T[فروشنده / مشتری], T[نوع عملیات]="خرید")), "")</f>
        <v/>
      </c>
    </row>
    <row r="566" spans="2:17" ht="16.5" x14ac:dyDescent="0.75">
      <c r="B566" s="227">
        <v>4</v>
      </c>
      <c r="C566" s="150">
        <v>3</v>
      </c>
      <c r="D566" s="150">
        <v>5</v>
      </c>
      <c r="E566" s="150"/>
      <c r="F566" s="151" t="s">
        <v>168</v>
      </c>
      <c r="G566" s="244" t="s">
        <v>468</v>
      </c>
      <c r="H566" s="247" t="s">
        <v>390</v>
      </c>
      <c r="I566" s="162" t="s">
        <v>533</v>
      </c>
      <c r="J566" s="251">
        <v>13</v>
      </c>
      <c r="K566" s="254">
        <v>148000</v>
      </c>
      <c r="L566" s="255">
        <f t="shared" si="40"/>
        <v>1924000</v>
      </c>
      <c r="M566" s="257"/>
      <c r="N566" s="262" t="s">
        <v>346</v>
      </c>
      <c r="O56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66" s="262"/>
      <c r="Q566" s="264" t="str" cm="1">
        <f t="array" ref="Q566">IF(T[[#This Row],[نوع عملیات]]="فروش", _xlfn.XLOOKUP(T[[#This Row],[کالا]], _xlfn._xlws.FILTER(T[کالا], T[نوع عملیات]="خرید"), _xlfn._xlws.FILTER(T[فروشنده / مشتری], T[نوع عملیات]="خرید")), "")</f>
        <v/>
      </c>
    </row>
    <row r="567" spans="2:17" ht="16.5" x14ac:dyDescent="0.75">
      <c r="B567" s="227">
        <v>4</v>
      </c>
      <c r="C567" s="150">
        <v>3</v>
      </c>
      <c r="D567" s="150">
        <v>5</v>
      </c>
      <c r="E567" s="150" t="str">
        <f t="shared" ref="E567:E629" si="41">CHOOSE(C567, "فروردین", "اردیبهشت", "خرداد", "تیر", "مرداد", "شهریور", "مهر", "آبان", "آذر", "دی", "بهمن", "اسفند")</f>
        <v>خرداد</v>
      </c>
      <c r="F567" s="151" t="s">
        <v>168</v>
      </c>
      <c r="G567" s="244" t="s">
        <v>535</v>
      </c>
      <c r="H567" s="247" t="s">
        <v>390</v>
      </c>
      <c r="I567" s="162" t="s">
        <v>533</v>
      </c>
      <c r="J567" s="251">
        <v>8</v>
      </c>
      <c r="K567" s="254">
        <v>138000</v>
      </c>
      <c r="L567" s="255">
        <f t="shared" si="40"/>
        <v>1104000</v>
      </c>
      <c r="M567" s="257"/>
      <c r="N567" s="262" t="s">
        <v>346</v>
      </c>
      <c r="O56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67" s="262"/>
      <c r="Q567" s="264" t="str" cm="1">
        <f t="array" ref="Q567">IF(T[[#This Row],[نوع عملیات]]="فروش", _xlfn.XLOOKUP(T[[#This Row],[کالا]], _xlfn._xlws.FILTER(T[کالا], T[نوع عملیات]="خرید"), _xlfn._xlws.FILTER(T[فروشنده / مشتری], T[نوع عملیات]="خرید")), "")</f>
        <v/>
      </c>
    </row>
    <row r="568" spans="2:17" ht="16.5" x14ac:dyDescent="0.75">
      <c r="B568" s="227">
        <v>4</v>
      </c>
      <c r="C568" s="150">
        <v>3</v>
      </c>
      <c r="D568" s="150">
        <v>5</v>
      </c>
      <c r="E568" s="150" t="str">
        <f t="shared" si="41"/>
        <v>خرداد</v>
      </c>
      <c r="F568" s="151" t="s">
        <v>168</v>
      </c>
      <c r="G568" s="244" t="s">
        <v>536</v>
      </c>
      <c r="H568" s="247" t="s">
        <v>390</v>
      </c>
      <c r="I568" s="162" t="s">
        <v>533</v>
      </c>
      <c r="J568" s="251">
        <v>8</v>
      </c>
      <c r="K568" s="254">
        <v>128000</v>
      </c>
      <c r="L568" s="255">
        <f t="shared" si="40"/>
        <v>1024000</v>
      </c>
      <c r="M568" s="257"/>
      <c r="N568" s="262" t="s">
        <v>346</v>
      </c>
      <c r="O56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68" s="262"/>
      <c r="Q568" s="264" t="str" cm="1">
        <f t="array" ref="Q568">IF(T[[#This Row],[نوع عملیات]]="فروش", _xlfn.XLOOKUP(T[[#This Row],[کالا]], _xlfn._xlws.FILTER(T[کالا], T[نوع عملیات]="خرید"), _xlfn._xlws.FILTER(T[فروشنده / مشتری], T[نوع عملیات]="خرید")), "")</f>
        <v/>
      </c>
    </row>
    <row r="569" spans="2:17" ht="16.5" x14ac:dyDescent="0.75">
      <c r="B569" s="227">
        <v>4</v>
      </c>
      <c r="C569" s="150">
        <v>3</v>
      </c>
      <c r="D569" s="150">
        <v>5</v>
      </c>
      <c r="E569" s="150" t="str">
        <f t="shared" si="41"/>
        <v>خرداد</v>
      </c>
      <c r="F569" s="151" t="s">
        <v>168</v>
      </c>
      <c r="G569" s="244" t="s">
        <v>537</v>
      </c>
      <c r="H569" s="247" t="s">
        <v>390</v>
      </c>
      <c r="I569" s="162" t="s">
        <v>533</v>
      </c>
      <c r="J569" s="251">
        <v>2</v>
      </c>
      <c r="K569" s="254">
        <v>224000</v>
      </c>
      <c r="L569" s="255">
        <f t="shared" si="40"/>
        <v>448000</v>
      </c>
      <c r="M569" s="257">
        <v>4500000</v>
      </c>
      <c r="N569" s="262" t="s">
        <v>346</v>
      </c>
      <c r="O56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69" s="262"/>
      <c r="Q569" s="264" t="str" cm="1">
        <f t="array" ref="Q569">IF(T[[#This Row],[نوع عملیات]]="فروش", _xlfn.XLOOKUP(T[[#This Row],[کالا]], _xlfn._xlws.FILTER(T[کالا], T[نوع عملیات]="خرید"), _xlfn._xlws.FILTER(T[فروشنده / مشتری], T[نوع عملیات]="خرید")), "")</f>
        <v/>
      </c>
    </row>
    <row r="570" spans="2:17" ht="16.5" hidden="1" x14ac:dyDescent="0.75">
      <c r="B570" s="227">
        <v>4</v>
      </c>
      <c r="C570" s="150">
        <v>3</v>
      </c>
      <c r="D570" s="150">
        <v>5</v>
      </c>
      <c r="E570" s="150" t="str">
        <f t="shared" si="41"/>
        <v>خرداد</v>
      </c>
      <c r="F570" s="151" t="s">
        <v>325</v>
      </c>
      <c r="G570" s="244" t="s">
        <v>537</v>
      </c>
      <c r="H570" s="247" t="s">
        <v>451</v>
      </c>
      <c r="I570" s="162"/>
      <c r="J570" s="251">
        <v>2</v>
      </c>
      <c r="K570" s="254">
        <v>0</v>
      </c>
      <c r="L570" s="255">
        <f t="shared" si="40"/>
        <v>0</v>
      </c>
      <c r="M570" s="257"/>
      <c r="N570" s="262"/>
      <c r="O57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-448000</v>
      </c>
      <c r="P570" s="262"/>
      <c r="Q570" s="264" t="str" cm="1">
        <f t="array" ref="Q570">IF(T[[#This Row],[نوع عملیات]]="فروش", _xlfn.XLOOKUP(T[[#This Row],[کالا]], _xlfn._xlws.FILTER(T[کالا], T[نوع عملیات]="خرید"), _xlfn._xlws.FILTER(T[فروشنده / مشتری], T[نوع عملیات]="خرید")), "")</f>
        <v/>
      </c>
    </row>
    <row r="571" spans="2:17" ht="16.5" hidden="1" x14ac:dyDescent="0.75">
      <c r="B571" s="227">
        <v>4</v>
      </c>
      <c r="C571" s="150">
        <v>3</v>
      </c>
      <c r="D571" s="150">
        <v>6</v>
      </c>
      <c r="E571" s="150" t="str">
        <f t="shared" si="41"/>
        <v>خرداد</v>
      </c>
      <c r="F571" s="151" t="s">
        <v>167</v>
      </c>
      <c r="G571" s="244" t="s">
        <v>353</v>
      </c>
      <c r="H571" s="247" t="s">
        <v>538</v>
      </c>
      <c r="I571" s="162"/>
      <c r="J571" s="251">
        <v>1</v>
      </c>
      <c r="K571" s="254">
        <v>600000</v>
      </c>
      <c r="L571" s="255">
        <f t="shared" si="40"/>
        <v>600000</v>
      </c>
      <c r="M571" s="257"/>
      <c r="N571" s="262"/>
      <c r="O57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252941.17647058825</v>
      </c>
      <c r="P571" s="262"/>
      <c r="Q571" s="264" t="str" cm="1">
        <f t="array" ref="Q571">IF(T[[#This Row],[نوع عملیات]]="فروش", _xlfn.XLOOKUP(T[[#This Row],[کالا]], _xlfn._xlws.FILTER(T[کالا], T[نوع عملیات]="خرید"), _xlfn._xlws.FILTER(T[فروشنده / مشتری], T[نوع عملیات]="خرید")), "")</f>
        <v>بازار</v>
      </c>
    </row>
    <row r="572" spans="2:17" ht="16.5" hidden="1" x14ac:dyDescent="0.75">
      <c r="B572" s="227">
        <v>4</v>
      </c>
      <c r="C572" s="150">
        <v>3</v>
      </c>
      <c r="D572" s="150">
        <v>6</v>
      </c>
      <c r="E572" s="150" t="str">
        <f t="shared" si="41"/>
        <v>خرداد</v>
      </c>
      <c r="F572" s="151" t="s">
        <v>167</v>
      </c>
      <c r="G572" s="244" t="s">
        <v>260</v>
      </c>
      <c r="H572" s="247" t="s">
        <v>538</v>
      </c>
      <c r="I572" s="162"/>
      <c r="J572" s="251">
        <v>1</v>
      </c>
      <c r="K572" s="254">
        <v>1300000</v>
      </c>
      <c r="L572" s="255">
        <f t="shared" si="40"/>
        <v>1300000</v>
      </c>
      <c r="M572" s="257"/>
      <c r="N572" s="262"/>
      <c r="O57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1300000</v>
      </c>
      <c r="P572" s="262"/>
      <c r="Q572" s="264" t="str" cm="1">
        <f t="array" ref="Q572">IF(T[[#This Row],[نوع عملیات]]="فروش", _xlfn.XLOOKUP(T[[#This Row],[کالا]], _xlfn._xlws.FILTER(T[کالا], T[نوع عملیات]="خرید"), _xlfn._xlws.FILTER(T[فروشنده / مشتری], T[نوع عملیات]="خرید")), "")</f>
        <v>خودم</v>
      </c>
    </row>
    <row r="573" spans="2:17" ht="16.5" hidden="1" x14ac:dyDescent="0.75">
      <c r="B573" s="227">
        <v>4</v>
      </c>
      <c r="C573" s="150">
        <v>3</v>
      </c>
      <c r="D573" s="150">
        <v>6</v>
      </c>
      <c r="E573" s="150" t="str">
        <f t="shared" si="41"/>
        <v>خرداد</v>
      </c>
      <c r="F573" s="151" t="s">
        <v>167</v>
      </c>
      <c r="G573" s="244" t="s">
        <v>503</v>
      </c>
      <c r="H573" s="247" t="s">
        <v>538</v>
      </c>
      <c r="I573" s="162"/>
      <c r="J573" s="251">
        <v>1</v>
      </c>
      <c r="K573" s="254">
        <v>800000</v>
      </c>
      <c r="L573" s="255">
        <f t="shared" si="40"/>
        <v>800000</v>
      </c>
      <c r="M573" s="257"/>
      <c r="N573" s="262"/>
      <c r="O57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320000</v>
      </c>
      <c r="P573" s="262"/>
      <c r="Q573" s="264" t="str" cm="1">
        <f t="array" ref="Q573">IF(T[[#This Row],[نوع عملیات]]="فروش", _xlfn.XLOOKUP(T[[#This Row],[کالا]], _xlfn._xlws.FILTER(T[کالا], T[نوع عملیات]="خرید"), _xlfn._xlws.FILTER(T[فروشنده / مشتری], T[نوع عملیات]="خرید")), "")</f>
        <v>عبدل آباد</v>
      </c>
    </row>
    <row r="574" spans="2:17" ht="16.5" hidden="1" x14ac:dyDescent="0.75">
      <c r="B574" s="227">
        <v>4</v>
      </c>
      <c r="C574" s="150">
        <v>3</v>
      </c>
      <c r="D574" s="150">
        <v>6</v>
      </c>
      <c r="E574" s="150" t="str">
        <f t="shared" si="41"/>
        <v>خرداد</v>
      </c>
      <c r="F574" s="151" t="s">
        <v>167</v>
      </c>
      <c r="G574" s="244" t="s">
        <v>274</v>
      </c>
      <c r="H574" s="247" t="s">
        <v>538</v>
      </c>
      <c r="I574" s="162"/>
      <c r="J574" s="251">
        <v>2</v>
      </c>
      <c r="K574" s="254">
        <v>250000</v>
      </c>
      <c r="L574" s="255">
        <f t="shared" si="40"/>
        <v>500000</v>
      </c>
      <c r="M574" s="257">
        <v>1900000</v>
      </c>
      <c r="N574" s="262" t="s">
        <v>346</v>
      </c>
      <c r="O57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391428.57142857142</v>
      </c>
      <c r="P574" s="262"/>
      <c r="Q574" s="264" t="str" cm="1">
        <f t="array" ref="Q574">IF(T[[#This Row],[نوع عملیات]]="فروش", _xlfn.XLOOKUP(T[[#This Row],[کالا]], _xlfn._xlws.FILTER(T[کالا], T[نوع عملیات]="خرید"), _xlfn._xlws.FILTER(T[فروشنده / مشتری], T[نوع عملیات]="خرید")), "")</f>
        <v>بازار</v>
      </c>
    </row>
    <row r="575" spans="2:17" ht="16.5" hidden="1" x14ac:dyDescent="0.75">
      <c r="B575" s="227">
        <v>4</v>
      </c>
      <c r="C575" s="150">
        <v>3</v>
      </c>
      <c r="D575" s="150">
        <v>6</v>
      </c>
      <c r="E575" s="150" t="str">
        <f t="shared" si="41"/>
        <v>خرداد</v>
      </c>
      <c r="F575" s="151" t="s">
        <v>167</v>
      </c>
      <c r="G575" s="244" t="s">
        <v>468</v>
      </c>
      <c r="H575" s="247" t="s">
        <v>434</v>
      </c>
      <c r="I575" s="162"/>
      <c r="J575" s="251">
        <v>1</v>
      </c>
      <c r="K575" s="254">
        <v>300000</v>
      </c>
      <c r="L575" s="255">
        <f t="shared" si="40"/>
        <v>300000</v>
      </c>
      <c r="M575" s="257"/>
      <c r="N575" s="262"/>
      <c r="O57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575" s="262"/>
      <c r="Q575" s="264" t="str" cm="1">
        <f t="array" ref="Q575">IF(T[[#This Row],[نوع عملیات]]="فروش", _xlfn.XLOOKUP(T[[#This Row],[کالا]], _xlfn._xlws.FILTER(T[کالا], T[نوع عملیات]="خرید"), _xlfn._xlws.FILTER(T[فروشنده / مشتری], T[نوع عملیات]="خرید")), "")</f>
        <v>سرای ملی</v>
      </c>
    </row>
    <row r="576" spans="2:17" ht="16.5" hidden="1" x14ac:dyDescent="0.75">
      <c r="B576" s="227">
        <v>4</v>
      </c>
      <c r="C576" s="150">
        <v>3</v>
      </c>
      <c r="D576" s="150">
        <v>6</v>
      </c>
      <c r="E576" s="150" t="str">
        <f t="shared" si="41"/>
        <v>خرداد</v>
      </c>
      <c r="F576" s="151" t="s">
        <v>167</v>
      </c>
      <c r="G576" s="244" t="s">
        <v>575</v>
      </c>
      <c r="H576" s="247" t="s">
        <v>350</v>
      </c>
      <c r="I576" s="162"/>
      <c r="J576" s="251">
        <v>2</v>
      </c>
      <c r="K576" s="254">
        <v>1400000</v>
      </c>
      <c r="L576" s="255">
        <f t="shared" si="40"/>
        <v>2800000</v>
      </c>
      <c r="M576" s="257"/>
      <c r="N576" s="262"/>
      <c r="O57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840000</v>
      </c>
      <c r="P576" s="262"/>
      <c r="Q576" s="264" t="str" cm="1">
        <f t="array" ref="Q576">IF(T[[#This Row],[نوع عملیات]]="فروش", _xlfn.XLOOKUP(T[[#This Row],[کالا]], _xlfn._xlws.FILTER(T[کالا], T[نوع عملیات]="خرید"), _xlfn._xlws.FILTER(T[فروشنده / مشتری], T[نوع عملیات]="خرید")), "")</f>
        <v>سرای ملی</v>
      </c>
    </row>
    <row r="577" spans="2:17" ht="16.5" hidden="1" x14ac:dyDescent="0.75">
      <c r="B577" s="227">
        <v>4</v>
      </c>
      <c r="C577" s="150">
        <v>3</v>
      </c>
      <c r="D577" s="150">
        <v>6</v>
      </c>
      <c r="E577" s="150" t="str">
        <f t="shared" si="41"/>
        <v>خرداد</v>
      </c>
      <c r="F577" s="151" t="s">
        <v>302</v>
      </c>
      <c r="G577" s="244"/>
      <c r="H577" s="247" t="s">
        <v>510</v>
      </c>
      <c r="I577" s="162"/>
      <c r="J577" s="251"/>
      <c r="K577" s="254"/>
      <c r="L577" s="255">
        <f t="shared" ref="L577:L608" si="42">J577*K577</f>
        <v>0</v>
      </c>
      <c r="M577" s="257">
        <v>3000000</v>
      </c>
      <c r="N577" s="262" t="s">
        <v>346</v>
      </c>
      <c r="O57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77" s="262"/>
      <c r="Q577" s="264" t="str" cm="1">
        <f t="array" ref="Q577">IF(T[[#This Row],[نوع عملیات]]="فروش", _xlfn.XLOOKUP(T[[#This Row],[کالا]], _xlfn._xlws.FILTER(T[کالا], T[نوع عملیات]="خرید"), _xlfn._xlws.FILTER(T[فروشنده / مشتری], T[نوع عملیات]="خرید")), "")</f>
        <v/>
      </c>
    </row>
    <row r="578" spans="2:17" ht="16.5" hidden="1" x14ac:dyDescent="0.75">
      <c r="B578" s="227">
        <v>4</v>
      </c>
      <c r="C578" s="150">
        <v>3</v>
      </c>
      <c r="D578" s="150">
        <v>7</v>
      </c>
      <c r="E578" s="150" t="str">
        <f t="shared" si="41"/>
        <v>خرداد</v>
      </c>
      <c r="F578" s="151" t="s">
        <v>167</v>
      </c>
      <c r="G578" s="244" t="s">
        <v>507</v>
      </c>
      <c r="H578" s="247" t="s">
        <v>539</v>
      </c>
      <c r="I578" s="162"/>
      <c r="J578" s="251">
        <v>1</v>
      </c>
      <c r="K578" s="254">
        <v>1500000</v>
      </c>
      <c r="L578" s="255">
        <f t="shared" si="42"/>
        <v>1500000</v>
      </c>
      <c r="M578" s="257"/>
      <c r="N578" s="262"/>
      <c r="O57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578" s="262"/>
      <c r="Q578" s="264" t="str" cm="1">
        <f t="array" ref="Q578">IF(T[[#This Row],[نوع عملیات]]="فروش", _xlfn.XLOOKUP(T[[#This Row],[کالا]], _xlfn._xlws.FILTER(T[کالا], T[نوع عملیات]="خرید"), _xlfn._xlws.FILTER(T[فروشنده / مشتری], T[نوع عملیات]="خرید")), "")</f>
        <v>عبدل آباد</v>
      </c>
    </row>
    <row r="579" spans="2:17" ht="16.5" hidden="1" x14ac:dyDescent="0.75">
      <c r="B579" s="227">
        <v>4</v>
      </c>
      <c r="C579" s="150">
        <v>3</v>
      </c>
      <c r="D579" s="150">
        <v>7</v>
      </c>
      <c r="E579" s="150" t="str">
        <f t="shared" si="41"/>
        <v>خرداد</v>
      </c>
      <c r="F579" s="151" t="s">
        <v>167</v>
      </c>
      <c r="G579" s="244" t="s">
        <v>410</v>
      </c>
      <c r="H579" s="247" t="s">
        <v>539</v>
      </c>
      <c r="I579" s="162"/>
      <c r="J579" s="251">
        <v>1</v>
      </c>
      <c r="K579" s="254">
        <v>900000</v>
      </c>
      <c r="L579" s="255">
        <f t="shared" si="42"/>
        <v>900000</v>
      </c>
      <c r="M579" s="257"/>
      <c r="N579" s="262"/>
      <c r="O57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79" s="262"/>
      <c r="Q579" s="264" t="str" cm="1">
        <f t="array" ref="Q579">IF(T[[#This Row],[نوع عملیات]]="فروش", _xlfn.XLOOKUP(T[[#This Row],[کالا]], _xlfn._xlws.FILTER(T[کالا], T[نوع عملیات]="خرید"), _xlfn._xlws.FILTER(T[فروشنده / مشتری], T[نوع عملیات]="خرید")), "")</f>
        <v>عبدل آباد</v>
      </c>
    </row>
    <row r="580" spans="2:17" ht="16.5" hidden="1" x14ac:dyDescent="0.75">
      <c r="B580" s="227">
        <v>4</v>
      </c>
      <c r="C580" s="150">
        <v>3</v>
      </c>
      <c r="D580" s="150">
        <v>7</v>
      </c>
      <c r="E580" s="150" t="str">
        <f t="shared" si="41"/>
        <v>خرداد</v>
      </c>
      <c r="F580" s="151" t="s">
        <v>167</v>
      </c>
      <c r="G580" s="244" t="s">
        <v>344</v>
      </c>
      <c r="H580" s="247" t="s">
        <v>539</v>
      </c>
      <c r="I580" s="162"/>
      <c r="J580" s="251">
        <v>1</v>
      </c>
      <c r="K580" s="254">
        <v>1000000</v>
      </c>
      <c r="L580" s="255">
        <f t="shared" si="42"/>
        <v>1000000</v>
      </c>
      <c r="M580" s="257"/>
      <c r="N580" s="262"/>
      <c r="O58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480000</v>
      </c>
      <c r="P580" s="262"/>
      <c r="Q580" s="264" t="str" cm="1">
        <f t="array" ref="Q580">IF(T[[#This Row],[نوع عملیات]]="فروش", _xlfn.XLOOKUP(T[[#This Row],[کالا]], _xlfn._xlws.FILTER(T[کالا], T[نوع عملیات]="خرید"), _xlfn._xlws.FILTER(T[فروشنده / مشتری], T[نوع عملیات]="خرید")), "")</f>
        <v>بازار</v>
      </c>
    </row>
    <row r="581" spans="2:17" ht="16.5" hidden="1" x14ac:dyDescent="0.75">
      <c r="B581" s="227">
        <v>4</v>
      </c>
      <c r="C581" s="150">
        <v>3</v>
      </c>
      <c r="D581" s="150">
        <v>7</v>
      </c>
      <c r="E581" s="150" t="str">
        <f t="shared" si="41"/>
        <v>خرداد</v>
      </c>
      <c r="F581" s="151" t="s">
        <v>167</v>
      </c>
      <c r="G581" s="244" t="s">
        <v>485</v>
      </c>
      <c r="H581" s="247" t="s">
        <v>619</v>
      </c>
      <c r="I581" s="162"/>
      <c r="J581" s="251">
        <v>1</v>
      </c>
      <c r="K581" s="254">
        <v>2000000</v>
      </c>
      <c r="L581" s="255">
        <f t="shared" si="42"/>
        <v>2000000</v>
      </c>
      <c r="M581" s="257"/>
      <c r="N581" s="262"/>
      <c r="O58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81" s="262"/>
      <c r="Q581" s="264" t="str" cm="1">
        <f t="array" ref="Q581">IF(T[[#This Row],[نوع عملیات]]="فروش", _xlfn.XLOOKUP(T[[#This Row],[کالا]], _xlfn._xlws.FILTER(T[کالا], T[نوع عملیات]="خرید"), _xlfn._xlws.FILTER(T[فروشنده / مشتری], T[نوع عملیات]="خرید")), "")</f>
        <v>عبدل آباد</v>
      </c>
    </row>
    <row r="582" spans="2:17" ht="16.5" hidden="1" x14ac:dyDescent="0.75">
      <c r="B582" s="227">
        <v>4</v>
      </c>
      <c r="C582" s="150">
        <v>3</v>
      </c>
      <c r="D582" s="150">
        <v>7</v>
      </c>
      <c r="E582" s="150" t="str">
        <f t="shared" si="41"/>
        <v>خرداد</v>
      </c>
      <c r="F582" s="151" t="s">
        <v>167</v>
      </c>
      <c r="G582" s="244" t="s">
        <v>468</v>
      </c>
      <c r="H582" s="247" t="s">
        <v>619</v>
      </c>
      <c r="I582" s="162"/>
      <c r="J582" s="251">
        <v>2</v>
      </c>
      <c r="K582" s="254">
        <v>250000</v>
      </c>
      <c r="L582" s="255">
        <f t="shared" si="42"/>
        <v>500000</v>
      </c>
      <c r="M582" s="257"/>
      <c r="N582" s="262"/>
      <c r="O58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204000</v>
      </c>
      <c r="P582" s="262"/>
      <c r="Q582" s="264" t="str" cm="1">
        <f t="array" ref="Q582">IF(T[[#This Row],[نوع عملیات]]="فروش", _xlfn.XLOOKUP(T[[#This Row],[کالا]], _xlfn._xlws.FILTER(T[کالا], T[نوع عملیات]="خرید"), _xlfn._xlws.FILTER(T[فروشنده / مشتری], T[نوع عملیات]="خرید")), "")</f>
        <v>سرای ملی</v>
      </c>
    </row>
    <row r="583" spans="2:17" ht="16.5" hidden="1" x14ac:dyDescent="0.75">
      <c r="B583" s="227">
        <v>4</v>
      </c>
      <c r="C583" s="150">
        <v>3</v>
      </c>
      <c r="D583" s="150">
        <v>7</v>
      </c>
      <c r="E583" s="150" t="str">
        <f t="shared" si="41"/>
        <v>خرداد</v>
      </c>
      <c r="F583" s="151" t="s">
        <v>167</v>
      </c>
      <c r="G583" s="244" t="s">
        <v>460</v>
      </c>
      <c r="H583" s="247" t="s">
        <v>211</v>
      </c>
      <c r="I583" s="162"/>
      <c r="J583" s="251">
        <v>1</v>
      </c>
      <c r="K583" s="254">
        <v>700000</v>
      </c>
      <c r="L583" s="255">
        <f t="shared" si="42"/>
        <v>700000</v>
      </c>
      <c r="M583" s="257">
        <v>700000</v>
      </c>
      <c r="N583" s="262" t="s">
        <v>299</v>
      </c>
      <c r="O58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262000</v>
      </c>
      <c r="P583" s="262"/>
      <c r="Q583" s="264" t="str" cm="1">
        <f t="array" ref="Q583">IF(T[[#This Row],[نوع عملیات]]="فروش", _xlfn.XLOOKUP(T[[#This Row],[کالا]], _xlfn._xlws.FILTER(T[کالا], T[نوع عملیات]="خرید"), _xlfn._xlws.FILTER(T[فروشنده / مشتری], T[نوع عملیات]="خرید")), "")</f>
        <v>سرای ملی</v>
      </c>
    </row>
    <row r="584" spans="2:17" ht="16.5" hidden="1" x14ac:dyDescent="0.75">
      <c r="B584" s="227">
        <v>4</v>
      </c>
      <c r="C584" s="150">
        <v>3</v>
      </c>
      <c r="D584" s="150">
        <v>7</v>
      </c>
      <c r="E584" s="150" t="str">
        <f t="shared" si="41"/>
        <v>خرداد</v>
      </c>
      <c r="F584" s="151" t="s">
        <v>302</v>
      </c>
      <c r="G584" s="244"/>
      <c r="H584" s="247" t="s">
        <v>308</v>
      </c>
      <c r="I584" s="162"/>
      <c r="J584" s="251"/>
      <c r="K584" s="254"/>
      <c r="L584" s="255">
        <f t="shared" si="42"/>
        <v>0</v>
      </c>
      <c r="M584" s="257">
        <v>1000000</v>
      </c>
      <c r="N584" s="262" t="s">
        <v>299</v>
      </c>
      <c r="O58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84" s="262"/>
      <c r="Q584" s="264" t="str" cm="1">
        <f t="array" ref="Q584">IF(T[[#This Row],[نوع عملیات]]="فروش", _xlfn.XLOOKUP(T[[#This Row],[کالا]], _xlfn._xlws.FILTER(T[کالا], T[نوع عملیات]="خرید"), _xlfn._xlws.FILTER(T[فروشنده / مشتری], T[نوع عملیات]="خرید")), "")</f>
        <v/>
      </c>
    </row>
    <row r="585" spans="2:17" ht="16.5" hidden="1" x14ac:dyDescent="0.75">
      <c r="B585" s="227">
        <v>4</v>
      </c>
      <c r="C585" s="150">
        <v>3</v>
      </c>
      <c r="D585" s="150">
        <v>7</v>
      </c>
      <c r="E585" s="150" t="str">
        <f t="shared" si="41"/>
        <v>خرداد</v>
      </c>
      <c r="F585" s="151" t="s">
        <v>167</v>
      </c>
      <c r="G585" s="244" t="s">
        <v>575</v>
      </c>
      <c r="H585" s="247" t="s">
        <v>211</v>
      </c>
      <c r="I585" s="162"/>
      <c r="J585" s="251">
        <v>1</v>
      </c>
      <c r="K585" s="254">
        <v>1400000</v>
      </c>
      <c r="L585" s="255">
        <f t="shared" si="42"/>
        <v>1400000</v>
      </c>
      <c r="M585" s="257">
        <v>1400000</v>
      </c>
      <c r="N585" s="262" t="s">
        <v>299</v>
      </c>
      <c r="O58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85" s="262"/>
      <c r="Q585" s="264" t="str" cm="1">
        <f t="array" ref="Q585">IF(T[[#This Row],[نوع عملیات]]="فروش", _xlfn.XLOOKUP(T[[#This Row],[کالا]], _xlfn._xlws.FILTER(T[کالا], T[نوع عملیات]="خرید"), _xlfn._xlws.FILTER(T[فروشنده / مشتری], T[نوع عملیات]="خرید")), "")</f>
        <v>سرای ملی</v>
      </c>
    </row>
    <row r="586" spans="2:17" ht="16.5" hidden="1" x14ac:dyDescent="0.75">
      <c r="B586" s="227">
        <v>4</v>
      </c>
      <c r="C586" s="150">
        <v>3</v>
      </c>
      <c r="D586" s="150">
        <v>7</v>
      </c>
      <c r="E586" s="150" t="str">
        <f t="shared" si="41"/>
        <v>خرداد</v>
      </c>
      <c r="F586" s="151" t="s">
        <v>167</v>
      </c>
      <c r="G586" s="244" t="s">
        <v>468</v>
      </c>
      <c r="H586" s="247" t="s">
        <v>211</v>
      </c>
      <c r="I586" s="162"/>
      <c r="J586" s="251">
        <v>1</v>
      </c>
      <c r="K586" s="254">
        <v>350000</v>
      </c>
      <c r="L586" s="255">
        <f t="shared" si="42"/>
        <v>350000</v>
      </c>
      <c r="M586" s="257">
        <v>350000</v>
      </c>
      <c r="N586" s="262" t="s">
        <v>299</v>
      </c>
      <c r="O58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586" s="262"/>
      <c r="Q586" s="264" t="str" cm="1">
        <f t="array" ref="Q586">IF(T[[#This Row],[نوع عملیات]]="فروش", _xlfn.XLOOKUP(T[[#This Row],[کالا]], _xlfn._xlws.FILTER(T[کالا], T[نوع عملیات]="خرید"), _xlfn._xlws.FILTER(T[فروشنده / مشتری], T[نوع عملیات]="خرید")), "")</f>
        <v>سرای ملی</v>
      </c>
    </row>
    <row r="587" spans="2:17" ht="16.5" hidden="1" x14ac:dyDescent="0.75">
      <c r="B587" s="227">
        <v>4</v>
      </c>
      <c r="C587" s="150">
        <v>3</v>
      </c>
      <c r="D587" s="150">
        <v>7</v>
      </c>
      <c r="E587" s="150" t="str">
        <f t="shared" si="41"/>
        <v>خرداد</v>
      </c>
      <c r="F587" s="151" t="s">
        <v>167</v>
      </c>
      <c r="G587" s="244" t="s">
        <v>466</v>
      </c>
      <c r="H587" s="247" t="s">
        <v>211</v>
      </c>
      <c r="I587" s="162"/>
      <c r="J587" s="251">
        <v>1</v>
      </c>
      <c r="K587" s="254">
        <v>1600000</v>
      </c>
      <c r="L587" s="255">
        <f t="shared" si="42"/>
        <v>1600000</v>
      </c>
      <c r="M587" s="257"/>
      <c r="N587" s="262"/>
      <c r="O58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1090000</v>
      </c>
      <c r="P587" s="262"/>
      <c r="Q587" s="264" t="str" cm="1">
        <f t="array" ref="Q587">IF(T[[#This Row],[نوع عملیات]]="فروش", _xlfn.XLOOKUP(T[[#This Row],[کالا]], _xlfn._xlws.FILTER(T[کالا], T[نوع عملیات]="خرید"), _xlfn._xlws.FILTER(T[فروشنده / مشتری], T[نوع عملیات]="خرید")), "")</f>
        <v>سرای ملی</v>
      </c>
    </row>
    <row r="588" spans="2:17" ht="16.5" hidden="1" x14ac:dyDescent="0.75">
      <c r="B588" s="227">
        <v>4</v>
      </c>
      <c r="C588" s="150">
        <v>3</v>
      </c>
      <c r="D588" s="150">
        <v>7</v>
      </c>
      <c r="E588" s="150" t="str">
        <f t="shared" si="41"/>
        <v>خرداد</v>
      </c>
      <c r="F588" s="151" t="s">
        <v>167</v>
      </c>
      <c r="G588" s="244" t="s">
        <v>353</v>
      </c>
      <c r="H588" s="247" t="s">
        <v>211</v>
      </c>
      <c r="I588" s="162"/>
      <c r="J588" s="251">
        <v>1</v>
      </c>
      <c r="K588" s="254">
        <v>400000</v>
      </c>
      <c r="L588" s="255">
        <f t="shared" si="42"/>
        <v>400000</v>
      </c>
      <c r="M588" s="257"/>
      <c r="N588" s="262"/>
      <c r="O58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52941.176470588252</v>
      </c>
      <c r="P588" s="262"/>
      <c r="Q588" s="264" t="str" cm="1">
        <f t="array" ref="Q588">IF(T[[#This Row],[نوع عملیات]]="فروش", _xlfn.XLOOKUP(T[[#This Row],[کالا]], _xlfn._xlws.FILTER(T[کالا], T[نوع عملیات]="خرید"), _xlfn._xlws.FILTER(T[فروشنده / مشتری], T[نوع عملیات]="خرید")), "")</f>
        <v>بازار</v>
      </c>
    </row>
    <row r="589" spans="2:17" ht="16.5" hidden="1" x14ac:dyDescent="0.75">
      <c r="B589" s="227">
        <v>4</v>
      </c>
      <c r="C589" s="150">
        <v>3</v>
      </c>
      <c r="D589" s="150">
        <v>7</v>
      </c>
      <c r="E589" s="150" t="str">
        <f t="shared" si="41"/>
        <v>خرداد</v>
      </c>
      <c r="F589" s="151" t="s">
        <v>167</v>
      </c>
      <c r="G589" s="244" t="s">
        <v>457</v>
      </c>
      <c r="H589" s="247" t="s">
        <v>211</v>
      </c>
      <c r="I589" s="162"/>
      <c r="J589" s="251">
        <v>1</v>
      </c>
      <c r="K589" s="254">
        <v>1400000</v>
      </c>
      <c r="L589" s="255">
        <f t="shared" si="42"/>
        <v>1400000</v>
      </c>
      <c r="M589" s="257">
        <v>3400000</v>
      </c>
      <c r="N589" s="262" t="s">
        <v>299</v>
      </c>
      <c r="O58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589" s="262"/>
      <c r="Q589" s="264" t="str" cm="1">
        <f t="array" ref="Q589">IF(T[[#This Row],[نوع عملیات]]="فروش", _xlfn.XLOOKUP(T[[#This Row],[کالا]], _xlfn._xlws.FILTER(T[کالا], T[نوع عملیات]="خرید"), _xlfn._xlws.FILTER(T[فروشنده / مشتری], T[نوع عملیات]="خرید")), "")</f>
        <v>عبدل آباد</v>
      </c>
    </row>
    <row r="590" spans="2:17" ht="16.5" hidden="1" x14ac:dyDescent="0.75">
      <c r="B590" s="227">
        <v>4</v>
      </c>
      <c r="C590" s="150">
        <v>3</v>
      </c>
      <c r="D590" s="150">
        <v>7</v>
      </c>
      <c r="E590" s="150" t="str">
        <f t="shared" si="41"/>
        <v>خرداد</v>
      </c>
      <c r="F590" s="151" t="s">
        <v>167</v>
      </c>
      <c r="G590" s="244" t="s">
        <v>354</v>
      </c>
      <c r="H590" s="247" t="s">
        <v>211</v>
      </c>
      <c r="I590" s="162"/>
      <c r="J590" s="251">
        <v>1</v>
      </c>
      <c r="K590" s="254">
        <v>300000</v>
      </c>
      <c r="L590" s="255">
        <f t="shared" si="42"/>
        <v>300000</v>
      </c>
      <c r="M590" s="257">
        <v>300000</v>
      </c>
      <c r="N590" s="262" t="s">
        <v>299</v>
      </c>
      <c r="O59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590" s="262"/>
      <c r="Q590" s="264" t="str" cm="1">
        <f t="array" ref="Q590">IF(T[[#This Row],[نوع عملیات]]="فروش", _xlfn.XLOOKUP(T[[#This Row],[کالا]], _xlfn._xlws.FILTER(T[کالا], T[نوع عملیات]="خرید"), _xlfn._xlws.FILTER(T[فروشنده / مشتری], T[نوع عملیات]="خرید")), "")</f>
        <v>بازار</v>
      </c>
    </row>
    <row r="591" spans="2:17" ht="16.5" hidden="1" x14ac:dyDescent="0.75">
      <c r="B591" s="227">
        <v>4</v>
      </c>
      <c r="C591" s="150">
        <v>3</v>
      </c>
      <c r="D591" s="150">
        <v>8</v>
      </c>
      <c r="E591" s="150" t="str">
        <f t="shared" si="41"/>
        <v>خرداد</v>
      </c>
      <c r="F591" s="151" t="s">
        <v>167</v>
      </c>
      <c r="G591" s="244" t="s">
        <v>366</v>
      </c>
      <c r="H591" s="247" t="s">
        <v>211</v>
      </c>
      <c r="I591" s="162"/>
      <c r="J591" s="251">
        <v>1</v>
      </c>
      <c r="K591" s="254">
        <v>500000</v>
      </c>
      <c r="L591" s="255">
        <f t="shared" si="42"/>
        <v>500000</v>
      </c>
      <c r="M591" s="257">
        <v>500000</v>
      </c>
      <c r="N591" s="262" t="s">
        <v>346</v>
      </c>
      <c r="O59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170000</v>
      </c>
      <c r="P591" s="262"/>
      <c r="Q591" s="264" t="str" cm="1">
        <f t="array" ref="Q591">IF(T[[#This Row],[نوع عملیات]]="فروش", _xlfn.XLOOKUP(T[[#This Row],[کالا]], _xlfn._xlws.FILTER(T[کالا], T[نوع عملیات]="خرید"), _xlfn._xlws.FILTER(T[فروشنده / مشتری], T[نوع عملیات]="خرید")), "")</f>
        <v>بازار</v>
      </c>
    </row>
    <row r="592" spans="2:17" ht="16.5" hidden="1" x14ac:dyDescent="0.75">
      <c r="B592" s="227">
        <v>4</v>
      </c>
      <c r="C592" s="150">
        <v>3</v>
      </c>
      <c r="D592" s="150">
        <v>8</v>
      </c>
      <c r="E592" s="150" t="str">
        <f t="shared" si="41"/>
        <v>خرداد</v>
      </c>
      <c r="F592" s="151" t="s">
        <v>167</v>
      </c>
      <c r="G592" s="244" t="s">
        <v>485</v>
      </c>
      <c r="H592" s="247" t="s">
        <v>619</v>
      </c>
      <c r="I592" s="162"/>
      <c r="J592" s="251">
        <v>1</v>
      </c>
      <c r="K592" s="254">
        <v>2000000</v>
      </c>
      <c r="L592" s="255">
        <f t="shared" si="42"/>
        <v>2000000</v>
      </c>
      <c r="M592" s="257"/>
      <c r="N592" s="262"/>
      <c r="O59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592" s="262"/>
      <c r="Q592" s="264" t="str" cm="1">
        <f t="array" ref="Q592">IF(T[[#This Row],[نوع عملیات]]="فروش", _xlfn.XLOOKUP(T[[#This Row],[کالا]], _xlfn._xlws.FILTER(T[کالا], T[نوع عملیات]="خرید"), _xlfn._xlws.FILTER(T[فروشنده / مشتری], T[نوع عملیات]="خرید")), "")</f>
        <v>عبدل آباد</v>
      </c>
    </row>
    <row r="593" spans="2:17" ht="16.5" hidden="1" x14ac:dyDescent="0.75">
      <c r="B593" s="227">
        <v>4</v>
      </c>
      <c r="C593" s="150">
        <v>3</v>
      </c>
      <c r="D593" s="150">
        <v>8</v>
      </c>
      <c r="E593" s="150" t="str">
        <f t="shared" si="41"/>
        <v>خرداد</v>
      </c>
      <c r="F593" s="151" t="s">
        <v>167</v>
      </c>
      <c r="G593" s="244" t="s">
        <v>347</v>
      </c>
      <c r="H593" s="247" t="s">
        <v>690</v>
      </c>
      <c r="I593" s="162"/>
      <c r="J593" s="251">
        <v>1</v>
      </c>
      <c r="K593" s="254">
        <v>700000</v>
      </c>
      <c r="L593" s="255">
        <f t="shared" si="42"/>
        <v>700000</v>
      </c>
      <c r="M593" s="257"/>
      <c r="N593" s="262"/>
      <c r="O59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-150000</v>
      </c>
      <c r="P593" s="262"/>
      <c r="Q593" s="264" t="str" cm="1">
        <f t="array" ref="Q593">IF(T[[#This Row],[نوع عملیات]]="فروش", _xlfn.XLOOKUP(T[[#This Row],[کالا]], _xlfn._xlws.FILTER(T[کالا], T[نوع عملیات]="خرید"), _xlfn._xlws.FILTER(T[فروشنده / مشتری], T[نوع عملیات]="خرید")), "")</f>
        <v>دلگشا</v>
      </c>
    </row>
    <row r="594" spans="2:17" ht="16.5" hidden="1" x14ac:dyDescent="0.75">
      <c r="B594" s="227">
        <v>4</v>
      </c>
      <c r="C594" s="150">
        <v>3</v>
      </c>
      <c r="D594" s="150">
        <v>8</v>
      </c>
      <c r="E594" s="150" t="str">
        <f t="shared" si="41"/>
        <v>خرداد</v>
      </c>
      <c r="F594" s="151" t="s">
        <v>302</v>
      </c>
      <c r="G594" s="244"/>
      <c r="H594" s="247" t="s">
        <v>473</v>
      </c>
      <c r="I594" s="162"/>
      <c r="J594" s="251"/>
      <c r="K594" s="254"/>
      <c r="L594" s="255">
        <f t="shared" si="42"/>
        <v>0</v>
      </c>
      <c r="M594" s="257">
        <v>1000000</v>
      </c>
      <c r="N594" s="262" t="s">
        <v>299</v>
      </c>
      <c r="O59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94" s="262"/>
      <c r="Q594" s="264" t="str" cm="1">
        <f t="array" ref="Q594">IF(T[[#This Row],[نوع عملیات]]="فروش", _xlfn.XLOOKUP(T[[#This Row],[کالا]], _xlfn._xlws.FILTER(T[کالا], T[نوع عملیات]="خرید"), _xlfn._xlws.FILTER(T[فروشنده / مشتری], T[نوع عملیات]="خرید")), "")</f>
        <v/>
      </c>
    </row>
    <row r="595" spans="2:17" ht="16.5" hidden="1" x14ac:dyDescent="0.75">
      <c r="B595" s="227">
        <v>4</v>
      </c>
      <c r="C595" s="150">
        <v>3</v>
      </c>
      <c r="D595" s="150">
        <v>10</v>
      </c>
      <c r="E595" s="150" t="str">
        <f t="shared" si="41"/>
        <v>خرداد</v>
      </c>
      <c r="F595" s="151" t="s">
        <v>168</v>
      </c>
      <c r="G595" s="244" t="s">
        <v>540</v>
      </c>
      <c r="H595" s="247" t="s">
        <v>541</v>
      </c>
      <c r="I595" s="162" t="s">
        <v>610</v>
      </c>
      <c r="J595" s="251">
        <v>5</v>
      </c>
      <c r="K595" s="254">
        <v>638000</v>
      </c>
      <c r="L595" s="255">
        <f t="shared" si="42"/>
        <v>3190000</v>
      </c>
      <c r="M595" s="257">
        <v>3190000</v>
      </c>
      <c r="N595" s="262" t="s">
        <v>542</v>
      </c>
      <c r="O59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95" s="262"/>
      <c r="Q595" s="264" t="str" cm="1">
        <f t="array" ref="Q595">IF(T[[#This Row],[نوع عملیات]]="فروش", _xlfn.XLOOKUP(T[[#This Row],[کالا]], _xlfn._xlws.FILTER(T[کالا], T[نوع عملیات]="خرید"), _xlfn._xlws.FILTER(T[فروشنده / مشتری], T[نوع عملیات]="خرید")), "")</f>
        <v/>
      </c>
    </row>
    <row r="596" spans="2:17" ht="16.5" hidden="1" x14ac:dyDescent="0.75">
      <c r="B596" s="227">
        <v>4</v>
      </c>
      <c r="C596" s="150">
        <v>3</v>
      </c>
      <c r="D596" s="150">
        <v>10</v>
      </c>
      <c r="E596" s="150" t="str">
        <f t="shared" si="41"/>
        <v>خرداد</v>
      </c>
      <c r="F596" s="151" t="s">
        <v>168</v>
      </c>
      <c r="G596" s="244" t="s">
        <v>543</v>
      </c>
      <c r="H596" s="247" t="s">
        <v>541</v>
      </c>
      <c r="I596" s="162" t="s">
        <v>610</v>
      </c>
      <c r="J596" s="251">
        <v>4</v>
      </c>
      <c r="K596" s="254">
        <v>997500</v>
      </c>
      <c r="L596" s="255">
        <f t="shared" si="42"/>
        <v>3990000</v>
      </c>
      <c r="M596" s="257"/>
      <c r="N596" s="262" t="s">
        <v>542</v>
      </c>
      <c r="O59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96" s="262"/>
      <c r="Q596" s="264" t="str" cm="1">
        <f t="array" ref="Q596">IF(T[[#This Row],[نوع عملیات]]="فروش", _xlfn.XLOOKUP(T[[#This Row],[کالا]], _xlfn._xlws.FILTER(T[کالا], T[نوع عملیات]="خرید"), _xlfn._xlws.FILTER(T[فروشنده / مشتری], T[نوع عملیات]="خرید")), "")</f>
        <v/>
      </c>
    </row>
    <row r="597" spans="2:17" ht="16.5" hidden="1" x14ac:dyDescent="0.75">
      <c r="B597" s="227">
        <v>4</v>
      </c>
      <c r="C597" s="150">
        <v>3</v>
      </c>
      <c r="D597" s="150">
        <v>10</v>
      </c>
      <c r="E597" s="150" t="str">
        <f t="shared" si="41"/>
        <v>خرداد</v>
      </c>
      <c r="F597" s="151" t="s">
        <v>168</v>
      </c>
      <c r="G597" s="244" t="s">
        <v>544</v>
      </c>
      <c r="H597" s="247" t="s">
        <v>541</v>
      </c>
      <c r="I597" s="162" t="s">
        <v>610</v>
      </c>
      <c r="J597" s="251">
        <v>4</v>
      </c>
      <c r="K597" s="254">
        <v>997500</v>
      </c>
      <c r="L597" s="255">
        <f t="shared" si="42"/>
        <v>3990000</v>
      </c>
      <c r="M597" s="257"/>
      <c r="N597" s="262" t="s">
        <v>542</v>
      </c>
      <c r="O59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97" s="262"/>
      <c r="Q597" s="264" t="str" cm="1">
        <f t="array" ref="Q597">IF(T[[#This Row],[نوع عملیات]]="فروش", _xlfn.XLOOKUP(T[[#This Row],[کالا]], _xlfn._xlws.FILTER(T[کالا], T[نوع عملیات]="خرید"), _xlfn._xlws.FILTER(T[فروشنده / مشتری], T[نوع عملیات]="خرید")), "")</f>
        <v/>
      </c>
    </row>
    <row r="598" spans="2:17" ht="16.5" hidden="1" x14ac:dyDescent="0.75">
      <c r="B598" s="227">
        <v>4</v>
      </c>
      <c r="C598" s="150">
        <v>3</v>
      </c>
      <c r="D598" s="150">
        <v>10</v>
      </c>
      <c r="E598" s="150" t="str">
        <f t="shared" si="41"/>
        <v>خرداد</v>
      </c>
      <c r="F598" s="151" t="s">
        <v>168</v>
      </c>
      <c r="G598" s="244" t="s">
        <v>545</v>
      </c>
      <c r="H598" s="247" t="s">
        <v>541</v>
      </c>
      <c r="I598" s="162" t="s">
        <v>610</v>
      </c>
      <c r="J598" s="251">
        <v>4</v>
      </c>
      <c r="K598" s="254">
        <v>897500</v>
      </c>
      <c r="L598" s="255">
        <f t="shared" si="42"/>
        <v>3590000</v>
      </c>
      <c r="M598" s="257">
        <v>11570000</v>
      </c>
      <c r="N598" s="262" t="s">
        <v>542</v>
      </c>
      <c r="O59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98" s="262"/>
      <c r="Q598" s="264" t="str" cm="1">
        <f t="array" ref="Q598">IF(T[[#This Row],[نوع عملیات]]="فروش", _xlfn.XLOOKUP(T[[#This Row],[کالا]], _xlfn._xlws.FILTER(T[کالا], T[نوع عملیات]="خرید"), _xlfn._xlws.FILTER(T[فروشنده / مشتری], T[نوع عملیات]="خرید")), "")</f>
        <v/>
      </c>
    </row>
    <row r="599" spans="2:17" ht="16.5" hidden="1" x14ac:dyDescent="0.75">
      <c r="B599" s="227">
        <v>4</v>
      </c>
      <c r="C599" s="150">
        <v>3</v>
      </c>
      <c r="D599" s="150">
        <v>10</v>
      </c>
      <c r="E599" s="150" t="str">
        <f t="shared" si="41"/>
        <v>خرداد</v>
      </c>
      <c r="F599" s="151" t="s">
        <v>168</v>
      </c>
      <c r="G599" s="244" t="s">
        <v>546</v>
      </c>
      <c r="H599" s="247" t="s">
        <v>541</v>
      </c>
      <c r="I599" s="162" t="s">
        <v>610</v>
      </c>
      <c r="J599" s="251">
        <v>4</v>
      </c>
      <c r="K599" s="254">
        <v>1100000</v>
      </c>
      <c r="L599" s="255">
        <f t="shared" si="42"/>
        <v>4400000</v>
      </c>
      <c r="M599" s="257">
        <v>4400000</v>
      </c>
      <c r="N599" s="262" t="s">
        <v>542</v>
      </c>
      <c r="O59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599" s="262"/>
      <c r="Q599" s="264" t="str" cm="1">
        <f t="array" ref="Q599">IF(T[[#This Row],[نوع عملیات]]="فروش", _xlfn.XLOOKUP(T[[#This Row],[کالا]], _xlfn._xlws.FILTER(T[کالا], T[نوع عملیات]="خرید"), _xlfn._xlws.FILTER(T[فروشنده / مشتری], T[نوع عملیات]="خرید")), "")</f>
        <v/>
      </c>
    </row>
    <row r="600" spans="2:17" ht="16.5" hidden="1" x14ac:dyDescent="0.75">
      <c r="B600" s="227">
        <v>4</v>
      </c>
      <c r="C600" s="150">
        <v>3</v>
      </c>
      <c r="D600" s="150">
        <v>10</v>
      </c>
      <c r="E600" s="150" t="str">
        <f t="shared" si="41"/>
        <v>خرداد</v>
      </c>
      <c r="F600" s="151" t="s">
        <v>168</v>
      </c>
      <c r="G600" s="244" t="s">
        <v>547</v>
      </c>
      <c r="H600" s="247" t="s">
        <v>541</v>
      </c>
      <c r="I600" s="162" t="s">
        <v>610</v>
      </c>
      <c r="J600" s="251">
        <v>5</v>
      </c>
      <c r="K600" s="254">
        <v>390000</v>
      </c>
      <c r="L600" s="255">
        <f t="shared" si="42"/>
        <v>1950000</v>
      </c>
      <c r="M600" s="257">
        <v>1950000</v>
      </c>
      <c r="N600" s="262" t="s">
        <v>542</v>
      </c>
      <c r="O6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0" s="262"/>
      <c r="Q600" s="264" t="str" cm="1">
        <f t="array" ref="Q600">IF(T[[#This Row],[نوع عملیات]]="فروش", _xlfn.XLOOKUP(T[[#This Row],[کالا]], _xlfn._xlws.FILTER(T[کالا], T[نوع عملیات]="خرید"), _xlfn._xlws.FILTER(T[فروشنده / مشتری], T[نوع عملیات]="خرید")), "")</f>
        <v/>
      </c>
    </row>
    <row r="601" spans="2:17" ht="16.5" hidden="1" x14ac:dyDescent="0.75">
      <c r="B601" s="227">
        <v>4</v>
      </c>
      <c r="C601" s="150">
        <v>3</v>
      </c>
      <c r="D601" s="150">
        <v>10</v>
      </c>
      <c r="E601" s="150" t="str">
        <f t="shared" si="41"/>
        <v>خرداد</v>
      </c>
      <c r="F601" s="151" t="s">
        <v>168</v>
      </c>
      <c r="G601" s="244" t="s">
        <v>548</v>
      </c>
      <c r="H601" s="247" t="s">
        <v>541</v>
      </c>
      <c r="I601" s="162" t="s">
        <v>610</v>
      </c>
      <c r="J601" s="251">
        <v>2</v>
      </c>
      <c r="K601" s="254">
        <v>2470000</v>
      </c>
      <c r="L601" s="255">
        <f t="shared" si="42"/>
        <v>4940000</v>
      </c>
      <c r="M601" s="257">
        <v>4940000</v>
      </c>
      <c r="N601" s="262" t="s">
        <v>542</v>
      </c>
      <c r="O6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1" s="262"/>
      <c r="Q601" s="264" t="str" cm="1">
        <f t="array" ref="Q601">IF(T[[#This Row],[نوع عملیات]]="فروش", _xlfn.XLOOKUP(T[[#This Row],[کالا]], _xlfn._xlws.FILTER(T[کالا], T[نوع عملیات]="خرید"), _xlfn._xlws.FILTER(T[فروشنده / مشتری], T[نوع عملیات]="خرید")), "")</f>
        <v/>
      </c>
    </row>
    <row r="602" spans="2:17" ht="16.5" hidden="1" x14ac:dyDescent="0.75">
      <c r="B602" s="227">
        <v>4</v>
      </c>
      <c r="C602" s="150">
        <v>3</v>
      </c>
      <c r="D602" s="150">
        <v>10</v>
      </c>
      <c r="E602" s="150" t="str">
        <f t="shared" si="41"/>
        <v>خرداد</v>
      </c>
      <c r="F602" s="151" t="s">
        <v>168</v>
      </c>
      <c r="G602" s="244" t="s">
        <v>549</v>
      </c>
      <c r="H602" s="247" t="s">
        <v>463</v>
      </c>
      <c r="I602" s="162" t="s">
        <v>581</v>
      </c>
      <c r="J602" s="251">
        <v>3</v>
      </c>
      <c r="K602" s="254">
        <v>500000</v>
      </c>
      <c r="L602" s="255">
        <f t="shared" si="42"/>
        <v>1500000</v>
      </c>
      <c r="M602" s="257">
        <v>1500000</v>
      </c>
      <c r="N602" s="262" t="s">
        <v>542</v>
      </c>
      <c r="O6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2" s="262"/>
      <c r="Q602" s="264" t="str" cm="1">
        <f t="array" ref="Q602">IF(T[[#This Row],[نوع عملیات]]="فروش", _xlfn.XLOOKUP(T[[#This Row],[کالا]], _xlfn._xlws.FILTER(T[کالا], T[نوع عملیات]="خرید"), _xlfn._xlws.FILTER(T[فروشنده / مشتری], T[نوع عملیات]="خرید")), "")</f>
        <v/>
      </c>
    </row>
    <row r="603" spans="2:17" ht="16.5" hidden="1" x14ac:dyDescent="0.75">
      <c r="B603" s="227">
        <v>4</v>
      </c>
      <c r="C603" s="150">
        <v>3</v>
      </c>
      <c r="D603" s="150">
        <v>10</v>
      </c>
      <c r="E603" s="150" t="str">
        <f t="shared" si="41"/>
        <v>خرداد</v>
      </c>
      <c r="F603" s="151" t="s">
        <v>168</v>
      </c>
      <c r="G603" s="244" t="s">
        <v>550</v>
      </c>
      <c r="H603" s="247" t="s">
        <v>463</v>
      </c>
      <c r="I603" s="162" t="s">
        <v>581</v>
      </c>
      <c r="J603" s="251">
        <v>10</v>
      </c>
      <c r="K603" s="254">
        <v>175000</v>
      </c>
      <c r="L603" s="255">
        <f t="shared" si="42"/>
        <v>1750000</v>
      </c>
      <c r="M603" s="257">
        <v>1750000</v>
      </c>
      <c r="N603" s="262" t="s">
        <v>542</v>
      </c>
      <c r="O6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3" s="262"/>
      <c r="Q603" s="264" t="str" cm="1">
        <f t="array" ref="Q603">IF(T[[#This Row],[نوع عملیات]]="فروش", _xlfn.XLOOKUP(T[[#This Row],[کالا]], _xlfn._xlws.FILTER(T[کالا], T[نوع عملیات]="خرید"), _xlfn._xlws.FILTER(T[فروشنده / مشتری], T[نوع عملیات]="خرید")), "")</f>
        <v/>
      </c>
    </row>
    <row r="604" spans="2:17" ht="16.5" hidden="1" x14ac:dyDescent="0.75">
      <c r="B604" s="227">
        <v>4</v>
      </c>
      <c r="C604" s="150">
        <v>3</v>
      </c>
      <c r="D604" s="150">
        <v>10</v>
      </c>
      <c r="E604" s="150" t="str">
        <f t="shared" si="41"/>
        <v>خرداد</v>
      </c>
      <c r="F604" s="151" t="s">
        <v>168</v>
      </c>
      <c r="G604" s="244" t="s">
        <v>551</v>
      </c>
      <c r="H604" s="247" t="s">
        <v>463</v>
      </c>
      <c r="I604" s="162" t="s">
        <v>581</v>
      </c>
      <c r="J604" s="251">
        <v>3</v>
      </c>
      <c r="K604" s="254">
        <v>356000</v>
      </c>
      <c r="L604" s="255">
        <f t="shared" si="42"/>
        <v>1068000</v>
      </c>
      <c r="M604" s="257"/>
      <c r="N604" s="262" t="s">
        <v>542</v>
      </c>
      <c r="O6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4" s="262"/>
      <c r="Q604" s="264" t="str" cm="1">
        <f t="array" ref="Q604">IF(T[[#This Row],[نوع عملیات]]="فروش", _xlfn.XLOOKUP(T[[#This Row],[کالا]], _xlfn._xlws.FILTER(T[کالا], T[نوع عملیات]="خرید"), _xlfn._xlws.FILTER(T[فروشنده / مشتری], T[نوع عملیات]="خرید")), "")</f>
        <v/>
      </c>
    </row>
    <row r="605" spans="2:17" ht="16.5" hidden="1" x14ac:dyDescent="0.75">
      <c r="B605" s="227">
        <v>4</v>
      </c>
      <c r="C605" s="150">
        <v>3</v>
      </c>
      <c r="D605" s="150">
        <v>10</v>
      </c>
      <c r="E605" s="150" t="str">
        <f t="shared" si="41"/>
        <v>خرداد</v>
      </c>
      <c r="F605" s="151" t="s">
        <v>168</v>
      </c>
      <c r="G605" s="244" t="s">
        <v>552</v>
      </c>
      <c r="H605" s="247" t="s">
        <v>463</v>
      </c>
      <c r="I605" s="162" t="s">
        <v>581</v>
      </c>
      <c r="J605" s="251">
        <v>3</v>
      </c>
      <c r="K605" s="254">
        <v>394000</v>
      </c>
      <c r="L605" s="255">
        <f t="shared" si="42"/>
        <v>1182000</v>
      </c>
      <c r="M605" s="257">
        <v>2250000</v>
      </c>
      <c r="N605" s="262" t="s">
        <v>542</v>
      </c>
      <c r="O6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5" s="262"/>
      <c r="Q605" s="264" t="str" cm="1">
        <f t="array" ref="Q605">IF(T[[#This Row],[نوع عملیات]]="فروش", _xlfn.XLOOKUP(T[[#This Row],[کالا]], _xlfn._xlws.FILTER(T[کالا], T[نوع عملیات]="خرید"), _xlfn._xlws.FILTER(T[فروشنده / مشتری], T[نوع عملیات]="خرید")), "")</f>
        <v/>
      </c>
    </row>
    <row r="606" spans="2:17" ht="16.5" hidden="1" x14ac:dyDescent="0.75">
      <c r="B606" s="227">
        <v>4</v>
      </c>
      <c r="C606" s="150">
        <v>3</v>
      </c>
      <c r="D606" s="150">
        <v>10</v>
      </c>
      <c r="E606" s="150" t="str">
        <f t="shared" si="41"/>
        <v>خرداد</v>
      </c>
      <c r="F606" s="151" t="s">
        <v>168</v>
      </c>
      <c r="G606" s="244" t="s">
        <v>553</v>
      </c>
      <c r="H606" s="247" t="s">
        <v>463</v>
      </c>
      <c r="I606" s="162" t="s">
        <v>581</v>
      </c>
      <c r="J606" s="251">
        <v>2</v>
      </c>
      <c r="K606" s="254">
        <v>40000</v>
      </c>
      <c r="L606" s="255">
        <f t="shared" si="42"/>
        <v>80000</v>
      </c>
      <c r="M606" s="257"/>
      <c r="N606" s="262" t="s">
        <v>542</v>
      </c>
      <c r="O6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6" s="262"/>
      <c r="Q606" s="264" t="str" cm="1">
        <f t="array" ref="Q606">IF(T[[#This Row],[نوع عملیات]]="فروش", _xlfn.XLOOKUP(T[[#This Row],[کالا]], _xlfn._xlws.FILTER(T[کالا], T[نوع عملیات]="خرید"), _xlfn._xlws.FILTER(T[فروشنده / مشتری], T[نوع عملیات]="خرید")), "")</f>
        <v/>
      </c>
    </row>
    <row r="607" spans="2:17" ht="16.5" hidden="1" x14ac:dyDescent="0.75">
      <c r="B607" s="227">
        <v>4</v>
      </c>
      <c r="C607" s="150">
        <v>3</v>
      </c>
      <c r="D607" s="150">
        <v>10</v>
      </c>
      <c r="E607" s="150" t="str">
        <f t="shared" si="41"/>
        <v>خرداد</v>
      </c>
      <c r="F607" s="151" t="s">
        <v>168</v>
      </c>
      <c r="G607" s="244" t="s">
        <v>554</v>
      </c>
      <c r="H607" s="247" t="s">
        <v>463</v>
      </c>
      <c r="I607" s="162" t="s">
        <v>581</v>
      </c>
      <c r="J607" s="251">
        <v>6</v>
      </c>
      <c r="K607" s="254">
        <v>89000</v>
      </c>
      <c r="L607" s="255">
        <f t="shared" si="42"/>
        <v>534000</v>
      </c>
      <c r="M607" s="257"/>
      <c r="N607" s="262" t="s">
        <v>542</v>
      </c>
      <c r="O6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7" s="262"/>
      <c r="Q607" s="264" t="str" cm="1">
        <f t="array" ref="Q607">IF(T[[#This Row],[نوع عملیات]]="فروش", _xlfn.XLOOKUP(T[[#This Row],[کالا]], _xlfn._xlws.FILTER(T[کالا], T[نوع عملیات]="خرید"), _xlfn._xlws.FILTER(T[فروشنده / مشتری], T[نوع عملیات]="خرید")), "")</f>
        <v/>
      </c>
    </row>
    <row r="608" spans="2:17" ht="16.5" hidden="1" x14ac:dyDescent="0.75">
      <c r="B608" s="227">
        <v>4</v>
      </c>
      <c r="C608" s="150">
        <v>3</v>
      </c>
      <c r="D608" s="150">
        <v>10</v>
      </c>
      <c r="E608" s="150" t="str">
        <f t="shared" si="41"/>
        <v>خرداد</v>
      </c>
      <c r="F608" s="151" t="s">
        <v>168</v>
      </c>
      <c r="G608" s="244" t="s">
        <v>555</v>
      </c>
      <c r="H608" s="247" t="s">
        <v>463</v>
      </c>
      <c r="I608" s="162" t="s">
        <v>581</v>
      </c>
      <c r="J608" s="251">
        <v>4</v>
      </c>
      <c r="K608" s="254">
        <v>59000</v>
      </c>
      <c r="L608" s="255">
        <f t="shared" si="42"/>
        <v>236000</v>
      </c>
      <c r="M608" s="257">
        <v>850000</v>
      </c>
      <c r="N608" s="262" t="s">
        <v>542</v>
      </c>
      <c r="O6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8" s="262"/>
      <c r="Q608" s="264" t="str" cm="1">
        <f t="array" ref="Q608">IF(T[[#This Row],[نوع عملیات]]="فروش", _xlfn.XLOOKUP(T[[#This Row],[کالا]], _xlfn._xlws.FILTER(T[کالا], T[نوع عملیات]="خرید"), _xlfn._xlws.FILTER(T[فروشنده / مشتری], T[نوع عملیات]="خرید")), "")</f>
        <v/>
      </c>
    </row>
    <row r="609" spans="2:17" ht="16.5" x14ac:dyDescent="0.75">
      <c r="B609" s="227">
        <v>4</v>
      </c>
      <c r="C609" s="150">
        <v>3</v>
      </c>
      <c r="D609" s="150">
        <v>10</v>
      </c>
      <c r="E609" s="150" t="str">
        <f t="shared" si="41"/>
        <v>خرداد</v>
      </c>
      <c r="F609" s="151" t="s">
        <v>168</v>
      </c>
      <c r="G609" s="244" t="s">
        <v>457</v>
      </c>
      <c r="H609" s="247" t="s">
        <v>390</v>
      </c>
      <c r="I609" s="162" t="s">
        <v>533</v>
      </c>
      <c r="J609" s="251">
        <v>3</v>
      </c>
      <c r="K609" s="254">
        <v>1000000</v>
      </c>
      <c r="L609" s="255">
        <f t="shared" ref="L609:L614" si="43">J609*K609</f>
        <v>3000000</v>
      </c>
      <c r="M609" s="257"/>
      <c r="N609" s="262" t="s">
        <v>542</v>
      </c>
      <c r="O6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09" s="262"/>
      <c r="Q609" s="264" t="str" cm="1">
        <f t="array" ref="Q609">IF(T[[#This Row],[نوع عملیات]]="فروش", _xlfn.XLOOKUP(T[[#This Row],[کالا]], _xlfn._xlws.FILTER(T[کالا], T[نوع عملیات]="خرید"), _xlfn._xlws.FILTER(T[فروشنده / مشتری], T[نوع عملیات]="خرید")), "")</f>
        <v/>
      </c>
    </row>
    <row r="610" spans="2:17" ht="16.5" x14ac:dyDescent="0.75">
      <c r="B610" s="227">
        <v>4</v>
      </c>
      <c r="C610" s="150">
        <v>3</v>
      </c>
      <c r="D610" s="150">
        <v>10</v>
      </c>
      <c r="E610" s="150" t="str">
        <f t="shared" si="41"/>
        <v>خرداد</v>
      </c>
      <c r="F610" s="151" t="s">
        <v>168</v>
      </c>
      <c r="G610" s="244" t="s">
        <v>457</v>
      </c>
      <c r="H610" s="247" t="s">
        <v>390</v>
      </c>
      <c r="I610" s="162" t="s">
        <v>533</v>
      </c>
      <c r="J610" s="251">
        <v>1</v>
      </c>
      <c r="K610" s="254">
        <v>950000</v>
      </c>
      <c r="L610" s="255">
        <f t="shared" si="43"/>
        <v>950000</v>
      </c>
      <c r="M610" s="257"/>
      <c r="N610" s="262" t="s">
        <v>542</v>
      </c>
      <c r="O6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0" s="262"/>
      <c r="Q610" s="264" t="str" cm="1">
        <f t="array" ref="Q610">IF(T[[#This Row],[نوع عملیات]]="فروش", _xlfn.XLOOKUP(T[[#This Row],[کالا]], _xlfn._xlws.FILTER(T[کالا], T[نوع عملیات]="خرید"), _xlfn._xlws.FILTER(T[فروشنده / مشتری], T[نوع عملیات]="خرید")), "")</f>
        <v/>
      </c>
    </row>
    <row r="611" spans="2:17" ht="16.5" x14ac:dyDescent="0.75">
      <c r="B611" s="227">
        <v>4</v>
      </c>
      <c r="C611" s="150">
        <v>3</v>
      </c>
      <c r="D611" s="150">
        <v>10</v>
      </c>
      <c r="E611" s="150" t="str">
        <f t="shared" si="41"/>
        <v>خرداد</v>
      </c>
      <c r="F611" s="151" t="s">
        <v>168</v>
      </c>
      <c r="G611" s="244" t="s">
        <v>559</v>
      </c>
      <c r="H611" s="247" t="s">
        <v>390</v>
      </c>
      <c r="I611" s="162" t="s">
        <v>533</v>
      </c>
      <c r="J611" s="251">
        <v>1</v>
      </c>
      <c r="K611" s="254">
        <v>1380000</v>
      </c>
      <c r="L611" s="255">
        <f t="shared" si="43"/>
        <v>1380000</v>
      </c>
      <c r="M611" s="257">
        <v>5330000</v>
      </c>
      <c r="N611" s="262" t="s">
        <v>542</v>
      </c>
      <c r="O6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1" s="262"/>
      <c r="Q611" s="264" t="str" cm="1">
        <f t="array" ref="Q611">IF(T[[#This Row],[نوع عملیات]]="فروش", _xlfn.XLOOKUP(T[[#This Row],[کالا]], _xlfn._xlws.FILTER(T[کالا], T[نوع عملیات]="خرید"), _xlfn._xlws.FILTER(T[فروشنده / مشتری], T[نوع عملیات]="خرید")), "")</f>
        <v/>
      </c>
    </row>
    <row r="612" spans="2:17" ht="16.5" x14ac:dyDescent="0.75">
      <c r="B612" s="227">
        <v>4</v>
      </c>
      <c r="C612" s="150">
        <v>3</v>
      </c>
      <c r="D612" s="150">
        <v>10</v>
      </c>
      <c r="E612" s="150" t="str">
        <f t="shared" si="41"/>
        <v>خرداد</v>
      </c>
      <c r="F612" s="151" t="s">
        <v>168</v>
      </c>
      <c r="G612" s="244" t="s">
        <v>486</v>
      </c>
      <c r="H612" s="247" t="s">
        <v>390</v>
      </c>
      <c r="I612" s="162" t="s">
        <v>533</v>
      </c>
      <c r="J612" s="251">
        <v>6</v>
      </c>
      <c r="K612" s="254">
        <v>1545000</v>
      </c>
      <c r="L612" s="255">
        <f t="shared" si="43"/>
        <v>9270000</v>
      </c>
      <c r="M612" s="257">
        <v>10000000</v>
      </c>
      <c r="N612" s="262" t="s">
        <v>346</v>
      </c>
      <c r="O6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2" s="262"/>
      <c r="Q612" s="264" t="str" cm="1">
        <f t="array" ref="Q612">IF(T[[#This Row],[نوع عملیات]]="فروش", _xlfn.XLOOKUP(T[[#This Row],[کالا]], _xlfn._xlws.FILTER(T[کالا], T[نوع عملیات]="خرید"), _xlfn._xlws.FILTER(T[فروشنده / مشتری], T[نوع عملیات]="خرید")), "")</f>
        <v/>
      </c>
    </row>
    <row r="613" spans="2:17" ht="16.5" x14ac:dyDescent="0.75">
      <c r="B613" s="227">
        <v>4</v>
      </c>
      <c r="C613" s="150">
        <v>3</v>
      </c>
      <c r="D613" s="150">
        <v>10</v>
      </c>
      <c r="E613" s="150" t="str">
        <f t="shared" si="41"/>
        <v>خرداد</v>
      </c>
      <c r="F613" s="151" t="s">
        <v>168</v>
      </c>
      <c r="G613" s="244" t="s">
        <v>556</v>
      </c>
      <c r="H613" s="247" t="s">
        <v>390</v>
      </c>
      <c r="I613" s="162" t="s">
        <v>533</v>
      </c>
      <c r="J613" s="251">
        <v>2</v>
      </c>
      <c r="K613" s="254">
        <v>845000</v>
      </c>
      <c r="L613" s="255">
        <f t="shared" si="43"/>
        <v>1690000</v>
      </c>
      <c r="M613" s="257"/>
      <c r="N613" s="262" t="s">
        <v>542</v>
      </c>
      <c r="O61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3" s="262"/>
      <c r="Q613" s="264" t="str" cm="1">
        <f t="array" ref="Q613">IF(T[[#This Row],[نوع عملیات]]="فروش", _xlfn.XLOOKUP(T[[#This Row],[کالا]], _xlfn._xlws.FILTER(T[کالا], T[نوع عملیات]="خرید"), _xlfn._xlws.FILTER(T[فروشنده / مشتری], T[نوع عملیات]="خرید")), "")</f>
        <v/>
      </c>
    </row>
    <row r="614" spans="2:17" ht="16.5" x14ac:dyDescent="0.75">
      <c r="B614" s="227">
        <v>4</v>
      </c>
      <c r="C614" s="150">
        <v>3</v>
      </c>
      <c r="D614" s="150">
        <v>10</v>
      </c>
      <c r="E614" s="150" t="str">
        <f t="shared" si="41"/>
        <v>خرداد</v>
      </c>
      <c r="F614" s="151" t="s">
        <v>168</v>
      </c>
      <c r="G614" s="244" t="s">
        <v>457</v>
      </c>
      <c r="H614" s="247" t="s">
        <v>390</v>
      </c>
      <c r="I614" s="162" t="s">
        <v>533</v>
      </c>
      <c r="J614" s="251">
        <v>13</v>
      </c>
      <c r="K614" s="254">
        <v>980000</v>
      </c>
      <c r="L614" s="255">
        <f t="shared" si="43"/>
        <v>12740000</v>
      </c>
      <c r="M614" s="257">
        <v>13700000</v>
      </c>
      <c r="N614" s="262" t="s">
        <v>542</v>
      </c>
      <c r="O6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4" s="262"/>
      <c r="Q614" s="264" t="str" cm="1">
        <f t="array" ref="Q614">IF(T[[#This Row],[نوع عملیات]]="فروش", _xlfn.XLOOKUP(T[[#This Row],[کالا]], _xlfn._xlws.FILTER(T[کالا], T[نوع عملیات]="خرید"), _xlfn._xlws.FILTER(T[فروشنده / مشتری], T[نوع عملیات]="خرید")), "")</f>
        <v/>
      </c>
    </row>
    <row r="615" spans="2:17" ht="16.5" hidden="1" x14ac:dyDescent="0.75">
      <c r="B615" s="227">
        <v>4</v>
      </c>
      <c r="C615" s="150">
        <v>3</v>
      </c>
      <c r="D615" s="150">
        <v>10</v>
      </c>
      <c r="E615" s="150" t="str">
        <f t="shared" si="41"/>
        <v>خرداد</v>
      </c>
      <c r="F615" s="151" t="s">
        <v>168</v>
      </c>
      <c r="G615" s="244" t="s">
        <v>557</v>
      </c>
      <c r="H615" s="247" t="s">
        <v>541</v>
      </c>
      <c r="I615" s="162" t="s">
        <v>610</v>
      </c>
      <c r="J615" s="251">
        <v>6</v>
      </c>
      <c r="K615" s="254">
        <f>T[[#This Row],[قیمت کل]]/T[[#This Row],[تعداد]]</f>
        <v>591666.66666666663</v>
      </c>
      <c r="L615" s="255">
        <v>3550000</v>
      </c>
      <c r="M615" s="257">
        <v>3550000</v>
      </c>
      <c r="N615" s="262" t="s">
        <v>542</v>
      </c>
      <c r="O61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5" s="262"/>
      <c r="Q615" s="264" t="str" cm="1">
        <f t="array" ref="Q615">IF(T[[#This Row],[نوع عملیات]]="فروش", _xlfn.XLOOKUP(T[[#This Row],[کالا]], _xlfn._xlws.FILTER(T[کالا], T[نوع عملیات]="خرید"), _xlfn._xlws.FILTER(T[فروشنده / مشتری], T[نوع عملیات]="خرید")), "")</f>
        <v/>
      </c>
    </row>
    <row r="616" spans="2:17" ht="16.5" x14ac:dyDescent="0.75">
      <c r="B616" s="227">
        <v>4</v>
      </c>
      <c r="C616" s="150">
        <v>3</v>
      </c>
      <c r="D616" s="150">
        <v>10</v>
      </c>
      <c r="E616" s="150" t="str">
        <f t="shared" si="41"/>
        <v>خرداد</v>
      </c>
      <c r="F616" s="151" t="s">
        <v>168</v>
      </c>
      <c r="G616" s="244" t="s">
        <v>558</v>
      </c>
      <c r="H616" s="247" t="s">
        <v>390</v>
      </c>
      <c r="I616" s="162" t="s">
        <v>533</v>
      </c>
      <c r="J616" s="251">
        <v>5</v>
      </c>
      <c r="K616" s="254">
        <v>300000</v>
      </c>
      <c r="L616" s="255">
        <f t="shared" ref="L616:L630" si="44">J616*K616</f>
        <v>1500000</v>
      </c>
      <c r="M616" s="257">
        <v>1500000</v>
      </c>
      <c r="N616" s="262" t="s">
        <v>542</v>
      </c>
      <c r="O61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6" s="262"/>
      <c r="Q616" s="264" t="str" cm="1">
        <f t="array" ref="Q616">IF(T[[#This Row],[نوع عملیات]]="فروش", _xlfn.XLOOKUP(T[[#This Row],[کالا]], _xlfn._xlws.FILTER(T[کالا], T[نوع عملیات]="خرید"), _xlfn._xlws.FILTER(T[فروشنده / مشتری], T[نوع عملیات]="خرید")), "")</f>
        <v/>
      </c>
    </row>
    <row r="617" spans="2:17" ht="16.5" hidden="1" x14ac:dyDescent="0.75">
      <c r="B617" s="227">
        <v>4</v>
      </c>
      <c r="C617" s="150">
        <v>3</v>
      </c>
      <c r="D617" s="150">
        <v>10</v>
      </c>
      <c r="E617" s="150" t="str">
        <f t="shared" si="41"/>
        <v>خرداد</v>
      </c>
      <c r="F617" s="151" t="s">
        <v>168</v>
      </c>
      <c r="G617" s="244" t="s">
        <v>562</v>
      </c>
      <c r="H617" s="247" t="s">
        <v>541</v>
      </c>
      <c r="I617" s="162" t="s">
        <v>610</v>
      </c>
      <c r="J617" s="251">
        <v>5</v>
      </c>
      <c r="K617" s="254">
        <v>498000</v>
      </c>
      <c r="L617" s="255">
        <f t="shared" si="44"/>
        <v>2490000</v>
      </c>
      <c r="M617" s="257"/>
      <c r="N617" s="262" t="s">
        <v>542</v>
      </c>
      <c r="O61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7" s="262"/>
      <c r="Q617" s="264" t="str" cm="1">
        <f t="array" ref="Q617">IF(T[[#This Row],[نوع عملیات]]="فروش", _xlfn.XLOOKUP(T[[#This Row],[کالا]], _xlfn._xlws.FILTER(T[کالا], T[نوع عملیات]="خرید"), _xlfn._xlws.FILTER(T[فروشنده / مشتری], T[نوع عملیات]="خرید")), "")</f>
        <v/>
      </c>
    </row>
    <row r="618" spans="2:17" ht="16.5" hidden="1" x14ac:dyDescent="0.75">
      <c r="B618" s="227">
        <v>4</v>
      </c>
      <c r="C618" s="150">
        <v>3</v>
      </c>
      <c r="D618" s="150">
        <v>10</v>
      </c>
      <c r="E618" s="150" t="str">
        <f t="shared" si="41"/>
        <v>خرداد</v>
      </c>
      <c r="F618" s="151" t="s">
        <v>168</v>
      </c>
      <c r="G618" s="244" t="s">
        <v>565</v>
      </c>
      <c r="H618" s="247" t="s">
        <v>541</v>
      </c>
      <c r="I618" s="162" t="s">
        <v>610</v>
      </c>
      <c r="J618" s="251">
        <v>2</v>
      </c>
      <c r="K618" s="254">
        <v>1092000</v>
      </c>
      <c r="L618" s="255">
        <f t="shared" si="44"/>
        <v>2184000</v>
      </c>
      <c r="M618" s="257"/>
      <c r="N618" s="262" t="s">
        <v>542</v>
      </c>
      <c r="O61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8" s="262"/>
      <c r="Q618" s="264" t="str" cm="1">
        <f t="array" ref="Q618">IF(T[[#This Row],[نوع عملیات]]="فروش", _xlfn.XLOOKUP(T[[#This Row],[کالا]], _xlfn._xlws.FILTER(T[کالا], T[نوع عملیات]="خرید"), _xlfn._xlws.FILTER(T[فروشنده / مشتری], T[نوع عملیات]="خرید")), "")</f>
        <v/>
      </c>
    </row>
    <row r="619" spans="2:17" ht="16.5" hidden="1" x14ac:dyDescent="0.75">
      <c r="B619" s="227">
        <v>4</v>
      </c>
      <c r="C619" s="150">
        <v>3</v>
      </c>
      <c r="D619" s="150">
        <v>10</v>
      </c>
      <c r="E619" s="150" t="str">
        <f t="shared" si="41"/>
        <v>خرداد</v>
      </c>
      <c r="F619" s="151" t="s">
        <v>168</v>
      </c>
      <c r="G619" s="244" t="s">
        <v>566</v>
      </c>
      <c r="H619" s="247" t="s">
        <v>541</v>
      </c>
      <c r="I619" s="162" t="s">
        <v>610</v>
      </c>
      <c r="J619" s="251">
        <v>2</v>
      </c>
      <c r="K619" s="254">
        <v>398000</v>
      </c>
      <c r="L619" s="255">
        <f t="shared" si="44"/>
        <v>796000</v>
      </c>
      <c r="M619" s="257"/>
      <c r="N619" s="262" t="s">
        <v>542</v>
      </c>
      <c r="O61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19" s="262"/>
      <c r="Q619" s="264" t="str" cm="1">
        <f t="array" ref="Q619">IF(T[[#This Row],[نوع عملیات]]="فروش", _xlfn.XLOOKUP(T[[#This Row],[کالا]], _xlfn._xlws.FILTER(T[کالا], T[نوع عملیات]="خرید"), _xlfn._xlws.FILTER(T[فروشنده / مشتری], T[نوع عملیات]="خرید")), "")</f>
        <v/>
      </c>
    </row>
    <row r="620" spans="2:17" ht="16.5" hidden="1" x14ac:dyDescent="0.75">
      <c r="B620" s="227">
        <v>4</v>
      </c>
      <c r="C620" s="150">
        <v>3</v>
      </c>
      <c r="D620" s="150">
        <v>10</v>
      </c>
      <c r="E620" s="150" t="str">
        <f t="shared" si="41"/>
        <v>خرداد</v>
      </c>
      <c r="F620" s="151" t="s">
        <v>168</v>
      </c>
      <c r="G620" s="244" t="s">
        <v>567</v>
      </c>
      <c r="H620" s="247" t="s">
        <v>541</v>
      </c>
      <c r="I620" s="162" t="s">
        <v>610</v>
      </c>
      <c r="J620" s="251">
        <v>2</v>
      </c>
      <c r="K620" s="254">
        <v>990000</v>
      </c>
      <c r="L620" s="255">
        <f t="shared" si="44"/>
        <v>1980000</v>
      </c>
      <c r="M620" s="257">
        <v>7450000</v>
      </c>
      <c r="N620" s="262" t="s">
        <v>542</v>
      </c>
      <c r="O62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0" s="262"/>
      <c r="Q620" s="264" t="str" cm="1">
        <f t="array" ref="Q620">IF(T[[#This Row],[نوع عملیات]]="فروش", _xlfn.XLOOKUP(T[[#This Row],[کالا]], _xlfn._xlws.FILTER(T[کالا], T[نوع عملیات]="خرید"), _xlfn._xlws.FILTER(T[فروشنده / مشتری], T[نوع عملیات]="خرید")), "")</f>
        <v/>
      </c>
    </row>
    <row r="621" spans="2:17" ht="16.5" x14ac:dyDescent="0.75">
      <c r="B621" s="227">
        <v>4</v>
      </c>
      <c r="C621" s="150">
        <v>3</v>
      </c>
      <c r="D621" s="150">
        <v>10</v>
      </c>
      <c r="E621" s="150" t="str">
        <f t="shared" si="41"/>
        <v>خرداد</v>
      </c>
      <c r="F621" s="151" t="s">
        <v>168</v>
      </c>
      <c r="G621" s="244" t="s">
        <v>568</v>
      </c>
      <c r="H621" s="247" t="s">
        <v>390</v>
      </c>
      <c r="I621" s="162" t="s">
        <v>533</v>
      </c>
      <c r="J621" s="251">
        <v>4</v>
      </c>
      <c r="K621" s="254">
        <v>388000</v>
      </c>
      <c r="L621" s="255">
        <f t="shared" si="44"/>
        <v>1552000</v>
      </c>
      <c r="M621" s="257"/>
      <c r="N621" s="262" t="s">
        <v>542</v>
      </c>
      <c r="O62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1" s="262"/>
      <c r="Q621" s="264" t="str" cm="1">
        <f t="array" ref="Q621">IF(T[[#This Row],[نوع عملیات]]="فروش", _xlfn.XLOOKUP(T[[#This Row],[کالا]], _xlfn._xlws.FILTER(T[کالا], T[نوع عملیات]="خرید"), _xlfn._xlws.FILTER(T[فروشنده / مشتری], T[نوع عملیات]="خرید")), "")</f>
        <v/>
      </c>
    </row>
    <row r="622" spans="2:17" ht="16.5" x14ac:dyDescent="0.75">
      <c r="B622" s="227">
        <v>4</v>
      </c>
      <c r="C622" s="150">
        <v>3</v>
      </c>
      <c r="D622" s="150">
        <v>10</v>
      </c>
      <c r="E622" s="150" t="str">
        <f t="shared" si="41"/>
        <v>خرداد</v>
      </c>
      <c r="F622" s="151" t="s">
        <v>168</v>
      </c>
      <c r="G622" s="244" t="s">
        <v>560</v>
      </c>
      <c r="H622" s="247" t="s">
        <v>390</v>
      </c>
      <c r="I622" s="162" t="s">
        <v>533</v>
      </c>
      <c r="J622" s="251">
        <v>8</v>
      </c>
      <c r="K622" s="254">
        <v>168000</v>
      </c>
      <c r="L622" s="255">
        <f t="shared" si="44"/>
        <v>1344000</v>
      </c>
      <c r="M622" s="257"/>
      <c r="N622" s="262" t="s">
        <v>542</v>
      </c>
      <c r="O62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2" s="262"/>
      <c r="Q622" s="264" t="str" cm="1">
        <f t="array" ref="Q622">IF(T[[#This Row],[نوع عملیات]]="فروش", _xlfn.XLOOKUP(T[[#This Row],[کالا]], _xlfn._xlws.FILTER(T[کالا], T[نوع عملیات]="خرید"), _xlfn._xlws.FILTER(T[فروشنده / مشتری], T[نوع عملیات]="خرید")), "")</f>
        <v/>
      </c>
    </row>
    <row r="623" spans="2:17" ht="16.5" x14ac:dyDescent="0.75">
      <c r="B623" s="227">
        <v>4</v>
      </c>
      <c r="C623" s="150">
        <v>3</v>
      </c>
      <c r="D623" s="150">
        <v>10</v>
      </c>
      <c r="E623" s="150" t="str">
        <f t="shared" si="41"/>
        <v>خرداد</v>
      </c>
      <c r="F623" s="151" t="s">
        <v>168</v>
      </c>
      <c r="G623" s="244" t="s">
        <v>569</v>
      </c>
      <c r="H623" s="247" t="s">
        <v>390</v>
      </c>
      <c r="I623" s="162" t="s">
        <v>533</v>
      </c>
      <c r="J623" s="251">
        <v>4</v>
      </c>
      <c r="K623" s="254">
        <v>368000</v>
      </c>
      <c r="L623" s="255">
        <f t="shared" si="44"/>
        <v>1472000</v>
      </c>
      <c r="M623" s="257"/>
      <c r="N623" s="262" t="s">
        <v>542</v>
      </c>
      <c r="O62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3" s="262"/>
      <c r="Q623" s="264" t="str" cm="1">
        <f t="array" ref="Q623">IF(T[[#This Row],[نوع عملیات]]="فروش", _xlfn.XLOOKUP(T[[#This Row],[کالا]], _xlfn._xlws.FILTER(T[کالا], T[نوع عملیات]="خرید"), _xlfn._xlws.FILTER(T[فروشنده / مشتری], T[نوع عملیات]="خرید")), "")</f>
        <v/>
      </c>
    </row>
    <row r="624" spans="2:17" ht="16.5" x14ac:dyDescent="0.75">
      <c r="B624" s="227">
        <v>4</v>
      </c>
      <c r="C624" s="150">
        <v>3</v>
      </c>
      <c r="D624" s="150">
        <v>10</v>
      </c>
      <c r="E624" s="150" t="str">
        <f t="shared" si="41"/>
        <v>خرداد</v>
      </c>
      <c r="F624" s="151" t="s">
        <v>168</v>
      </c>
      <c r="G624" s="244" t="s">
        <v>561</v>
      </c>
      <c r="H624" s="247" t="s">
        <v>390</v>
      </c>
      <c r="I624" s="162" t="s">
        <v>533</v>
      </c>
      <c r="J624" s="251">
        <v>8</v>
      </c>
      <c r="K624" s="254">
        <v>228000</v>
      </c>
      <c r="L624" s="255">
        <f t="shared" si="44"/>
        <v>1824000</v>
      </c>
      <c r="M624" s="257"/>
      <c r="N624" s="262" t="s">
        <v>542</v>
      </c>
      <c r="O62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4" s="262"/>
      <c r="Q624" s="264" t="str" cm="1">
        <f t="array" ref="Q624">IF(T[[#This Row],[نوع عملیات]]="فروش", _xlfn.XLOOKUP(T[[#This Row],[کالا]], _xlfn._xlws.FILTER(T[کالا], T[نوع عملیات]="خرید"), _xlfn._xlws.FILTER(T[فروشنده / مشتری], T[نوع عملیات]="خرید")), "")</f>
        <v/>
      </c>
    </row>
    <row r="625" spans="2:19" ht="16.5" x14ac:dyDescent="0.75">
      <c r="B625" s="227">
        <v>4</v>
      </c>
      <c r="C625" s="150">
        <v>3</v>
      </c>
      <c r="D625" s="150">
        <v>10</v>
      </c>
      <c r="E625" s="150" t="str">
        <f t="shared" si="41"/>
        <v>خرداد</v>
      </c>
      <c r="F625" s="151" t="s">
        <v>168</v>
      </c>
      <c r="G625" s="244" t="s">
        <v>563</v>
      </c>
      <c r="H625" s="247" t="s">
        <v>390</v>
      </c>
      <c r="I625" s="162" t="s">
        <v>533</v>
      </c>
      <c r="J625" s="251">
        <v>8</v>
      </c>
      <c r="K625" s="254">
        <v>198000</v>
      </c>
      <c r="L625" s="255">
        <f t="shared" si="44"/>
        <v>1584000</v>
      </c>
      <c r="M625" s="257"/>
      <c r="N625" s="262" t="s">
        <v>542</v>
      </c>
      <c r="O62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5" s="262"/>
      <c r="Q625" s="264" t="str" cm="1">
        <f t="array" ref="Q625">IF(T[[#This Row],[نوع عملیات]]="فروش", _xlfn.XLOOKUP(T[[#This Row],[کالا]], _xlfn._xlws.FILTER(T[کالا], T[نوع عملیات]="خرید"), _xlfn._xlws.FILTER(T[فروشنده / مشتری], T[نوع عملیات]="خرید")), "")</f>
        <v/>
      </c>
    </row>
    <row r="626" spans="2:19" ht="16.5" x14ac:dyDescent="0.75">
      <c r="B626" s="227">
        <v>4</v>
      </c>
      <c r="C626" s="150">
        <v>3</v>
      </c>
      <c r="D626" s="150">
        <v>10</v>
      </c>
      <c r="E626" s="150" t="str">
        <f t="shared" si="41"/>
        <v>خرداد</v>
      </c>
      <c r="F626" s="151" t="s">
        <v>168</v>
      </c>
      <c r="G626" s="244" t="s">
        <v>570</v>
      </c>
      <c r="H626" s="247" t="s">
        <v>390</v>
      </c>
      <c r="I626" s="162" t="s">
        <v>533</v>
      </c>
      <c r="J626" s="251">
        <v>8</v>
      </c>
      <c r="K626" s="254">
        <v>228000</v>
      </c>
      <c r="L626" s="255">
        <f t="shared" si="44"/>
        <v>1824000</v>
      </c>
      <c r="M626" s="257"/>
      <c r="N626" s="262" t="s">
        <v>542</v>
      </c>
      <c r="O62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6" s="262"/>
      <c r="Q626" s="264" t="str" cm="1">
        <f t="array" ref="Q626">IF(T[[#This Row],[نوع عملیات]]="فروش", _xlfn.XLOOKUP(T[[#This Row],[کالا]], _xlfn._xlws.FILTER(T[کالا], T[نوع عملیات]="خرید"), _xlfn._xlws.FILTER(T[فروشنده / مشتری], T[نوع عملیات]="خرید")), "")</f>
        <v/>
      </c>
    </row>
    <row r="627" spans="2:19" ht="16.5" x14ac:dyDescent="0.75">
      <c r="B627" s="227">
        <v>4</v>
      </c>
      <c r="C627" s="150">
        <v>3</v>
      </c>
      <c r="D627" s="150">
        <v>10</v>
      </c>
      <c r="E627" s="150" t="str">
        <f t="shared" si="41"/>
        <v>خرداد</v>
      </c>
      <c r="F627" s="151" t="s">
        <v>168</v>
      </c>
      <c r="G627" s="244" t="s">
        <v>574</v>
      </c>
      <c r="H627" s="247" t="s">
        <v>390</v>
      </c>
      <c r="I627" s="162" t="s">
        <v>533</v>
      </c>
      <c r="J627" s="251">
        <v>8</v>
      </c>
      <c r="K627" s="254">
        <v>118000</v>
      </c>
      <c r="L627" s="255">
        <f t="shared" si="44"/>
        <v>944000</v>
      </c>
      <c r="M627" s="257">
        <v>10544000</v>
      </c>
      <c r="N627" s="262" t="s">
        <v>542</v>
      </c>
      <c r="O62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7" s="262"/>
      <c r="Q627" s="264" t="str" cm="1">
        <f t="array" ref="Q627">IF(T[[#This Row],[نوع عملیات]]="فروش", _xlfn.XLOOKUP(T[[#This Row],[کالا]], _xlfn._xlws.FILTER(T[کالا], T[نوع عملیات]="خرید"), _xlfn._xlws.FILTER(T[فروشنده / مشتری], T[نوع عملیات]="خرید")), "")</f>
        <v/>
      </c>
    </row>
    <row r="628" spans="2:19" ht="16.5" hidden="1" x14ac:dyDescent="0.75">
      <c r="B628" s="227">
        <v>4</v>
      </c>
      <c r="C628" s="150">
        <v>3</v>
      </c>
      <c r="D628" s="150">
        <v>10</v>
      </c>
      <c r="E628" s="150" t="str">
        <f t="shared" si="41"/>
        <v>خرداد</v>
      </c>
      <c r="F628" s="151" t="s">
        <v>168</v>
      </c>
      <c r="G628" s="244" t="s">
        <v>605</v>
      </c>
      <c r="H628" s="247" t="s">
        <v>608</v>
      </c>
      <c r="I628" s="162" t="s">
        <v>609</v>
      </c>
      <c r="J628" s="251">
        <v>9</v>
      </c>
      <c r="K628" s="254">
        <v>350000</v>
      </c>
      <c r="L628" s="255">
        <f t="shared" si="44"/>
        <v>3150000</v>
      </c>
      <c r="M628" s="257"/>
      <c r="N628" s="262" t="s">
        <v>217</v>
      </c>
      <c r="O62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8" s="262"/>
      <c r="Q628" s="264" t="str" cm="1">
        <f t="array" ref="Q628">IF(T[[#This Row],[نوع عملیات]]="فروش", _xlfn.XLOOKUP(T[[#This Row],[کالا]], _xlfn._xlws.FILTER(T[کالا], T[نوع عملیات]="خرید"), _xlfn._xlws.FILTER(T[فروشنده / مشتری], T[نوع عملیات]="خرید")), "")</f>
        <v/>
      </c>
      <c r="R628">
        <v>138000</v>
      </c>
    </row>
    <row r="629" spans="2:19" ht="16.5" hidden="1" x14ac:dyDescent="0.75">
      <c r="B629" s="227">
        <v>4</v>
      </c>
      <c r="C629" s="150">
        <v>3</v>
      </c>
      <c r="D629" s="150">
        <v>10</v>
      </c>
      <c r="E629" s="150" t="str">
        <f t="shared" si="41"/>
        <v>خرداد</v>
      </c>
      <c r="F629" s="151" t="s">
        <v>168</v>
      </c>
      <c r="G629" s="244" t="s">
        <v>606</v>
      </c>
      <c r="H629" s="247" t="s">
        <v>608</v>
      </c>
      <c r="I629" s="162" t="s">
        <v>609</v>
      </c>
      <c r="J629" s="251">
        <v>12</v>
      </c>
      <c r="K629" s="254">
        <v>650000</v>
      </c>
      <c r="L629" s="255">
        <f t="shared" si="44"/>
        <v>7800000</v>
      </c>
      <c r="M629" s="257"/>
      <c r="N629" s="262" t="s">
        <v>217</v>
      </c>
      <c r="O62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29" s="262"/>
      <c r="Q629" s="264" t="str" cm="1">
        <f t="array" ref="Q629">IF(T[[#This Row],[نوع عملیات]]="فروش", _xlfn.XLOOKUP(T[[#This Row],[کالا]], _xlfn._xlws.FILTER(T[کالا], T[نوع عملیات]="خرید"), _xlfn._xlws.FILTER(T[فروشنده / مشتری], T[نوع عملیات]="خرید")), "")</f>
        <v/>
      </c>
      <c r="R629">
        <v>307333</v>
      </c>
      <c r="S629">
        <v>4930000</v>
      </c>
    </row>
    <row r="630" spans="2:19" ht="16.5" hidden="1" x14ac:dyDescent="0.75">
      <c r="B630" s="227">
        <v>4</v>
      </c>
      <c r="C630" s="150">
        <v>3</v>
      </c>
      <c r="D630" s="150">
        <v>10</v>
      </c>
      <c r="E630" s="150" t="str">
        <f t="shared" ref="E630:E695" si="45">CHOOSE(C630, "فروردین", "اردیبهشت", "خرداد", "تیر", "مرداد", "شهریور", "مهر", "آبان", "آذر", "دی", "بهمن", "اسفند")</f>
        <v>خرداد</v>
      </c>
      <c r="F630" s="151" t="s">
        <v>168</v>
      </c>
      <c r="G630" s="244" t="s">
        <v>571</v>
      </c>
      <c r="H630" s="247" t="s">
        <v>572</v>
      </c>
      <c r="I630" s="162" t="s">
        <v>595</v>
      </c>
      <c r="J630" s="251">
        <v>2</v>
      </c>
      <c r="K630" s="254">
        <v>250000</v>
      </c>
      <c r="L630" s="255">
        <f t="shared" si="44"/>
        <v>500000</v>
      </c>
      <c r="M630" s="257"/>
      <c r="N630" s="262"/>
      <c r="O63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30" s="262"/>
      <c r="Q630" s="264" t="str" cm="1">
        <f t="array" ref="Q630">IF(T[[#This Row],[نوع عملیات]]="فروش", _xlfn.XLOOKUP(T[[#This Row],[کالا]], _xlfn._xlws.FILTER(T[کالا], T[نوع عملیات]="خرید"), _xlfn._xlws.FILTER(T[فروشنده / مشتری], T[نوع عملیات]="خرید")), "")</f>
        <v/>
      </c>
    </row>
    <row r="631" spans="2:19" ht="16.5" hidden="1" x14ac:dyDescent="0.75">
      <c r="B631" s="227">
        <v>4</v>
      </c>
      <c r="C631" s="150">
        <v>3</v>
      </c>
      <c r="D631" s="150">
        <v>11</v>
      </c>
      <c r="E631" s="150" t="str">
        <f t="shared" si="45"/>
        <v>خرداد</v>
      </c>
      <c r="F631" s="151" t="s">
        <v>168</v>
      </c>
      <c r="G631" s="244" t="s">
        <v>540</v>
      </c>
      <c r="H631" s="247" t="s">
        <v>541</v>
      </c>
      <c r="I631" s="162" t="s">
        <v>610</v>
      </c>
      <c r="J631" s="251">
        <v>14</v>
      </c>
      <c r="K631" s="254">
        <f>T[[#This Row],[قیمت کل]]/T[[#This Row],[تعداد]]</f>
        <v>628571.42857142852</v>
      </c>
      <c r="L631" s="255">
        <v>8800000</v>
      </c>
      <c r="M631" s="257"/>
      <c r="N631" s="262" t="s">
        <v>346</v>
      </c>
      <c r="O63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31" s="262"/>
      <c r="Q631" s="264" t="str" cm="1">
        <f t="array" ref="Q631">IF(T[[#This Row],[نوع عملیات]]="فروش", _xlfn.XLOOKUP(T[[#This Row],[کالا]], _xlfn._xlws.FILTER(T[کالا], T[نوع عملیات]="خرید"), _xlfn._xlws.FILTER(T[فروشنده / مشتری], T[نوع عملیات]="خرید")), "")</f>
        <v/>
      </c>
    </row>
    <row r="632" spans="2:19" ht="16.5" hidden="1" x14ac:dyDescent="0.75">
      <c r="B632" s="227">
        <v>4</v>
      </c>
      <c r="C632" s="150">
        <v>3</v>
      </c>
      <c r="D632" s="150">
        <v>11</v>
      </c>
      <c r="E632" s="150" t="str">
        <f t="shared" si="45"/>
        <v>خرداد</v>
      </c>
      <c r="F632" s="151" t="s">
        <v>302</v>
      </c>
      <c r="G632" s="244"/>
      <c r="H632" s="247" t="s">
        <v>324</v>
      </c>
      <c r="I632" s="162"/>
      <c r="J632" s="251"/>
      <c r="K632" s="254"/>
      <c r="L632" s="255">
        <f t="shared" ref="L632:L665" si="46">J632*K632</f>
        <v>0</v>
      </c>
      <c r="M632" s="257">
        <v>1850000</v>
      </c>
      <c r="N632" s="262" t="s">
        <v>299</v>
      </c>
      <c r="O63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32" s="262"/>
      <c r="Q632" s="264" t="str" cm="1">
        <f t="array" ref="Q632">IF(T[[#This Row],[نوع عملیات]]="فروش", _xlfn.XLOOKUP(T[[#This Row],[کالا]], _xlfn._xlws.FILTER(T[کالا], T[نوع عملیات]="خرید"), _xlfn._xlws.FILTER(T[فروشنده / مشتری], T[نوع عملیات]="خرید")), "")</f>
        <v/>
      </c>
    </row>
    <row r="633" spans="2:19" ht="16.5" hidden="1" x14ac:dyDescent="0.75">
      <c r="B633" s="227">
        <v>4</v>
      </c>
      <c r="C633" s="150">
        <v>3</v>
      </c>
      <c r="D633" s="150">
        <v>11</v>
      </c>
      <c r="E633" s="150" t="str">
        <f t="shared" si="45"/>
        <v>خرداد</v>
      </c>
      <c r="F633" s="151" t="s">
        <v>167</v>
      </c>
      <c r="G633" s="244" t="s">
        <v>605</v>
      </c>
      <c r="H633" s="247" t="s">
        <v>434</v>
      </c>
      <c r="I633" s="162"/>
      <c r="J633" s="251">
        <v>1</v>
      </c>
      <c r="K633" s="254">
        <v>350000</v>
      </c>
      <c r="L633" s="255">
        <f t="shared" si="46"/>
        <v>350000</v>
      </c>
      <c r="M633" s="257"/>
      <c r="N633" s="262"/>
      <c r="O63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33" s="262"/>
      <c r="Q633" s="264" t="str" cm="1">
        <f t="array" ref="Q633">IF(T[[#This Row],[نوع عملیات]]="فروش", _xlfn.XLOOKUP(T[[#This Row],[کالا]], _xlfn._xlws.FILTER(T[کالا], T[نوع عملیات]="خرید"), _xlfn._xlws.FILTER(T[فروشنده / مشتری], T[نوع عملیات]="خرید")), "")</f>
        <v>هستی هنگامه</v>
      </c>
    </row>
    <row r="634" spans="2:19" ht="16.5" hidden="1" x14ac:dyDescent="0.75">
      <c r="B634" s="227">
        <v>4</v>
      </c>
      <c r="C634" s="150">
        <v>3</v>
      </c>
      <c r="D634" s="150">
        <v>11</v>
      </c>
      <c r="E634" s="150" t="str">
        <f t="shared" si="45"/>
        <v>خرداد</v>
      </c>
      <c r="F634" s="151" t="s">
        <v>167</v>
      </c>
      <c r="G634" s="244" t="s">
        <v>457</v>
      </c>
      <c r="H634" s="247" t="s">
        <v>434</v>
      </c>
      <c r="I634" s="162"/>
      <c r="J634" s="251">
        <v>1</v>
      </c>
      <c r="K634" s="254">
        <v>1400000</v>
      </c>
      <c r="L634" s="255">
        <f t="shared" si="46"/>
        <v>1400000</v>
      </c>
      <c r="M634" s="257"/>
      <c r="N634" s="262"/>
      <c r="O63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634" s="262"/>
      <c r="Q634" s="264" t="str" cm="1">
        <f t="array" ref="Q634">IF(T[[#This Row],[نوع عملیات]]="فروش", _xlfn.XLOOKUP(T[[#This Row],[کالا]], _xlfn._xlws.FILTER(T[کالا], T[نوع عملیات]="خرید"), _xlfn._xlws.FILTER(T[فروشنده / مشتری], T[نوع عملیات]="خرید")), "")</f>
        <v>عبدل آباد</v>
      </c>
    </row>
    <row r="635" spans="2:19" ht="16.5" hidden="1" x14ac:dyDescent="0.75">
      <c r="B635" s="227">
        <v>4</v>
      </c>
      <c r="C635" s="150">
        <v>3</v>
      </c>
      <c r="D635" s="150">
        <v>11</v>
      </c>
      <c r="E635" s="150" t="str">
        <f t="shared" si="45"/>
        <v>خرداد</v>
      </c>
      <c r="F635" s="151" t="s">
        <v>167</v>
      </c>
      <c r="G635" s="244" t="s">
        <v>540</v>
      </c>
      <c r="H635" s="247" t="s">
        <v>434</v>
      </c>
      <c r="I635" s="162"/>
      <c r="J635" s="251">
        <v>1</v>
      </c>
      <c r="K635" s="254">
        <v>1300000</v>
      </c>
      <c r="L635" s="255">
        <f t="shared" si="46"/>
        <v>1300000</v>
      </c>
      <c r="M635" s="257"/>
      <c r="N635" s="262"/>
      <c r="O63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668947.36842105258</v>
      </c>
      <c r="P635" s="262"/>
      <c r="Q635" s="264" t="str" cm="1">
        <f t="array" ref="Q635">IF(T[[#This Row],[نوع عملیات]]="فروش", _xlfn.XLOOKUP(T[[#This Row],[کالا]], _xlfn._xlws.FILTER(T[کالا], T[نوع عملیات]="خرید"), _xlfn._xlws.FILTER(T[فروشنده / مشتری], T[نوع عملیات]="خرید")), "")</f>
        <v>بازار پارسیان</v>
      </c>
    </row>
    <row r="636" spans="2:19" ht="16.5" hidden="1" x14ac:dyDescent="0.75">
      <c r="B636" s="227">
        <v>4</v>
      </c>
      <c r="C636" s="150">
        <v>3</v>
      </c>
      <c r="D636" s="150">
        <v>11</v>
      </c>
      <c r="E636" s="150" t="str">
        <f t="shared" si="45"/>
        <v>خرداد</v>
      </c>
      <c r="F636" s="151" t="s">
        <v>167</v>
      </c>
      <c r="G636" s="244" t="s">
        <v>605</v>
      </c>
      <c r="H636" s="247" t="s">
        <v>520</v>
      </c>
      <c r="I636" s="162"/>
      <c r="J636" s="251">
        <v>1</v>
      </c>
      <c r="K636" s="254">
        <v>350000</v>
      </c>
      <c r="L636" s="255">
        <f t="shared" si="46"/>
        <v>350000</v>
      </c>
      <c r="M636" s="257"/>
      <c r="N636" s="262"/>
      <c r="O63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36" s="262"/>
      <c r="Q636" s="264" t="str" cm="1">
        <f t="array" ref="Q636">IF(T[[#This Row],[نوع عملیات]]="فروش", _xlfn.XLOOKUP(T[[#This Row],[کالا]], _xlfn._xlws.FILTER(T[کالا], T[نوع عملیات]="خرید"), _xlfn._xlws.FILTER(T[فروشنده / مشتری], T[نوع عملیات]="خرید")), "")</f>
        <v>هستی هنگامه</v>
      </c>
    </row>
    <row r="637" spans="2:19" ht="16.5" hidden="1" x14ac:dyDescent="0.75">
      <c r="B637" s="227">
        <v>4</v>
      </c>
      <c r="C637" s="150">
        <v>3</v>
      </c>
      <c r="D637" s="150">
        <v>11</v>
      </c>
      <c r="E637" s="150" t="str">
        <f>CHOOSE(C637, "فروردین", "اردیبهشت", "خرداد", "تیر", "مرداد", "شهریور", "مهر", "آبان", "آذر", "دی", "بهمن", "اسفند")</f>
        <v>خرداد</v>
      </c>
      <c r="F637" s="151" t="s">
        <v>168</v>
      </c>
      <c r="G637" s="244" t="s">
        <v>613</v>
      </c>
      <c r="H637" s="247" t="s">
        <v>608</v>
      </c>
      <c r="I637" s="162"/>
      <c r="J637" s="251">
        <v>1</v>
      </c>
      <c r="K637" s="254">
        <v>650000</v>
      </c>
      <c r="L637" s="255">
        <f>J637*K637</f>
        <v>650000</v>
      </c>
      <c r="M637" s="257"/>
      <c r="N637" s="262"/>
      <c r="O63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37" s="262"/>
      <c r="Q637" s="264" t="str" cm="1">
        <f t="array" ref="Q637">IF(T[[#This Row],[نوع عملیات]]="فروش", _xlfn.XLOOKUP(T[[#This Row],[کالا]], _xlfn._xlws.FILTER(T[کالا], T[نوع عملیات]="خرید"), _xlfn._xlws.FILTER(T[فروشنده / مشتری], T[نوع عملیات]="خرید")), "")</f>
        <v/>
      </c>
    </row>
    <row r="638" spans="2:19" ht="16.5" hidden="1" x14ac:dyDescent="0.75">
      <c r="B638" s="227">
        <v>4</v>
      </c>
      <c r="C638" s="150">
        <v>3</v>
      </c>
      <c r="D638" s="150">
        <v>11</v>
      </c>
      <c r="E638" s="150" t="str">
        <f>CHOOSE(C638, "فروردین", "اردیبهشت", "خرداد", "تیر", "مرداد", "شهریور", "مهر", "آبان", "آذر", "دی", "بهمن", "اسفند")</f>
        <v>خرداد</v>
      </c>
      <c r="F638" s="151" t="s">
        <v>168</v>
      </c>
      <c r="G638" s="244" t="s">
        <v>564</v>
      </c>
      <c r="H638" s="247" t="s">
        <v>608</v>
      </c>
      <c r="I638" s="162"/>
      <c r="J638" s="251">
        <v>2</v>
      </c>
      <c r="K638" s="254">
        <v>250000</v>
      </c>
      <c r="L638" s="255">
        <f>J638*K638</f>
        <v>500000</v>
      </c>
      <c r="M638" s="257"/>
      <c r="N638" s="262"/>
      <c r="O63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38" s="262"/>
      <c r="Q638" s="264" t="str" cm="1">
        <f t="array" ref="Q638">IF(T[[#This Row],[نوع عملیات]]="فروش", _xlfn.XLOOKUP(T[[#This Row],[کالا]], _xlfn._xlws.FILTER(T[کالا], T[نوع عملیات]="خرید"), _xlfn._xlws.FILTER(T[فروشنده / مشتری], T[نوع عملیات]="خرید")), "")</f>
        <v/>
      </c>
    </row>
    <row r="639" spans="2:19" ht="16.5" hidden="1" x14ac:dyDescent="0.75">
      <c r="B639" s="347">
        <v>4</v>
      </c>
      <c r="C639" s="348">
        <v>3</v>
      </c>
      <c r="D639" s="348">
        <v>11</v>
      </c>
      <c r="E639" s="348" t="str">
        <f t="shared" si="45"/>
        <v>خرداد</v>
      </c>
      <c r="F639" s="349" t="s">
        <v>297</v>
      </c>
      <c r="G639" s="350"/>
      <c r="H639" s="351" t="s">
        <v>608</v>
      </c>
      <c r="I639" s="352"/>
      <c r="J639" s="353"/>
      <c r="K639" s="354"/>
      <c r="L639" s="355">
        <f t="shared" si="46"/>
        <v>0</v>
      </c>
      <c r="M639" s="356">
        <v>700000</v>
      </c>
      <c r="N639" s="357" t="s">
        <v>346</v>
      </c>
      <c r="O639" s="358">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39" s="357"/>
      <c r="Q639" s="359" t="str" cm="1">
        <f t="array" ref="Q639">IF(T[[#This Row],[نوع عملیات]]="فروش", _xlfn.XLOOKUP(T[[#This Row],[کالا]], _xlfn._xlws.FILTER(T[کالا], T[نوع عملیات]="خرید"), _xlfn._xlws.FILTER(T[فروشنده / مشتری], T[نوع عملیات]="خرید")), "")</f>
        <v/>
      </c>
    </row>
    <row r="640" spans="2:19" ht="16.5" hidden="1" x14ac:dyDescent="0.75">
      <c r="B640" s="227">
        <v>4</v>
      </c>
      <c r="C640" s="150">
        <v>3</v>
      </c>
      <c r="D640" s="150">
        <v>11</v>
      </c>
      <c r="E640" s="150" t="str">
        <f t="shared" si="45"/>
        <v>خرداد</v>
      </c>
      <c r="F640" s="151" t="s">
        <v>302</v>
      </c>
      <c r="G640" s="244"/>
      <c r="H640" s="247" t="s">
        <v>520</v>
      </c>
      <c r="I640" s="162"/>
      <c r="J640" s="251"/>
      <c r="K640" s="254"/>
      <c r="L640" s="255">
        <f t="shared" si="46"/>
        <v>0</v>
      </c>
      <c r="M640" s="257">
        <v>800000</v>
      </c>
      <c r="N640" s="262" t="s">
        <v>299</v>
      </c>
      <c r="O6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40" s="262"/>
      <c r="Q640" s="264" t="str" cm="1">
        <f t="array" ref="Q640">IF(T[[#This Row],[نوع عملیات]]="فروش", _xlfn.XLOOKUP(T[[#This Row],[کالا]], _xlfn._xlws.FILTER(T[کالا], T[نوع عملیات]="خرید"), _xlfn._xlws.FILTER(T[فروشنده / مشتری], T[نوع عملیات]="خرید")), "")</f>
        <v/>
      </c>
    </row>
    <row r="641" spans="2:17" ht="16.5" hidden="1" x14ac:dyDescent="0.75">
      <c r="B641" s="227">
        <v>4</v>
      </c>
      <c r="C641" s="150">
        <v>3</v>
      </c>
      <c r="D641" s="150">
        <v>11</v>
      </c>
      <c r="E641" s="150" t="str">
        <f t="shared" si="45"/>
        <v>خرداد</v>
      </c>
      <c r="F641" s="151" t="s">
        <v>302</v>
      </c>
      <c r="G641" s="244"/>
      <c r="H641" s="247" t="s">
        <v>476</v>
      </c>
      <c r="I641" s="162"/>
      <c r="J641" s="251"/>
      <c r="K641" s="254"/>
      <c r="L641" s="255">
        <f t="shared" si="46"/>
        <v>0</v>
      </c>
      <c r="M641" s="257">
        <v>2100000</v>
      </c>
      <c r="N641" s="262" t="s">
        <v>299</v>
      </c>
      <c r="O64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41" s="262"/>
      <c r="Q641" s="264" t="str" cm="1">
        <f t="array" ref="Q641">IF(T[[#This Row],[نوع عملیات]]="فروش", _xlfn.XLOOKUP(T[[#This Row],[کالا]], _xlfn._xlws.FILTER(T[کالا], T[نوع عملیات]="خرید"), _xlfn._xlws.FILTER(T[فروشنده / مشتری], T[نوع عملیات]="خرید")), "")</f>
        <v/>
      </c>
    </row>
    <row r="642" spans="2:17" ht="16.5" hidden="1" x14ac:dyDescent="0.75">
      <c r="B642" s="227">
        <v>4</v>
      </c>
      <c r="C642" s="150">
        <v>3</v>
      </c>
      <c r="D642" s="150">
        <v>11</v>
      </c>
      <c r="E642" s="150" t="str">
        <f t="shared" si="45"/>
        <v>خرداد</v>
      </c>
      <c r="F642" s="151" t="s">
        <v>302</v>
      </c>
      <c r="G642" s="244"/>
      <c r="H642" s="247" t="s">
        <v>422</v>
      </c>
      <c r="I642" s="162"/>
      <c r="J642" s="251"/>
      <c r="K642" s="254"/>
      <c r="L642" s="255">
        <f t="shared" si="46"/>
        <v>0</v>
      </c>
      <c r="M642" s="257">
        <v>1400000</v>
      </c>
      <c r="N642" s="262" t="s">
        <v>299</v>
      </c>
      <c r="O64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42" s="262"/>
      <c r="Q642" s="264" t="str" cm="1">
        <f t="array" ref="Q642">IF(T[[#This Row],[نوع عملیات]]="فروش", _xlfn.XLOOKUP(T[[#This Row],[کالا]], _xlfn._xlws.FILTER(T[کالا], T[نوع عملیات]="خرید"), _xlfn._xlws.FILTER(T[فروشنده / مشتری], T[نوع عملیات]="خرید")), "")</f>
        <v/>
      </c>
    </row>
    <row r="643" spans="2:17" ht="16.5" hidden="1" x14ac:dyDescent="0.75">
      <c r="B643" s="227">
        <v>4</v>
      </c>
      <c r="C643" s="150">
        <v>3</v>
      </c>
      <c r="D643" s="150">
        <v>11</v>
      </c>
      <c r="E643" s="150" t="str">
        <f t="shared" si="45"/>
        <v>خرداد</v>
      </c>
      <c r="F643" s="151" t="s">
        <v>167</v>
      </c>
      <c r="G643" s="244" t="s">
        <v>457</v>
      </c>
      <c r="H643" s="247" t="s">
        <v>211</v>
      </c>
      <c r="I643" s="162"/>
      <c r="J643" s="251">
        <v>2</v>
      </c>
      <c r="K643" s="254">
        <v>1400000</v>
      </c>
      <c r="L643" s="255">
        <f t="shared" si="46"/>
        <v>2800000</v>
      </c>
      <c r="M643" s="257"/>
      <c r="N643" s="262" t="s">
        <v>299</v>
      </c>
      <c r="O64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826956.52173913037</v>
      </c>
      <c r="P643" s="262"/>
      <c r="Q643" s="264" t="str" cm="1">
        <f t="array" ref="Q643">IF(T[[#This Row],[نوع عملیات]]="فروش", _xlfn.XLOOKUP(T[[#This Row],[کالا]], _xlfn._xlws.FILTER(T[کالا], T[نوع عملیات]="خرید"), _xlfn._xlws.FILTER(T[فروشنده / مشتری], T[نوع عملیات]="خرید")), "")</f>
        <v>عبدل آباد</v>
      </c>
    </row>
    <row r="644" spans="2:17" ht="16.5" hidden="1" x14ac:dyDescent="0.75">
      <c r="B644" s="227">
        <v>4</v>
      </c>
      <c r="C644" s="150">
        <v>3</v>
      </c>
      <c r="D644" s="150">
        <v>11</v>
      </c>
      <c r="E644" s="150" t="str">
        <f t="shared" si="45"/>
        <v>خرداد</v>
      </c>
      <c r="F644" s="151" t="s">
        <v>167</v>
      </c>
      <c r="G644" s="244" t="s">
        <v>559</v>
      </c>
      <c r="H644" s="247" t="s">
        <v>211</v>
      </c>
      <c r="I644" s="162"/>
      <c r="J644" s="251">
        <v>1</v>
      </c>
      <c r="K644" s="254">
        <v>1500000</v>
      </c>
      <c r="L644" s="255">
        <f t="shared" si="46"/>
        <v>1500000</v>
      </c>
      <c r="M644" s="257">
        <v>4300000</v>
      </c>
      <c r="N644" s="262" t="s">
        <v>299</v>
      </c>
      <c r="O64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120000</v>
      </c>
      <c r="P644" s="262"/>
      <c r="Q644" s="264" t="str" cm="1">
        <f t="array" ref="Q644">IF(T[[#This Row],[نوع عملیات]]="فروش", _xlfn.XLOOKUP(T[[#This Row],[کالا]], _xlfn._xlws.FILTER(T[کالا], T[نوع عملیات]="خرید"), _xlfn._xlws.FILTER(T[فروشنده / مشتری], T[نوع عملیات]="خرید")), "")</f>
        <v>عبدل آباد</v>
      </c>
    </row>
    <row r="645" spans="2:17" ht="16.5" hidden="1" x14ac:dyDescent="0.75">
      <c r="B645" s="227">
        <v>4</v>
      </c>
      <c r="C645" s="150">
        <v>3</v>
      </c>
      <c r="D645" s="150">
        <v>11</v>
      </c>
      <c r="E645" s="150" t="str">
        <f t="shared" si="45"/>
        <v>خرداد</v>
      </c>
      <c r="F645" s="151" t="s">
        <v>167</v>
      </c>
      <c r="G645" s="244" t="s">
        <v>486</v>
      </c>
      <c r="H645" s="247" t="s">
        <v>616</v>
      </c>
      <c r="I645" s="162"/>
      <c r="J645" s="251">
        <v>1</v>
      </c>
      <c r="K645" s="254">
        <v>2000000</v>
      </c>
      <c r="L645" s="255">
        <f t="shared" si="46"/>
        <v>2000000</v>
      </c>
      <c r="M645" s="257"/>
      <c r="N645" s="262"/>
      <c r="O64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645" s="262"/>
      <c r="Q645" s="264" t="str" cm="1">
        <f t="array" ref="Q645">IF(T[[#This Row],[نوع عملیات]]="فروش", _xlfn.XLOOKUP(T[[#This Row],[کالا]], _xlfn._xlws.FILTER(T[کالا], T[نوع عملیات]="خرید"), _xlfn._xlws.FILTER(T[فروشنده / مشتری], T[نوع عملیات]="خرید")), "")</f>
        <v>عبدل آباد</v>
      </c>
    </row>
    <row r="646" spans="2:17" ht="16.5" hidden="1" x14ac:dyDescent="0.75">
      <c r="B646" s="227">
        <v>4</v>
      </c>
      <c r="C646" s="150">
        <v>3</v>
      </c>
      <c r="D646" s="150">
        <v>11</v>
      </c>
      <c r="E646" s="150" t="str">
        <f t="shared" si="45"/>
        <v>خرداد</v>
      </c>
      <c r="F646" s="151" t="s">
        <v>302</v>
      </c>
      <c r="G646" s="244"/>
      <c r="H646" s="247" t="s">
        <v>430</v>
      </c>
      <c r="I646" s="162"/>
      <c r="J646" s="251"/>
      <c r="K646" s="254"/>
      <c r="L646" s="255">
        <f t="shared" si="46"/>
        <v>0</v>
      </c>
      <c r="M646" s="257">
        <v>2050000</v>
      </c>
      <c r="N646" s="262" t="s">
        <v>299</v>
      </c>
      <c r="O64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46" s="262"/>
      <c r="Q646" s="264" t="str" cm="1">
        <f t="array" ref="Q646">IF(T[[#This Row],[نوع عملیات]]="فروش", _xlfn.XLOOKUP(T[[#This Row],[کالا]], _xlfn._xlws.FILTER(T[کالا], T[نوع عملیات]="خرید"), _xlfn._xlws.FILTER(T[فروشنده / مشتری], T[نوع عملیات]="خرید")), "")</f>
        <v/>
      </c>
    </row>
    <row r="647" spans="2:17" ht="16.5" hidden="1" x14ac:dyDescent="0.75">
      <c r="B647" s="227">
        <v>4</v>
      </c>
      <c r="C647" s="150">
        <v>3</v>
      </c>
      <c r="D647" s="150">
        <v>11</v>
      </c>
      <c r="E647" s="150" t="str">
        <f t="shared" si="45"/>
        <v>خرداد</v>
      </c>
      <c r="F647" s="151" t="s">
        <v>167</v>
      </c>
      <c r="G647" s="244" t="s">
        <v>613</v>
      </c>
      <c r="H647" s="247" t="s">
        <v>429</v>
      </c>
      <c r="I647" s="162"/>
      <c r="J647" s="251">
        <v>1</v>
      </c>
      <c r="K647" s="254">
        <v>650000</v>
      </c>
      <c r="L647" s="255">
        <f t="shared" si="46"/>
        <v>650000</v>
      </c>
      <c r="M647" s="257"/>
      <c r="N647" s="262"/>
      <c r="O64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47" s="262"/>
      <c r="Q647" s="264" t="str" cm="1">
        <f t="array" ref="Q647">IF(T[[#This Row],[نوع عملیات]]="فروش", _xlfn.XLOOKUP(T[[#This Row],[کالا]], _xlfn._xlws.FILTER(T[کالا], T[نوع عملیات]="خرید"), _xlfn._xlws.FILTER(T[فروشنده / مشتری], T[نوع عملیات]="خرید")), "")</f>
        <v>هستی هنگامه</v>
      </c>
    </row>
    <row r="648" spans="2:17" ht="16.5" hidden="1" x14ac:dyDescent="0.75">
      <c r="B648" s="227">
        <v>4</v>
      </c>
      <c r="C648" s="150">
        <v>3</v>
      </c>
      <c r="D648" s="150">
        <v>11</v>
      </c>
      <c r="E648" s="150" t="str">
        <f t="shared" si="45"/>
        <v>خرداد</v>
      </c>
      <c r="F648" s="151" t="s">
        <v>167</v>
      </c>
      <c r="G648" s="244" t="s">
        <v>468</v>
      </c>
      <c r="H648" s="247" t="s">
        <v>429</v>
      </c>
      <c r="I648" s="162"/>
      <c r="J648" s="251">
        <v>1</v>
      </c>
      <c r="K648" s="254">
        <v>350000</v>
      </c>
      <c r="L648" s="255">
        <f t="shared" si="46"/>
        <v>350000</v>
      </c>
      <c r="M648" s="257">
        <v>1000000</v>
      </c>
      <c r="N648" s="262" t="s">
        <v>299</v>
      </c>
      <c r="O6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648" s="262"/>
      <c r="Q648" s="264" t="str" cm="1">
        <f t="array" ref="Q648">IF(T[[#This Row],[نوع عملیات]]="فروش", _xlfn.XLOOKUP(T[[#This Row],[کالا]], _xlfn._xlws.FILTER(T[کالا], T[نوع عملیات]="خرید"), _xlfn._xlws.FILTER(T[فروشنده / مشتری], T[نوع عملیات]="خرید")), "")</f>
        <v>سرای ملی</v>
      </c>
    </row>
    <row r="649" spans="2:17" ht="16.5" hidden="1" x14ac:dyDescent="0.75">
      <c r="B649" s="227">
        <v>4</v>
      </c>
      <c r="C649" s="150">
        <v>3</v>
      </c>
      <c r="D649" s="150">
        <v>11</v>
      </c>
      <c r="E649" s="150" t="str">
        <f t="shared" si="45"/>
        <v>خرداد</v>
      </c>
      <c r="F649" s="151" t="s">
        <v>302</v>
      </c>
      <c r="G649" s="244"/>
      <c r="H649" s="247" t="s">
        <v>282</v>
      </c>
      <c r="I649" s="162"/>
      <c r="J649" s="251"/>
      <c r="K649" s="254"/>
      <c r="L649" s="255">
        <f t="shared" si="46"/>
        <v>0</v>
      </c>
      <c r="M649" s="257">
        <v>3000000</v>
      </c>
      <c r="N649" s="262" t="s">
        <v>299</v>
      </c>
      <c r="O6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49" s="262"/>
      <c r="Q649" s="264" t="str" cm="1">
        <f t="array" ref="Q649">IF(T[[#This Row],[نوع عملیات]]="فروش", _xlfn.XLOOKUP(T[[#This Row],[کالا]], _xlfn._xlws.FILTER(T[کالا], T[نوع عملیات]="خرید"), _xlfn._xlws.FILTER(T[فروشنده / مشتری], T[نوع عملیات]="خرید")), "")</f>
        <v/>
      </c>
    </row>
    <row r="650" spans="2:17" ht="16.5" hidden="1" x14ac:dyDescent="0.75">
      <c r="B650" s="227">
        <v>4</v>
      </c>
      <c r="C650" s="150">
        <v>3</v>
      </c>
      <c r="D650" s="150">
        <v>11</v>
      </c>
      <c r="E650" s="150" t="str">
        <f t="shared" si="45"/>
        <v>خرداد</v>
      </c>
      <c r="F650" s="151" t="s">
        <v>167</v>
      </c>
      <c r="G650" s="244" t="s">
        <v>540</v>
      </c>
      <c r="H650" s="247" t="s">
        <v>282</v>
      </c>
      <c r="I650" s="162"/>
      <c r="J650" s="251">
        <v>3</v>
      </c>
      <c r="K650" s="254">
        <v>1300000</v>
      </c>
      <c r="L650" s="255">
        <f t="shared" si="46"/>
        <v>3900000</v>
      </c>
      <c r="M650" s="257"/>
      <c r="N650" s="262"/>
      <c r="O65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2006842.1052631577</v>
      </c>
      <c r="P650" s="262"/>
      <c r="Q650" s="264" t="str" cm="1">
        <f t="array" ref="Q650">IF(T[[#This Row],[نوع عملیات]]="فروش", _xlfn.XLOOKUP(T[[#This Row],[کالا]], _xlfn._xlws.FILTER(T[کالا], T[نوع عملیات]="خرید"), _xlfn._xlws.FILTER(T[فروشنده / مشتری], T[نوع عملیات]="خرید")), "")</f>
        <v>بازار پارسیان</v>
      </c>
    </row>
    <row r="651" spans="2:17" ht="16.5" hidden="1" x14ac:dyDescent="0.75">
      <c r="B651" s="227">
        <v>4</v>
      </c>
      <c r="C651" s="150">
        <v>3</v>
      </c>
      <c r="D651" s="150">
        <v>11</v>
      </c>
      <c r="E651" s="150" t="str">
        <f t="shared" si="45"/>
        <v>خرداد</v>
      </c>
      <c r="F651" s="151" t="s">
        <v>167</v>
      </c>
      <c r="G651" s="244" t="s">
        <v>551</v>
      </c>
      <c r="H651" s="247" t="s">
        <v>282</v>
      </c>
      <c r="I651" s="162"/>
      <c r="J651" s="251">
        <v>1</v>
      </c>
      <c r="K651" s="254">
        <v>700000</v>
      </c>
      <c r="L651" s="255">
        <f t="shared" si="46"/>
        <v>700000</v>
      </c>
      <c r="M651" s="257"/>
      <c r="N651" s="262"/>
      <c r="O6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344000</v>
      </c>
      <c r="P651" s="262"/>
      <c r="Q651" s="264" t="str" cm="1">
        <f t="array" ref="Q651">IF(T[[#This Row],[نوع عملیات]]="فروش", _xlfn.XLOOKUP(T[[#This Row],[کالا]], _xlfn._xlws.FILTER(T[کالا], T[نوع عملیات]="خرید"), _xlfn._xlws.FILTER(T[فروشنده / مشتری], T[نوع عملیات]="خرید")), "")</f>
        <v>سرای ملی</v>
      </c>
    </row>
    <row r="652" spans="2:17" ht="16.5" hidden="1" x14ac:dyDescent="0.75">
      <c r="B652" s="227">
        <v>4</v>
      </c>
      <c r="C652" s="150">
        <v>3</v>
      </c>
      <c r="D652" s="150">
        <v>11</v>
      </c>
      <c r="E652" s="150" t="str">
        <f t="shared" si="45"/>
        <v>خرداد</v>
      </c>
      <c r="F652" s="151" t="s">
        <v>167</v>
      </c>
      <c r="G652" s="244" t="s">
        <v>468</v>
      </c>
      <c r="H652" s="247" t="s">
        <v>282</v>
      </c>
      <c r="I652" s="162"/>
      <c r="J652" s="251">
        <v>1</v>
      </c>
      <c r="K652" s="254">
        <v>300000</v>
      </c>
      <c r="L652" s="255">
        <f t="shared" si="46"/>
        <v>300000</v>
      </c>
      <c r="M652" s="257"/>
      <c r="N652" s="262"/>
      <c r="O6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652" s="262"/>
      <c r="Q652" s="264" t="str" cm="1">
        <f t="array" ref="Q652">IF(T[[#This Row],[نوع عملیات]]="فروش", _xlfn.XLOOKUP(T[[#This Row],[کالا]], _xlfn._xlws.FILTER(T[کالا], T[نوع عملیات]="خرید"), _xlfn._xlws.FILTER(T[فروشنده / مشتری], T[نوع عملیات]="خرید")), "")</f>
        <v>سرای ملی</v>
      </c>
    </row>
    <row r="653" spans="2:17" ht="16.5" hidden="1" x14ac:dyDescent="0.75">
      <c r="B653" s="227">
        <v>4</v>
      </c>
      <c r="C653" s="150">
        <v>3</v>
      </c>
      <c r="D653" s="150">
        <v>11</v>
      </c>
      <c r="E653" s="150" t="str">
        <f t="shared" si="45"/>
        <v>خرداد</v>
      </c>
      <c r="F653" s="151" t="s">
        <v>167</v>
      </c>
      <c r="G653" s="244" t="s">
        <v>560</v>
      </c>
      <c r="H653" s="247" t="s">
        <v>282</v>
      </c>
      <c r="I653" s="162"/>
      <c r="J653" s="251">
        <v>1</v>
      </c>
      <c r="K653" s="254">
        <v>300000</v>
      </c>
      <c r="L653" s="255">
        <f t="shared" si="46"/>
        <v>300000</v>
      </c>
      <c r="M653" s="257"/>
      <c r="N653" s="262"/>
      <c r="O65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132000</v>
      </c>
      <c r="P653" s="262"/>
      <c r="Q653" s="264" t="str" cm="1">
        <f t="array" ref="Q653">IF(T[[#This Row],[نوع عملیات]]="فروش", _xlfn.XLOOKUP(T[[#This Row],[کالا]], _xlfn._xlws.FILTER(T[کالا], T[نوع عملیات]="خرید"), _xlfn._xlws.FILTER(T[فروشنده / مشتری], T[نوع عملیات]="خرید")), "")</f>
        <v>عبدل آباد</v>
      </c>
    </row>
    <row r="654" spans="2:17" ht="16.5" hidden="1" x14ac:dyDescent="0.75">
      <c r="B654" s="227">
        <v>4</v>
      </c>
      <c r="C654" s="150">
        <v>3</v>
      </c>
      <c r="D654" s="150">
        <v>11</v>
      </c>
      <c r="E654" s="150" t="str">
        <f t="shared" si="45"/>
        <v>خرداد</v>
      </c>
      <c r="F654" s="151" t="s">
        <v>167</v>
      </c>
      <c r="G654" s="244" t="s">
        <v>561</v>
      </c>
      <c r="H654" s="247" t="s">
        <v>282</v>
      </c>
      <c r="I654" s="162"/>
      <c r="J654" s="251">
        <v>1</v>
      </c>
      <c r="K654" s="254">
        <v>300000</v>
      </c>
      <c r="L654" s="255">
        <f t="shared" si="46"/>
        <v>300000</v>
      </c>
      <c r="M654" s="257"/>
      <c r="N654" s="262"/>
      <c r="O65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72000</v>
      </c>
      <c r="P654" s="262"/>
      <c r="Q654" s="264" t="str" cm="1">
        <f t="array" ref="Q654">IF(T[[#This Row],[نوع عملیات]]="فروش", _xlfn.XLOOKUP(T[[#This Row],[کالا]], _xlfn._xlws.FILTER(T[کالا], T[نوع عملیات]="خرید"), _xlfn._xlws.FILTER(T[فروشنده / مشتری], T[نوع عملیات]="خرید")), "")</f>
        <v>عبدل آباد</v>
      </c>
    </row>
    <row r="655" spans="2:17" ht="16.5" hidden="1" x14ac:dyDescent="0.75">
      <c r="B655" s="227">
        <v>4</v>
      </c>
      <c r="C655" s="150">
        <v>3</v>
      </c>
      <c r="D655" s="150">
        <v>11</v>
      </c>
      <c r="E655" s="150" t="str">
        <f t="shared" si="45"/>
        <v>خرداد</v>
      </c>
      <c r="F655" s="151" t="s">
        <v>167</v>
      </c>
      <c r="G655" s="244" t="s">
        <v>550</v>
      </c>
      <c r="H655" s="247" t="s">
        <v>539</v>
      </c>
      <c r="I655" s="162"/>
      <c r="J655" s="251">
        <v>1</v>
      </c>
      <c r="K655" s="254">
        <v>480000</v>
      </c>
      <c r="L655" s="255">
        <f t="shared" si="46"/>
        <v>480000</v>
      </c>
      <c r="M655" s="257"/>
      <c r="N655" s="262"/>
      <c r="O65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305000</v>
      </c>
      <c r="P655" s="262"/>
      <c r="Q655" s="264" t="str" cm="1">
        <f t="array" ref="Q655">IF(T[[#This Row],[نوع عملیات]]="فروش", _xlfn.XLOOKUP(T[[#This Row],[کالا]], _xlfn._xlws.FILTER(T[کالا], T[نوع عملیات]="خرید"), _xlfn._xlws.FILTER(T[فروشنده / مشتری], T[نوع عملیات]="خرید")), "")</f>
        <v>سرای ملی</v>
      </c>
    </row>
    <row r="656" spans="2:17" ht="16.5" hidden="1" x14ac:dyDescent="0.75">
      <c r="B656" s="227">
        <v>4</v>
      </c>
      <c r="C656" s="150">
        <v>3</v>
      </c>
      <c r="D656" s="150">
        <v>11</v>
      </c>
      <c r="E656" s="150" t="str">
        <f t="shared" si="45"/>
        <v>خرداد</v>
      </c>
      <c r="F656" s="151" t="s">
        <v>167</v>
      </c>
      <c r="G656" s="244" t="s">
        <v>551</v>
      </c>
      <c r="H656" s="247" t="s">
        <v>422</v>
      </c>
      <c r="I656" s="162"/>
      <c r="J656" s="251">
        <v>1</v>
      </c>
      <c r="K656" s="254">
        <v>750000</v>
      </c>
      <c r="L656" s="255">
        <f t="shared" si="46"/>
        <v>750000</v>
      </c>
      <c r="M656" s="257"/>
      <c r="N656" s="262"/>
      <c r="O65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394000</v>
      </c>
      <c r="P656" s="262"/>
      <c r="Q656" s="264" t="str" cm="1">
        <f t="array" ref="Q656">IF(T[[#This Row],[نوع عملیات]]="فروش", _xlfn.XLOOKUP(T[[#This Row],[کالا]], _xlfn._xlws.FILTER(T[کالا], T[نوع عملیات]="خرید"), _xlfn._xlws.FILTER(T[فروشنده / مشتری], T[نوع عملیات]="خرید")), "")</f>
        <v>سرای ملی</v>
      </c>
    </row>
    <row r="657" spans="2:17" ht="16.5" hidden="1" x14ac:dyDescent="0.75">
      <c r="B657" s="227">
        <v>4</v>
      </c>
      <c r="C657" s="150">
        <v>3</v>
      </c>
      <c r="D657" s="150">
        <v>11</v>
      </c>
      <c r="E657" s="150" t="str">
        <f t="shared" si="45"/>
        <v>خرداد</v>
      </c>
      <c r="F657" s="151" t="s">
        <v>167</v>
      </c>
      <c r="G657" s="244" t="s">
        <v>468</v>
      </c>
      <c r="H657" s="247" t="s">
        <v>422</v>
      </c>
      <c r="I657" s="162"/>
      <c r="J657" s="251">
        <v>1</v>
      </c>
      <c r="K657" s="254">
        <v>350000</v>
      </c>
      <c r="L657" s="255">
        <f t="shared" si="46"/>
        <v>350000</v>
      </c>
      <c r="M657" s="257"/>
      <c r="N657" s="262"/>
      <c r="O65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657" s="262"/>
      <c r="Q657" s="264" t="str" cm="1">
        <f t="array" ref="Q657">IF(T[[#This Row],[نوع عملیات]]="فروش", _xlfn.XLOOKUP(T[[#This Row],[کالا]], _xlfn._xlws.FILTER(T[کالا], T[نوع عملیات]="خرید"), _xlfn._xlws.FILTER(T[فروشنده / مشتری], T[نوع عملیات]="خرید")), "")</f>
        <v>سرای ملی</v>
      </c>
    </row>
    <row r="658" spans="2:17" ht="16.5" hidden="1" x14ac:dyDescent="0.75">
      <c r="B658" s="227">
        <v>4</v>
      </c>
      <c r="C658" s="150">
        <v>3</v>
      </c>
      <c r="D658" s="150">
        <v>11</v>
      </c>
      <c r="E658" s="150" t="str">
        <f t="shared" si="45"/>
        <v>خرداد</v>
      </c>
      <c r="F658" s="151" t="s">
        <v>167</v>
      </c>
      <c r="G658" s="244" t="s">
        <v>486</v>
      </c>
      <c r="H658" s="247" t="s">
        <v>211</v>
      </c>
      <c r="I658" s="162"/>
      <c r="J658" s="251">
        <v>1</v>
      </c>
      <c r="K658" s="254">
        <v>2500000</v>
      </c>
      <c r="L658" s="255">
        <f t="shared" si="46"/>
        <v>2500000</v>
      </c>
      <c r="M658" s="257">
        <v>2500000</v>
      </c>
      <c r="N658" s="262" t="s">
        <v>299</v>
      </c>
      <c r="O65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658" s="262"/>
      <c r="Q658" s="264" t="str" cm="1">
        <f t="array" ref="Q658">IF(T[[#This Row],[نوع عملیات]]="فروش", _xlfn.XLOOKUP(T[[#This Row],[کالا]], _xlfn._xlws.FILTER(T[کالا], T[نوع عملیات]="خرید"), _xlfn._xlws.FILTER(T[فروشنده / مشتری], T[نوع عملیات]="خرید")), "")</f>
        <v>عبدل آباد</v>
      </c>
    </row>
    <row r="659" spans="2:17" ht="16.5" hidden="1" x14ac:dyDescent="0.75">
      <c r="B659" s="227">
        <v>4</v>
      </c>
      <c r="C659" s="150">
        <v>3</v>
      </c>
      <c r="D659" s="150">
        <v>11</v>
      </c>
      <c r="E659" s="150" t="str">
        <f t="shared" si="45"/>
        <v>خرداد</v>
      </c>
      <c r="F659" s="151" t="s">
        <v>167</v>
      </c>
      <c r="G659" s="244" t="s">
        <v>470</v>
      </c>
      <c r="H659" s="247" t="s">
        <v>211</v>
      </c>
      <c r="I659" s="162"/>
      <c r="J659" s="251">
        <v>1</v>
      </c>
      <c r="K659" s="254">
        <v>700000</v>
      </c>
      <c r="L659" s="255">
        <f t="shared" si="46"/>
        <v>700000</v>
      </c>
      <c r="M659" s="257"/>
      <c r="N659" s="262"/>
      <c r="O65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332000</v>
      </c>
      <c r="P659" s="262"/>
      <c r="Q659" s="264" t="str" cm="1">
        <f t="array" ref="Q659">IF(T[[#This Row],[نوع عملیات]]="فروش", _xlfn.XLOOKUP(T[[#This Row],[کالا]], _xlfn._xlws.FILTER(T[کالا], T[نوع عملیات]="خرید"), _xlfn._xlws.FILTER(T[فروشنده / مشتری], T[نوع عملیات]="خرید")), "")</f>
        <v>سرای ملی</v>
      </c>
    </row>
    <row r="660" spans="2:17" ht="16.5" hidden="1" x14ac:dyDescent="0.75">
      <c r="B660" s="227">
        <v>4</v>
      </c>
      <c r="C660" s="150">
        <v>3</v>
      </c>
      <c r="D660" s="150">
        <v>11</v>
      </c>
      <c r="E660" s="150" t="str">
        <f t="shared" si="45"/>
        <v>خرداد</v>
      </c>
      <c r="F660" s="151" t="s">
        <v>167</v>
      </c>
      <c r="G660" s="244" t="s">
        <v>544</v>
      </c>
      <c r="H660" s="247" t="s">
        <v>211</v>
      </c>
      <c r="I660" s="162"/>
      <c r="J660" s="251">
        <v>1</v>
      </c>
      <c r="K660" s="254">
        <v>2500000</v>
      </c>
      <c r="L660" s="255">
        <f t="shared" si="46"/>
        <v>2500000</v>
      </c>
      <c r="M660" s="257">
        <v>3200000</v>
      </c>
      <c r="N660" s="262" t="s">
        <v>299</v>
      </c>
      <c r="O66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1502500</v>
      </c>
      <c r="P660" s="262"/>
      <c r="Q660" s="264" t="str" cm="1">
        <f t="array" ref="Q660">IF(T[[#This Row],[نوع عملیات]]="فروش", _xlfn.XLOOKUP(T[[#This Row],[کالا]], _xlfn._xlws.FILTER(T[کالا], T[نوع عملیات]="خرید"), _xlfn._xlws.FILTER(T[فروشنده / مشتری], T[نوع عملیات]="خرید")), "")</f>
        <v>بازار پارسیان</v>
      </c>
    </row>
    <row r="661" spans="2:17" ht="16.5" hidden="1" x14ac:dyDescent="0.75">
      <c r="B661" s="227">
        <v>4</v>
      </c>
      <c r="C661" s="150">
        <v>3</v>
      </c>
      <c r="D661" s="150">
        <v>11</v>
      </c>
      <c r="E661" s="150" t="str">
        <f t="shared" si="45"/>
        <v>خرداد</v>
      </c>
      <c r="F661" s="151" t="s">
        <v>167</v>
      </c>
      <c r="G661" s="244" t="s">
        <v>457</v>
      </c>
      <c r="H661" s="247" t="s">
        <v>506</v>
      </c>
      <c r="I661" s="162"/>
      <c r="J661" s="251">
        <v>2</v>
      </c>
      <c r="K661" s="254">
        <v>1400000</v>
      </c>
      <c r="L661" s="255">
        <f t="shared" si="46"/>
        <v>2800000</v>
      </c>
      <c r="M661" s="257"/>
      <c r="N661" s="262"/>
      <c r="O66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826956.52173913037</v>
      </c>
      <c r="P661" s="262"/>
      <c r="Q661" s="264" t="str" cm="1">
        <f t="array" ref="Q661">IF(T[[#This Row],[نوع عملیات]]="فروش", _xlfn.XLOOKUP(T[[#This Row],[کالا]], _xlfn._xlws.FILTER(T[کالا], T[نوع عملیات]="خرید"), _xlfn._xlws.FILTER(T[فروشنده / مشتری], T[نوع عملیات]="خرید")), "")</f>
        <v>عبدل آباد</v>
      </c>
    </row>
    <row r="662" spans="2:17" ht="16.5" hidden="1" x14ac:dyDescent="0.75">
      <c r="B662" s="227">
        <v>4</v>
      </c>
      <c r="C662" s="150">
        <v>3</v>
      </c>
      <c r="D662" s="150">
        <v>11</v>
      </c>
      <c r="E662" s="150" t="str">
        <f t="shared" si="45"/>
        <v>خرداد</v>
      </c>
      <c r="F662" s="151" t="s">
        <v>167</v>
      </c>
      <c r="G662" s="244" t="s">
        <v>486</v>
      </c>
      <c r="H662" s="247" t="s">
        <v>506</v>
      </c>
      <c r="I662" s="162"/>
      <c r="J662" s="251">
        <v>2</v>
      </c>
      <c r="K662" s="254">
        <v>2000000</v>
      </c>
      <c r="L662" s="255">
        <f t="shared" si="46"/>
        <v>4000000</v>
      </c>
      <c r="M662" s="257">
        <v>2000000</v>
      </c>
      <c r="N662" s="262" t="s">
        <v>299</v>
      </c>
      <c r="O66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902500</v>
      </c>
      <c r="P662" s="262"/>
      <c r="Q662" s="264" t="str" cm="1">
        <f t="array" ref="Q662">IF(T[[#This Row],[نوع عملیات]]="فروش", _xlfn.XLOOKUP(T[[#This Row],[کالا]], _xlfn._xlws.FILTER(T[کالا], T[نوع عملیات]="خرید"), _xlfn._xlws.FILTER(T[فروشنده / مشتری], T[نوع عملیات]="خرید")), "")</f>
        <v>عبدل آباد</v>
      </c>
    </row>
    <row r="663" spans="2:17" ht="16.5" hidden="1" x14ac:dyDescent="0.75">
      <c r="B663" s="227">
        <v>4</v>
      </c>
      <c r="C663" s="150">
        <v>3</v>
      </c>
      <c r="D663" s="150">
        <v>11</v>
      </c>
      <c r="E663" s="150" t="str">
        <f t="shared" si="45"/>
        <v>خرداد</v>
      </c>
      <c r="F663" s="151" t="s">
        <v>167</v>
      </c>
      <c r="G663" s="244" t="s">
        <v>560</v>
      </c>
      <c r="H663" s="247" t="s">
        <v>474</v>
      </c>
      <c r="I663" s="162"/>
      <c r="J663" s="251">
        <v>1</v>
      </c>
      <c r="K663" s="254">
        <v>350000</v>
      </c>
      <c r="L663" s="255">
        <f t="shared" si="46"/>
        <v>350000</v>
      </c>
      <c r="M663" s="257"/>
      <c r="N663" s="262"/>
      <c r="O66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663" s="262"/>
      <c r="Q663" s="264" t="str" cm="1">
        <f t="array" ref="Q663">IF(T[[#This Row],[نوع عملیات]]="فروش", _xlfn.XLOOKUP(T[[#This Row],[کالا]], _xlfn._xlws.FILTER(T[کالا], T[نوع عملیات]="خرید"), _xlfn._xlws.FILTER(T[فروشنده / مشتری], T[نوع عملیات]="خرید")), "")</f>
        <v>عبدل آباد</v>
      </c>
    </row>
    <row r="664" spans="2:17" ht="16.5" hidden="1" x14ac:dyDescent="0.75">
      <c r="B664" s="227">
        <v>4</v>
      </c>
      <c r="C664" s="150">
        <v>3</v>
      </c>
      <c r="D664" s="150">
        <v>11</v>
      </c>
      <c r="E664" s="150" t="str">
        <f t="shared" si="45"/>
        <v>خرداد</v>
      </c>
      <c r="F664" s="151" t="s">
        <v>167</v>
      </c>
      <c r="G664" s="244" t="s">
        <v>485</v>
      </c>
      <c r="H664" s="247" t="s">
        <v>211</v>
      </c>
      <c r="I664" s="162"/>
      <c r="J664" s="251">
        <v>1</v>
      </c>
      <c r="K664" s="254">
        <v>2200000</v>
      </c>
      <c r="L664" s="255">
        <f t="shared" si="46"/>
        <v>2200000</v>
      </c>
      <c r="M664" s="257">
        <v>2200000</v>
      </c>
      <c r="N664" s="262" t="s">
        <v>299</v>
      </c>
      <c r="O66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620000</v>
      </c>
      <c r="P664" s="262"/>
      <c r="Q664" s="264" t="str" cm="1">
        <f t="array" ref="Q664">IF(T[[#This Row],[نوع عملیات]]="فروش", _xlfn.XLOOKUP(T[[#This Row],[کالا]], _xlfn._xlws.FILTER(T[کالا], T[نوع عملیات]="خرید"), _xlfn._xlws.FILTER(T[فروشنده / مشتری], T[نوع عملیات]="خرید")), "")</f>
        <v>عبدل آباد</v>
      </c>
    </row>
    <row r="665" spans="2:17" ht="16.5" hidden="1" x14ac:dyDescent="0.75">
      <c r="B665" s="227">
        <v>4</v>
      </c>
      <c r="C665" s="150">
        <v>3</v>
      </c>
      <c r="D665" s="150">
        <v>11</v>
      </c>
      <c r="E665" s="150" t="str">
        <f t="shared" si="45"/>
        <v>خرداد</v>
      </c>
      <c r="F665" s="151" t="s">
        <v>167</v>
      </c>
      <c r="G665" s="244" t="s">
        <v>359</v>
      </c>
      <c r="H665" s="247" t="s">
        <v>211</v>
      </c>
      <c r="I665" s="162"/>
      <c r="J665" s="251">
        <v>1</v>
      </c>
      <c r="K665" s="254">
        <v>850000</v>
      </c>
      <c r="L665" s="255">
        <f t="shared" si="46"/>
        <v>850000</v>
      </c>
      <c r="M665" s="257">
        <v>850000</v>
      </c>
      <c r="N665" s="262" t="s">
        <v>299</v>
      </c>
      <c r="O66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630000</v>
      </c>
      <c r="P665" s="262"/>
      <c r="Q665" s="264" t="str" cm="1">
        <f t="array" ref="Q665">IF(T[[#This Row],[نوع عملیات]]="فروش", _xlfn.XLOOKUP(T[[#This Row],[کالا]], _xlfn._xlws.FILTER(T[کالا], T[نوع عملیات]="خرید"), _xlfn._xlws.FILTER(T[فروشنده / مشتری], T[نوع عملیات]="خرید")), "")</f>
        <v>بازار</v>
      </c>
    </row>
    <row r="666" spans="2:17" ht="16.5" hidden="1" x14ac:dyDescent="0.75">
      <c r="B666" s="227">
        <v>4</v>
      </c>
      <c r="C666" s="150">
        <v>3</v>
      </c>
      <c r="D666" s="150">
        <v>11</v>
      </c>
      <c r="E666" s="150" t="str">
        <f t="shared" si="45"/>
        <v>خرداد</v>
      </c>
      <c r="F666" s="151" t="s">
        <v>302</v>
      </c>
      <c r="G666" s="244"/>
      <c r="H666" s="247" t="s">
        <v>420</v>
      </c>
      <c r="I666" s="162"/>
      <c r="J666" s="251"/>
      <c r="K666" s="254"/>
      <c r="L666" s="255">
        <f t="shared" ref="L666:L697" si="47">J666*K666</f>
        <v>0</v>
      </c>
      <c r="M666" s="257">
        <v>500000</v>
      </c>
      <c r="N666" s="262" t="s">
        <v>346</v>
      </c>
      <c r="O66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66" s="262"/>
      <c r="Q666" s="264" t="str" cm="1">
        <f t="array" ref="Q666">IF(T[[#This Row],[نوع عملیات]]="فروش", _xlfn.XLOOKUP(T[[#This Row],[کالا]], _xlfn._xlws.FILTER(T[کالا], T[نوع عملیات]="خرید"), _xlfn._xlws.FILTER(T[فروشنده / مشتری], T[نوع عملیات]="خرید")), "")</f>
        <v/>
      </c>
    </row>
    <row r="667" spans="2:17" ht="16.5" hidden="1" x14ac:dyDescent="0.75">
      <c r="B667" s="227">
        <v>4</v>
      </c>
      <c r="C667" s="150">
        <v>3</v>
      </c>
      <c r="D667" s="150">
        <v>11</v>
      </c>
      <c r="E667" s="150" t="str">
        <f t="shared" si="45"/>
        <v>خرداد</v>
      </c>
      <c r="F667" s="151" t="s">
        <v>167</v>
      </c>
      <c r="G667" s="244" t="s">
        <v>562</v>
      </c>
      <c r="H667" s="247" t="s">
        <v>312</v>
      </c>
      <c r="I667" s="162"/>
      <c r="J667" s="251">
        <v>1</v>
      </c>
      <c r="K667" s="254">
        <v>600000</v>
      </c>
      <c r="L667" s="255">
        <f t="shared" si="47"/>
        <v>600000</v>
      </c>
      <c r="M667" s="257"/>
      <c r="N667" s="262"/>
      <c r="O66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104285.71428571426</v>
      </c>
      <c r="P667" s="262"/>
      <c r="Q667" s="264" t="str" cm="1">
        <f t="array" ref="Q667">IF(T[[#This Row],[نوع عملیات]]="فروش", _xlfn.XLOOKUP(T[[#This Row],[کالا]], _xlfn._xlws.FILTER(T[کالا], T[نوع عملیات]="خرید"), _xlfn._xlws.FILTER(T[فروشنده / مشتری], T[نوع عملیات]="خرید")), "")</f>
        <v>بازار پارسیان</v>
      </c>
    </row>
    <row r="668" spans="2:17" ht="16.5" hidden="1" x14ac:dyDescent="0.75">
      <c r="B668" s="227">
        <v>4</v>
      </c>
      <c r="C668" s="150">
        <v>3</v>
      </c>
      <c r="D668" s="150">
        <v>11</v>
      </c>
      <c r="E668" s="150" t="str">
        <f t="shared" si="45"/>
        <v>خرداد</v>
      </c>
      <c r="F668" s="151" t="s">
        <v>167</v>
      </c>
      <c r="G668" s="244" t="s">
        <v>457</v>
      </c>
      <c r="H668" s="247" t="s">
        <v>312</v>
      </c>
      <c r="I668" s="162"/>
      <c r="J668" s="251">
        <v>1</v>
      </c>
      <c r="K668" s="254">
        <v>1400000</v>
      </c>
      <c r="L668" s="255">
        <f t="shared" si="47"/>
        <v>1400000</v>
      </c>
      <c r="M668" s="257"/>
      <c r="N668" s="262"/>
      <c r="O66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668" s="262"/>
      <c r="Q668" s="264" t="str" cm="1">
        <f t="array" ref="Q668">IF(T[[#This Row],[نوع عملیات]]="فروش", _xlfn.XLOOKUP(T[[#This Row],[کالا]], _xlfn._xlws.FILTER(T[کالا], T[نوع عملیات]="خرید"), _xlfn._xlws.FILTER(T[فروشنده / مشتری], T[نوع عملیات]="خرید")), "")</f>
        <v>عبدل آباد</v>
      </c>
    </row>
    <row r="669" spans="2:17" ht="16.5" hidden="1" x14ac:dyDescent="0.75">
      <c r="B669" s="227">
        <v>4</v>
      </c>
      <c r="C669" s="150">
        <v>3</v>
      </c>
      <c r="D669" s="150">
        <v>12</v>
      </c>
      <c r="E669" s="150" t="str">
        <f t="shared" si="45"/>
        <v>خرداد</v>
      </c>
      <c r="F669" s="151" t="s">
        <v>302</v>
      </c>
      <c r="G669" s="244"/>
      <c r="H669" s="247" t="s">
        <v>434</v>
      </c>
      <c r="I669" s="162"/>
      <c r="J669" s="251"/>
      <c r="K669" s="254"/>
      <c r="L669" s="255">
        <f t="shared" si="47"/>
        <v>0</v>
      </c>
      <c r="M669" s="257">
        <v>3300000</v>
      </c>
      <c r="N669" s="262" t="s">
        <v>299</v>
      </c>
      <c r="O66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69" s="262"/>
      <c r="Q669" s="264" t="str" cm="1">
        <f t="array" ref="Q669">IF(T[[#This Row],[نوع عملیات]]="فروش", _xlfn.XLOOKUP(T[[#This Row],[کالا]], _xlfn._xlws.FILTER(T[کالا], T[نوع عملیات]="خرید"), _xlfn._xlws.FILTER(T[فروشنده / مشتری], T[نوع عملیات]="خرید")), "")</f>
        <v/>
      </c>
    </row>
    <row r="670" spans="2:17" ht="16.5" hidden="1" x14ac:dyDescent="0.75">
      <c r="B670" s="227">
        <v>4</v>
      </c>
      <c r="C670" s="150">
        <v>3</v>
      </c>
      <c r="D670" s="150">
        <v>12</v>
      </c>
      <c r="E670" s="150" t="str">
        <f t="shared" si="45"/>
        <v>خرداد</v>
      </c>
      <c r="F670" s="151" t="s">
        <v>167</v>
      </c>
      <c r="G670" s="244" t="s">
        <v>415</v>
      </c>
      <c r="H670" s="247" t="s">
        <v>211</v>
      </c>
      <c r="I670" s="162"/>
      <c r="J670" s="251">
        <v>1</v>
      </c>
      <c r="K670" s="254">
        <v>1800000</v>
      </c>
      <c r="L670" s="255">
        <f t="shared" si="47"/>
        <v>1800000</v>
      </c>
      <c r="M670" s="257"/>
      <c r="N670" s="262"/>
      <c r="O67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600000</v>
      </c>
      <c r="P670" s="262"/>
      <c r="Q670" s="264" t="str" cm="1">
        <f t="array" ref="Q670">IF(T[[#This Row],[نوع عملیات]]="فروش", _xlfn.XLOOKUP(T[[#This Row],[کالا]], _xlfn._xlws.FILTER(T[کالا], T[نوع عملیات]="خرید"), _xlfn._xlws.FILTER(T[فروشنده / مشتری], T[نوع عملیات]="خرید")), "")</f>
        <v>عبدل آباد</v>
      </c>
    </row>
    <row r="671" spans="2:17" ht="16.5" hidden="1" x14ac:dyDescent="0.75">
      <c r="B671" s="227">
        <v>4</v>
      </c>
      <c r="C671" s="150">
        <v>3</v>
      </c>
      <c r="D671" s="150">
        <v>12</v>
      </c>
      <c r="E671" s="150" t="str">
        <f t="shared" si="45"/>
        <v>خرداد</v>
      </c>
      <c r="F671" s="151" t="s">
        <v>167</v>
      </c>
      <c r="G671" s="244" t="s">
        <v>457</v>
      </c>
      <c r="H671" s="247" t="s">
        <v>211</v>
      </c>
      <c r="I671" s="162"/>
      <c r="J671" s="251">
        <v>1</v>
      </c>
      <c r="K671" s="254">
        <v>1400000</v>
      </c>
      <c r="L671" s="255">
        <f t="shared" si="47"/>
        <v>1400000</v>
      </c>
      <c r="M671" s="257"/>
      <c r="N671" s="262"/>
      <c r="O67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671" s="262"/>
      <c r="Q671" s="264" t="str" cm="1">
        <f t="array" ref="Q671">IF(T[[#This Row],[نوع عملیات]]="فروش", _xlfn.XLOOKUP(T[[#This Row],[کالا]], _xlfn._xlws.FILTER(T[کالا], T[نوع عملیات]="خرید"), _xlfn._xlws.FILTER(T[فروشنده / مشتری], T[نوع عملیات]="خرید")), "")</f>
        <v>عبدل آباد</v>
      </c>
    </row>
    <row r="672" spans="2:17" ht="16.5" hidden="1" x14ac:dyDescent="0.75">
      <c r="B672" s="227">
        <v>4</v>
      </c>
      <c r="C672" s="150">
        <v>3</v>
      </c>
      <c r="D672" s="150">
        <v>12</v>
      </c>
      <c r="E672" s="150" t="str">
        <f t="shared" si="45"/>
        <v>خرداد</v>
      </c>
      <c r="F672" s="151" t="s">
        <v>167</v>
      </c>
      <c r="G672" s="244" t="s">
        <v>561</v>
      </c>
      <c r="H672" s="247" t="s">
        <v>211</v>
      </c>
      <c r="I672" s="162"/>
      <c r="J672" s="251">
        <v>1</v>
      </c>
      <c r="K672" s="254">
        <v>300000</v>
      </c>
      <c r="L672" s="255">
        <f t="shared" si="47"/>
        <v>300000</v>
      </c>
      <c r="M672" s="257">
        <v>3500000</v>
      </c>
      <c r="N672" s="262" t="s">
        <v>299</v>
      </c>
      <c r="O67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72000</v>
      </c>
      <c r="P672" s="262"/>
      <c r="Q672" s="264" t="str" cm="1">
        <f t="array" ref="Q672">IF(T[[#This Row],[نوع عملیات]]="فروش", _xlfn.XLOOKUP(T[[#This Row],[کالا]], _xlfn._xlws.FILTER(T[کالا], T[نوع عملیات]="خرید"), _xlfn._xlws.FILTER(T[فروشنده / مشتری], T[نوع عملیات]="خرید")), "")</f>
        <v>عبدل آباد</v>
      </c>
    </row>
    <row r="673" spans="2:17" ht="16.5" hidden="1" x14ac:dyDescent="0.75">
      <c r="B673" s="227">
        <v>4</v>
      </c>
      <c r="C673" s="150">
        <v>3</v>
      </c>
      <c r="D673" s="150">
        <v>12</v>
      </c>
      <c r="E673" s="150" t="str">
        <f t="shared" si="45"/>
        <v>خرداد</v>
      </c>
      <c r="F673" s="151" t="s">
        <v>167</v>
      </c>
      <c r="G673" s="244" t="s">
        <v>560</v>
      </c>
      <c r="H673" s="247" t="s">
        <v>480</v>
      </c>
      <c r="I673" s="162"/>
      <c r="J673" s="251">
        <v>1</v>
      </c>
      <c r="K673" s="254">
        <v>350000</v>
      </c>
      <c r="L673" s="255">
        <f t="shared" si="47"/>
        <v>350000</v>
      </c>
      <c r="M673" s="257">
        <v>1050000</v>
      </c>
      <c r="N673" s="262" t="s">
        <v>299</v>
      </c>
      <c r="O67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673" s="262"/>
      <c r="Q673" s="264" t="str" cm="1">
        <f t="array" ref="Q673">IF(T[[#This Row],[نوع عملیات]]="فروش", _xlfn.XLOOKUP(T[[#This Row],[کالا]], _xlfn._xlws.FILTER(T[کالا], T[نوع عملیات]="خرید"), _xlfn._xlws.FILTER(T[فروشنده / مشتری], T[نوع عملیات]="خرید")), "")</f>
        <v>عبدل آباد</v>
      </c>
    </row>
    <row r="674" spans="2:17" ht="16.5" hidden="1" x14ac:dyDescent="0.75">
      <c r="B674" s="227">
        <v>4</v>
      </c>
      <c r="C674" s="150">
        <v>3</v>
      </c>
      <c r="D674" s="150">
        <v>12</v>
      </c>
      <c r="E674" s="150" t="str">
        <f t="shared" si="45"/>
        <v>خرداد</v>
      </c>
      <c r="F674" s="151" t="s">
        <v>167</v>
      </c>
      <c r="G674" s="244" t="s">
        <v>563</v>
      </c>
      <c r="H674" s="247" t="s">
        <v>612</v>
      </c>
      <c r="I674" s="162"/>
      <c r="J674" s="251">
        <v>1</v>
      </c>
      <c r="K674" s="254">
        <v>350000</v>
      </c>
      <c r="L674" s="255">
        <f t="shared" si="47"/>
        <v>350000</v>
      </c>
      <c r="M674" s="257"/>
      <c r="N674" s="262"/>
      <c r="O67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674" s="262"/>
      <c r="Q674" s="264" t="str" cm="1">
        <f t="array" ref="Q674">IF(T[[#This Row],[نوع عملیات]]="فروش", _xlfn.XLOOKUP(T[[#This Row],[کالا]], _xlfn._xlws.FILTER(T[کالا], T[نوع عملیات]="خرید"), _xlfn._xlws.FILTER(T[فروشنده / مشتری], T[نوع عملیات]="خرید")), "")</f>
        <v>عبدل آباد</v>
      </c>
    </row>
    <row r="675" spans="2:17" ht="16.5" hidden="1" x14ac:dyDescent="0.75">
      <c r="B675" s="227">
        <v>4</v>
      </c>
      <c r="C675" s="150">
        <v>3</v>
      </c>
      <c r="D675" s="150">
        <v>12</v>
      </c>
      <c r="E675" s="150" t="str">
        <f t="shared" si="45"/>
        <v>خرداد</v>
      </c>
      <c r="F675" s="151" t="s">
        <v>167</v>
      </c>
      <c r="G675" s="244" t="s">
        <v>360</v>
      </c>
      <c r="H675" s="247" t="s">
        <v>211</v>
      </c>
      <c r="I675" s="162"/>
      <c r="J675" s="251">
        <v>1</v>
      </c>
      <c r="K675" s="254">
        <v>300000</v>
      </c>
      <c r="L675" s="255">
        <f t="shared" si="47"/>
        <v>300000</v>
      </c>
      <c r="M675" s="257">
        <v>300000</v>
      </c>
      <c r="N675" s="262" t="s">
        <v>299</v>
      </c>
      <c r="O67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126000</v>
      </c>
      <c r="P675" s="262"/>
      <c r="Q675" s="264" t="str" cm="1">
        <f t="array" ref="Q675">IF(T[[#This Row],[نوع عملیات]]="فروش", _xlfn.XLOOKUP(T[[#This Row],[کالا]], _xlfn._xlws.FILTER(T[کالا], T[نوع عملیات]="خرید"), _xlfn._xlws.FILTER(T[فروشنده / مشتری], T[نوع عملیات]="خرید")), "")</f>
        <v>بازار</v>
      </c>
    </row>
    <row r="676" spans="2:17" ht="16.5" hidden="1" x14ac:dyDescent="0.75">
      <c r="B676" s="227">
        <v>4</v>
      </c>
      <c r="C676" s="150">
        <v>3</v>
      </c>
      <c r="D676" s="150">
        <v>12</v>
      </c>
      <c r="E676" s="150" t="str">
        <f t="shared" si="45"/>
        <v>خرداد</v>
      </c>
      <c r="F676" s="151" t="s">
        <v>167</v>
      </c>
      <c r="G676" s="244" t="s">
        <v>486</v>
      </c>
      <c r="H676" s="247" t="s">
        <v>211</v>
      </c>
      <c r="I676" s="162"/>
      <c r="J676" s="251">
        <v>1</v>
      </c>
      <c r="K676" s="254">
        <v>2000000</v>
      </c>
      <c r="L676" s="255">
        <f t="shared" si="47"/>
        <v>2000000</v>
      </c>
      <c r="M676" s="257"/>
      <c r="N676" s="262"/>
      <c r="O67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676" s="262"/>
      <c r="Q676" s="264" t="str" cm="1">
        <f t="array" ref="Q676">IF(T[[#This Row],[نوع عملیات]]="فروش", _xlfn.XLOOKUP(T[[#This Row],[کالا]], _xlfn._xlws.FILTER(T[کالا], T[نوع عملیات]="خرید"), _xlfn._xlws.FILTER(T[فروشنده / مشتری], T[نوع عملیات]="خرید")), "")</f>
        <v>عبدل آباد</v>
      </c>
    </row>
    <row r="677" spans="2:17" ht="16.5" hidden="1" x14ac:dyDescent="0.75">
      <c r="B677" s="227">
        <v>4</v>
      </c>
      <c r="C677" s="150">
        <v>3</v>
      </c>
      <c r="D677" s="150">
        <v>12</v>
      </c>
      <c r="E677" s="150" t="str">
        <f t="shared" si="45"/>
        <v>خرداد</v>
      </c>
      <c r="F677" s="151" t="s">
        <v>167</v>
      </c>
      <c r="G677" s="244" t="s">
        <v>457</v>
      </c>
      <c r="H677" s="247" t="s">
        <v>211</v>
      </c>
      <c r="I677" s="162"/>
      <c r="J677" s="251">
        <v>1</v>
      </c>
      <c r="K677" s="254">
        <v>1400000</v>
      </c>
      <c r="L677" s="255">
        <f t="shared" si="47"/>
        <v>1400000</v>
      </c>
      <c r="M677" s="257"/>
      <c r="N677" s="262"/>
      <c r="O67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677" s="262"/>
      <c r="Q677" s="264" t="str" cm="1">
        <f t="array" ref="Q677">IF(T[[#This Row],[نوع عملیات]]="فروش", _xlfn.XLOOKUP(T[[#This Row],[کالا]], _xlfn._xlws.FILTER(T[کالا], T[نوع عملیات]="خرید"), _xlfn._xlws.FILTER(T[فروشنده / مشتری], T[نوع عملیات]="خرید")), "")</f>
        <v>عبدل آباد</v>
      </c>
    </row>
    <row r="678" spans="2:17" ht="16.5" hidden="1" x14ac:dyDescent="0.75">
      <c r="B678" s="227">
        <v>4</v>
      </c>
      <c r="C678" s="150">
        <v>3</v>
      </c>
      <c r="D678" s="150">
        <v>12</v>
      </c>
      <c r="E678" s="150" t="str">
        <f t="shared" si="45"/>
        <v>خرداد</v>
      </c>
      <c r="F678" s="151" t="s">
        <v>167</v>
      </c>
      <c r="G678" s="244" t="s">
        <v>360</v>
      </c>
      <c r="H678" s="247" t="s">
        <v>211</v>
      </c>
      <c r="I678" s="162"/>
      <c r="J678" s="251">
        <v>1</v>
      </c>
      <c r="K678" s="254">
        <v>300000</v>
      </c>
      <c r="L678" s="255">
        <f t="shared" si="47"/>
        <v>300000</v>
      </c>
      <c r="M678" s="257">
        <v>3700000</v>
      </c>
      <c r="N678" s="262" t="s">
        <v>299</v>
      </c>
      <c r="O67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126000</v>
      </c>
      <c r="P678" s="262"/>
      <c r="Q678" s="264" t="str" cm="1">
        <f t="array" ref="Q678">IF(T[[#This Row],[نوع عملیات]]="فروش", _xlfn.XLOOKUP(T[[#This Row],[کالا]], _xlfn._xlws.FILTER(T[کالا], T[نوع عملیات]="خرید"), _xlfn._xlws.FILTER(T[فروشنده / مشتری], T[نوع عملیات]="خرید")), "")</f>
        <v>بازار</v>
      </c>
    </row>
    <row r="679" spans="2:17" ht="16.5" hidden="1" x14ac:dyDescent="0.75">
      <c r="B679" s="227">
        <v>4</v>
      </c>
      <c r="C679" s="150">
        <v>3</v>
      </c>
      <c r="D679" s="150">
        <v>12</v>
      </c>
      <c r="E679" s="150" t="str">
        <f t="shared" si="45"/>
        <v>خرداد</v>
      </c>
      <c r="F679" s="151" t="s">
        <v>167</v>
      </c>
      <c r="G679" s="244" t="s">
        <v>457</v>
      </c>
      <c r="H679" s="247" t="s">
        <v>211</v>
      </c>
      <c r="I679" s="162"/>
      <c r="J679" s="251">
        <v>1</v>
      </c>
      <c r="K679" s="254">
        <v>1400000</v>
      </c>
      <c r="L679" s="255">
        <f t="shared" si="47"/>
        <v>1400000</v>
      </c>
      <c r="M679" s="257"/>
      <c r="N679" s="262"/>
      <c r="O67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679" s="262"/>
      <c r="Q679" s="264" t="str" cm="1">
        <f t="array" ref="Q679">IF(T[[#This Row],[نوع عملیات]]="فروش", _xlfn.XLOOKUP(T[[#This Row],[کالا]], _xlfn._xlws.FILTER(T[کالا], T[نوع عملیات]="خرید"), _xlfn._xlws.FILTER(T[فروشنده / مشتری], T[نوع عملیات]="خرید")), "")</f>
        <v>عبدل آباد</v>
      </c>
    </row>
    <row r="680" spans="2:17" ht="16.5" hidden="1" x14ac:dyDescent="0.75">
      <c r="B680" s="227">
        <v>4</v>
      </c>
      <c r="C680" s="150">
        <v>3</v>
      </c>
      <c r="D680" s="150">
        <v>12</v>
      </c>
      <c r="E680" s="150" t="str">
        <f t="shared" si="45"/>
        <v>خرداد</v>
      </c>
      <c r="F680" s="151" t="s">
        <v>167</v>
      </c>
      <c r="G680" s="244" t="s">
        <v>561</v>
      </c>
      <c r="H680" s="247" t="s">
        <v>211</v>
      </c>
      <c r="I680" s="162"/>
      <c r="J680" s="251">
        <v>1</v>
      </c>
      <c r="K680" s="254">
        <v>300000</v>
      </c>
      <c r="L680" s="255">
        <f t="shared" si="47"/>
        <v>300000</v>
      </c>
      <c r="M680" s="257">
        <v>1700000</v>
      </c>
      <c r="N680" s="262" t="s">
        <v>299</v>
      </c>
      <c r="O68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72000</v>
      </c>
      <c r="P680" s="262"/>
      <c r="Q680" s="264" t="str" cm="1">
        <f t="array" ref="Q680">IF(T[[#This Row],[نوع عملیات]]="فروش", _xlfn.XLOOKUP(T[[#This Row],[کالا]], _xlfn._xlws.FILTER(T[کالا], T[نوع عملیات]="خرید"), _xlfn._xlws.FILTER(T[فروشنده / مشتری], T[نوع عملیات]="خرید")), "")</f>
        <v>عبدل آباد</v>
      </c>
    </row>
    <row r="681" spans="2:17" ht="16.5" hidden="1" x14ac:dyDescent="0.75">
      <c r="B681" s="227">
        <v>4</v>
      </c>
      <c r="C681" s="150">
        <v>3</v>
      </c>
      <c r="D681" s="150">
        <v>12</v>
      </c>
      <c r="E681" s="150" t="str">
        <f t="shared" si="45"/>
        <v>خرداد</v>
      </c>
      <c r="F681" s="151" t="s">
        <v>167</v>
      </c>
      <c r="G681" s="244" t="s">
        <v>274</v>
      </c>
      <c r="H681" s="247" t="s">
        <v>211</v>
      </c>
      <c r="I681" s="162"/>
      <c r="J681" s="251">
        <v>1</v>
      </c>
      <c r="K681" s="254">
        <v>200000</v>
      </c>
      <c r="L681" s="255">
        <f t="shared" si="47"/>
        <v>200000</v>
      </c>
      <c r="M681" s="257"/>
      <c r="N681" s="262"/>
      <c r="O68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145714.28571428571</v>
      </c>
      <c r="P681" s="262"/>
      <c r="Q681" s="264" t="str" cm="1">
        <f t="array" ref="Q681">IF(T[[#This Row],[نوع عملیات]]="فروش", _xlfn.XLOOKUP(T[[#This Row],[کالا]], _xlfn._xlws.FILTER(T[کالا], T[نوع عملیات]="خرید"), _xlfn._xlws.FILTER(T[فروشنده / مشتری], T[نوع عملیات]="خرید")), "")</f>
        <v>بازار</v>
      </c>
    </row>
    <row r="682" spans="2:17" ht="16.5" hidden="1" x14ac:dyDescent="0.75">
      <c r="B682" s="227">
        <v>4</v>
      </c>
      <c r="C682" s="150">
        <v>3</v>
      </c>
      <c r="D682" s="150">
        <v>12</v>
      </c>
      <c r="E682" s="150" t="str">
        <f t="shared" si="45"/>
        <v>خرداد</v>
      </c>
      <c r="F682" s="151" t="s">
        <v>167</v>
      </c>
      <c r="G682" s="244" t="s">
        <v>540</v>
      </c>
      <c r="H682" s="247" t="s">
        <v>211</v>
      </c>
      <c r="I682" s="162"/>
      <c r="J682" s="251">
        <v>1</v>
      </c>
      <c r="K682" s="254">
        <v>1300000</v>
      </c>
      <c r="L682" s="255">
        <f t="shared" si="47"/>
        <v>1300000</v>
      </c>
      <c r="M682" s="257">
        <v>1500000</v>
      </c>
      <c r="N682" s="262" t="s">
        <v>299</v>
      </c>
      <c r="O68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668947.36842105258</v>
      </c>
      <c r="P682" s="262"/>
      <c r="Q682" s="264" t="str" cm="1">
        <f t="array" ref="Q682">IF(T[[#This Row],[نوع عملیات]]="فروش", _xlfn.XLOOKUP(T[[#This Row],[کالا]], _xlfn._xlws.FILTER(T[کالا], T[نوع عملیات]="خرید"), _xlfn._xlws.FILTER(T[فروشنده / مشتری], T[نوع عملیات]="خرید")), "")</f>
        <v>بازار پارسیان</v>
      </c>
    </row>
    <row r="683" spans="2:17" ht="16.5" hidden="1" x14ac:dyDescent="0.75">
      <c r="B683" s="227">
        <v>4</v>
      </c>
      <c r="C683" s="150">
        <v>3</v>
      </c>
      <c r="D683" s="150">
        <v>12</v>
      </c>
      <c r="E683" s="150" t="str">
        <f t="shared" si="45"/>
        <v>خرداد</v>
      </c>
      <c r="F683" s="151" t="s">
        <v>167</v>
      </c>
      <c r="G683" s="244" t="s">
        <v>540</v>
      </c>
      <c r="H683" s="247" t="s">
        <v>130</v>
      </c>
      <c r="I683" s="162"/>
      <c r="J683" s="251">
        <v>1</v>
      </c>
      <c r="K683" s="254">
        <v>1000000</v>
      </c>
      <c r="L683" s="255">
        <f t="shared" si="47"/>
        <v>1000000</v>
      </c>
      <c r="M683" s="257"/>
      <c r="N683" s="262"/>
      <c r="O68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368947.36842105258</v>
      </c>
      <c r="P683" s="262"/>
      <c r="Q683" s="264" t="str" cm="1">
        <f t="array" ref="Q683">IF(T[[#This Row],[نوع عملیات]]="فروش", _xlfn.XLOOKUP(T[[#This Row],[کالا]], _xlfn._xlws.FILTER(T[کالا], T[نوع عملیات]="خرید"), _xlfn._xlws.FILTER(T[فروشنده / مشتری], T[نوع عملیات]="خرید")), "")</f>
        <v>بازار پارسیان</v>
      </c>
    </row>
    <row r="684" spans="2:17" ht="16.5" hidden="1" x14ac:dyDescent="0.75">
      <c r="B684" s="227">
        <v>4</v>
      </c>
      <c r="C684" s="150">
        <v>3</v>
      </c>
      <c r="D684" s="150">
        <v>13</v>
      </c>
      <c r="E684" s="150" t="str">
        <f t="shared" si="45"/>
        <v>خرداد</v>
      </c>
      <c r="F684" s="151" t="s">
        <v>167</v>
      </c>
      <c r="G684" s="244" t="s">
        <v>564</v>
      </c>
      <c r="H684" s="247" t="s">
        <v>513</v>
      </c>
      <c r="I684" s="162"/>
      <c r="J684" s="251">
        <v>2</v>
      </c>
      <c r="K684" s="254">
        <v>250000</v>
      </c>
      <c r="L684" s="255">
        <f t="shared" si="47"/>
        <v>500000</v>
      </c>
      <c r="M684" s="257">
        <v>1800000</v>
      </c>
      <c r="N684" s="262" t="s">
        <v>346</v>
      </c>
      <c r="O68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84" s="262"/>
      <c r="Q684" s="264" t="str" cm="1">
        <f t="array" ref="Q684">IF(T[[#This Row],[نوع عملیات]]="فروش", _xlfn.XLOOKUP(T[[#This Row],[کالا]], _xlfn._xlws.FILTER(T[کالا], T[نوع عملیات]="خرید"), _xlfn._xlws.FILTER(T[فروشنده / مشتری], T[نوع عملیات]="خرید")), "")</f>
        <v>هستی هنگامه</v>
      </c>
    </row>
    <row r="685" spans="2:17" ht="16.5" hidden="1" x14ac:dyDescent="0.75">
      <c r="B685" s="227">
        <v>4</v>
      </c>
      <c r="C685" s="150">
        <v>3</v>
      </c>
      <c r="D685" s="150">
        <v>13</v>
      </c>
      <c r="E685" s="150" t="str">
        <f t="shared" si="45"/>
        <v>خرداد</v>
      </c>
      <c r="F685" s="151" t="s">
        <v>302</v>
      </c>
      <c r="G685" s="244"/>
      <c r="H685" s="247" t="s">
        <v>474</v>
      </c>
      <c r="I685" s="162"/>
      <c r="J685" s="251"/>
      <c r="K685" s="254"/>
      <c r="L685" s="255">
        <f t="shared" si="47"/>
        <v>0</v>
      </c>
      <c r="M685" s="257">
        <v>4000000</v>
      </c>
      <c r="N685" s="262" t="s">
        <v>346</v>
      </c>
      <c r="O68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85" s="262"/>
      <c r="Q685" s="264" t="str" cm="1">
        <f t="array" ref="Q685">IF(T[[#This Row],[نوع عملیات]]="فروش", _xlfn.XLOOKUP(T[[#This Row],[کالا]], _xlfn._xlws.FILTER(T[کالا], T[نوع عملیات]="خرید"), _xlfn._xlws.FILTER(T[فروشنده / مشتری], T[نوع عملیات]="خرید")), "")</f>
        <v/>
      </c>
    </row>
    <row r="686" spans="2:17" ht="16.5" hidden="1" x14ac:dyDescent="0.75">
      <c r="B686" s="227">
        <v>4</v>
      </c>
      <c r="C686" s="150">
        <v>3</v>
      </c>
      <c r="D686" s="150">
        <v>13</v>
      </c>
      <c r="E686" s="150" t="str">
        <f t="shared" si="45"/>
        <v>خرداد</v>
      </c>
      <c r="F686" s="151" t="s">
        <v>302</v>
      </c>
      <c r="G686" s="244"/>
      <c r="H686" s="247" t="s">
        <v>477</v>
      </c>
      <c r="I686" s="162"/>
      <c r="J686" s="251"/>
      <c r="K686" s="254"/>
      <c r="L686" s="255">
        <f t="shared" si="47"/>
        <v>0</v>
      </c>
      <c r="M686" s="257">
        <v>350000</v>
      </c>
      <c r="N686" s="262" t="s">
        <v>346</v>
      </c>
      <c r="O68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86" s="262"/>
      <c r="Q686" s="264" t="str" cm="1">
        <f t="array" ref="Q686">IF(T[[#This Row],[نوع عملیات]]="فروش", _xlfn.XLOOKUP(T[[#This Row],[کالا]], _xlfn._xlws.FILTER(T[کالا], T[نوع عملیات]="خرید"), _xlfn._xlws.FILTER(T[فروشنده / مشتری], T[نوع عملیات]="خرید")), "")</f>
        <v/>
      </c>
    </row>
    <row r="687" spans="2:17" ht="16.5" hidden="1" x14ac:dyDescent="0.75">
      <c r="B687" s="227">
        <v>4</v>
      </c>
      <c r="C687" s="150">
        <v>3</v>
      </c>
      <c r="D687" s="150">
        <v>13</v>
      </c>
      <c r="E687" s="150" t="str">
        <f t="shared" si="45"/>
        <v>خرداد</v>
      </c>
      <c r="F687" s="151" t="s">
        <v>302</v>
      </c>
      <c r="G687" s="244"/>
      <c r="H687" s="247" t="s">
        <v>424</v>
      </c>
      <c r="I687" s="162"/>
      <c r="J687" s="251"/>
      <c r="K687" s="254"/>
      <c r="L687" s="255">
        <f t="shared" si="47"/>
        <v>0</v>
      </c>
      <c r="M687" s="257">
        <v>170000</v>
      </c>
      <c r="N687" s="262" t="s">
        <v>346</v>
      </c>
      <c r="O68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87" s="262"/>
      <c r="Q687" s="264" t="str" cm="1">
        <f t="array" ref="Q687">IF(T[[#This Row],[نوع عملیات]]="فروش", _xlfn.XLOOKUP(T[[#This Row],[کالا]], _xlfn._xlws.FILTER(T[کالا], T[نوع عملیات]="خرید"), _xlfn._xlws.FILTER(T[فروشنده / مشتری], T[نوع عملیات]="خرید")), "")</f>
        <v/>
      </c>
    </row>
    <row r="688" spans="2:17" ht="16.5" hidden="1" x14ac:dyDescent="0.75">
      <c r="B688" s="227">
        <v>4</v>
      </c>
      <c r="C688" s="150">
        <v>3</v>
      </c>
      <c r="D688" s="150">
        <v>13</v>
      </c>
      <c r="E688" s="150" t="str">
        <f t="shared" si="45"/>
        <v>خرداد</v>
      </c>
      <c r="F688" s="151" t="s">
        <v>302</v>
      </c>
      <c r="G688" s="244"/>
      <c r="H688" s="247" t="s">
        <v>612</v>
      </c>
      <c r="I688" s="162"/>
      <c r="J688" s="251"/>
      <c r="K688" s="254"/>
      <c r="L688" s="255">
        <f t="shared" si="47"/>
        <v>0</v>
      </c>
      <c r="M688" s="257">
        <v>2400000</v>
      </c>
      <c r="N688" s="262" t="s">
        <v>299</v>
      </c>
      <c r="O68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88" s="262"/>
      <c r="Q688" s="264" t="str" cm="1">
        <f t="array" ref="Q688">IF(T[[#This Row],[نوع عملیات]]="فروش", _xlfn.XLOOKUP(T[[#This Row],[کالا]], _xlfn._xlws.FILTER(T[کالا], T[نوع عملیات]="خرید"), _xlfn._xlws.FILTER(T[فروشنده / مشتری], T[نوع عملیات]="خرید")), "")</f>
        <v/>
      </c>
    </row>
    <row r="689" spans="2:17" ht="16.5" hidden="1" x14ac:dyDescent="0.75">
      <c r="B689" s="227">
        <v>4</v>
      </c>
      <c r="C689" s="150">
        <v>3</v>
      </c>
      <c r="D689" s="150">
        <v>13</v>
      </c>
      <c r="E689" s="150" t="str">
        <f t="shared" si="45"/>
        <v>خرداد</v>
      </c>
      <c r="F689" s="151" t="s">
        <v>302</v>
      </c>
      <c r="G689" s="244"/>
      <c r="H689" s="247" t="s">
        <v>478</v>
      </c>
      <c r="I689" s="162"/>
      <c r="J689" s="251"/>
      <c r="K689" s="254"/>
      <c r="L689" s="255">
        <f t="shared" si="47"/>
        <v>0</v>
      </c>
      <c r="M689" s="257">
        <v>700000</v>
      </c>
      <c r="N689" s="262" t="s">
        <v>299</v>
      </c>
      <c r="O68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89" s="262"/>
      <c r="Q689" s="264" t="str" cm="1">
        <f t="array" ref="Q689">IF(T[[#This Row],[نوع عملیات]]="فروش", _xlfn.XLOOKUP(T[[#This Row],[کالا]], _xlfn._xlws.FILTER(T[کالا], T[نوع عملیات]="خرید"), _xlfn._xlws.FILTER(T[فروشنده / مشتری], T[نوع عملیات]="خرید")), "")</f>
        <v/>
      </c>
    </row>
    <row r="690" spans="2:17" ht="16.5" hidden="1" x14ac:dyDescent="0.75">
      <c r="B690" s="227">
        <v>4</v>
      </c>
      <c r="C690" s="150">
        <v>3</v>
      </c>
      <c r="D690" s="150">
        <v>13</v>
      </c>
      <c r="E690" s="150" t="str">
        <f t="shared" si="45"/>
        <v>خرداد</v>
      </c>
      <c r="F690" s="151" t="s">
        <v>302</v>
      </c>
      <c r="G690" s="244"/>
      <c r="H690" s="247" t="s">
        <v>352</v>
      </c>
      <c r="I690" s="162"/>
      <c r="J690" s="251"/>
      <c r="K690" s="254"/>
      <c r="L690" s="255">
        <f t="shared" si="47"/>
        <v>0</v>
      </c>
      <c r="M690" s="257">
        <v>750000</v>
      </c>
      <c r="N690" s="262" t="s">
        <v>346</v>
      </c>
      <c r="O69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90" s="262"/>
      <c r="Q690" s="264" t="str" cm="1">
        <f t="array" ref="Q690">IF(T[[#This Row],[نوع عملیات]]="فروش", _xlfn.XLOOKUP(T[[#This Row],[کالا]], _xlfn._xlws.FILTER(T[کالا], T[نوع عملیات]="خرید"), _xlfn._xlws.FILTER(T[فروشنده / مشتری], T[نوع عملیات]="خرید")), "")</f>
        <v/>
      </c>
    </row>
    <row r="691" spans="2:17" ht="16.5" hidden="1" x14ac:dyDescent="0.75">
      <c r="B691" s="227">
        <v>4</v>
      </c>
      <c r="C691" s="150">
        <v>3</v>
      </c>
      <c r="D691" s="150">
        <v>13</v>
      </c>
      <c r="E691" s="150" t="str">
        <f t="shared" si="45"/>
        <v>خرداد</v>
      </c>
      <c r="F691" s="151" t="s">
        <v>302</v>
      </c>
      <c r="G691" s="244"/>
      <c r="H691" s="247" t="s">
        <v>351</v>
      </c>
      <c r="I691" s="162"/>
      <c r="J691" s="251"/>
      <c r="K691" s="254"/>
      <c r="L691" s="255">
        <f t="shared" si="47"/>
        <v>0</v>
      </c>
      <c r="M691" s="257">
        <v>300000</v>
      </c>
      <c r="N691" s="262" t="s">
        <v>216</v>
      </c>
      <c r="O69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91" s="262"/>
      <c r="Q691" s="264" t="str" cm="1">
        <f t="array" ref="Q691">IF(T[[#This Row],[نوع عملیات]]="فروش", _xlfn.XLOOKUP(T[[#This Row],[کالا]], _xlfn._xlws.FILTER(T[کالا], T[نوع عملیات]="خرید"), _xlfn._xlws.FILTER(T[فروشنده / مشتری], T[نوع عملیات]="خرید")), "")</f>
        <v/>
      </c>
    </row>
    <row r="692" spans="2:17" ht="16.5" hidden="1" x14ac:dyDescent="0.75">
      <c r="B692" s="227">
        <v>4</v>
      </c>
      <c r="C692" s="150">
        <v>3</v>
      </c>
      <c r="D692" s="150">
        <v>13</v>
      </c>
      <c r="E692" s="150" t="str">
        <f t="shared" si="45"/>
        <v>خرداد</v>
      </c>
      <c r="F692" s="151" t="s">
        <v>167</v>
      </c>
      <c r="G692" s="244" t="s">
        <v>562</v>
      </c>
      <c r="H692" s="247" t="s">
        <v>211</v>
      </c>
      <c r="I692" s="162"/>
      <c r="J692" s="251">
        <v>1</v>
      </c>
      <c r="K692" s="254">
        <v>1000000</v>
      </c>
      <c r="L692" s="255">
        <f t="shared" si="47"/>
        <v>1000000</v>
      </c>
      <c r="M692" s="257">
        <v>1000000</v>
      </c>
      <c r="N692" s="262" t="s">
        <v>299</v>
      </c>
      <c r="O69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504285.71428571426</v>
      </c>
      <c r="P692" s="262"/>
      <c r="Q692" s="264" t="str" cm="1">
        <f t="array" ref="Q692">IF(T[[#This Row],[نوع عملیات]]="فروش", _xlfn.XLOOKUP(T[[#This Row],[کالا]], _xlfn._xlws.FILTER(T[کالا], T[نوع عملیات]="خرید"), _xlfn._xlws.FILTER(T[فروشنده / مشتری], T[نوع عملیات]="خرید")), "")</f>
        <v>بازار پارسیان</v>
      </c>
    </row>
    <row r="693" spans="2:17" ht="16.5" hidden="1" x14ac:dyDescent="0.75">
      <c r="B693" s="227">
        <v>4</v>
      </c>
      <c r="C693" s="150">
        <v>3</v>
      </c>
      <c r="D693" s="150">
        <v>13</v>
      </c>
      <c r="E693" s="150" t="str">
        <f t="shared" si="45"/>
        <v>خرداد</v>
      </c>
      <c r="F693" s="151" t="s">
        <v>167</v>
      </c>
      <c r="G693" s="244" t="s">
        <v>457</v>
      </c>
      <c r="H693" s="247" t="s">
        <v>573</v>
      </c>
      <c r="I693" s="162"/>
      <c r="J693" s="251">
        <v>1</v>
      </c>
      <c r="K693" s="254">
        <v>1400000</v>
      </c>
      <c r="L693" s="255">
        <f t="shared" si="47"/>
        <v>1400000</v>
      </c>
      <c r="M693" s="257"/>
      <c r="N693" s="262"/>
      <c r="O69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693" s="262"/>
      <c r="Q693" s="264" t="str" cm="1">
        <f t="array" ref="Q693">IF(T[[#This Row],[نوع عملیات]]="فروش", _xlfn.XLOOKUP(T[[#This Row],[کالا]], _xlfn._xlws.FILTER(T[کالا], T[نوع عملیات]="خرید"), _xlfn._xlws.FILTER(T[فروشنده / مشتری], T[نوع عملیات]="خرید")), "")</f>
        <v>عبدل آباد</v>
      </c>
    </row>
    <row r="694" spans="2:17" ht="16.5" hidden="1" x14ac:dyDescent="0.75">
      <c r="B694" s="227">
        <v>4</v>
      </c>
      <c r="C694" s="150">
        <v>3</v>
      </c>
      <c r="D694" s="150">
        <v>17</v>
      </c>
      <c r="E694" s="150" t="str">
        <f t="shared" si="45"/>
        <v>خرداد</v>
      </c>
      <c r="F694" s="151" t="s">
        <v>167</v>
      </c>
      <c r="G694" s="244" t="s">
        <v>347</v>
      </c>
      <c r="H694" s="247" t="s">
        <v>513</v>
      </c>
      <c r="I694" s="162"/>
      <c r="J694" s="251">
        <v>1</v>
      </c>
      <c r="K694" s="254">
        <v>950000</v>
      </c>
      <c r="L694" s="255">
        <f t="shared" si="47"/>
        <v>950000</v>
      </c>
      <c r="M694" s="257"/>
      <c r="N694" s="262"/>
      <c r="O69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694" s="262"/>
      <c r="Q694" s="264" t="str" cm="1">
        <f t="array" ref="Q694">IF(T[[#This Row],[نوع عملیات]]="فروش", _xlfn.XLOOKUP(T[[#This Row],[کالا]], _xlfn._xlws.FILTER(T[کالا], T[نوع عملیات]="خرید"), _xlfn._xlws.FILTER(T[فروشنده / مشتری], T[نوع عملیات]="خرید")), "")</f>
        <v>دلگشا</v>
      </c>
    </row>
    <row r="695" spans="2:17" ht="16.5" hidden="1" x14ac:dyDescent="0.75">
      <c r="B695" s="227">
        <v>4</v>
      </c>
      <c r="C695" s="150">
        <v>3</v>
      </c>
      <c r="D695" s="150">
        <v>17</v>
      </c>
      <c r="E695" s="150" t="str">
        <f t="shared" si="45"/>
        <v>خرداد</v>
      </c>
      <c r="F695" s="151" t="s">
        <v>167</v>
      </c>
      <c r="G695" s="244" t="s">
        <v>457</v>
      </c>
      <c r="H695" s="247" t="s">
        <v>513</v>
      </c>
      <c r="I695" s="162"/>
      <c r="J695" s="251">
        <v>2</v>
      </c>
      <c r="K695" s="254">
        <v>1400000</v>
      </c>
      <c r="L695" s="255">
        <f t="shared" si="47"/>
        <v>2800000</v>
      </c>
      <c r="M695" s="257"/>
      <c r="N695" s="262"/>
      <c r="O69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826956.52173913037</v>
      </c>
      <c r="P695" s="262"/>
      <c r="Q695" s="264" t="str" cm="1">
        <f t="array" ref="Q695">IF(T[[#This Row],[نوع عملیات]]="فروش", _xlfn.XLOOKUP(T[[#This Row],[کالا]], _xlfn._xlws.FILTER(T[کالا], T[نوع عملیات]="خرید"), _xlfn._xlws.FILTER(T[فروشنده / مشتری], T[نوع عملیات]="خرید")), "")</f>
        <v>عبدل آباد</v>
      </c>
    </row>
    <row r="696" spans="2:17" ht="16.5" hidden="1" x14ac:dyDescent="0.75">
      <c r="B696" s="227">
        <v>4</v>
      </c>
      <c r="C696" s="150">
        <v>3</v>
      </c>
      <c r="D696" s="150">
        <v>17</v>
      </c>
      <c r="E696" s="150" t="str">
        <f t="shared" ref="E696:E762" si="48">CHOOSE(C696, "فروردین", "اردیبهشت", "خرداد", "تیر", "مرداد", "شهریور", "مهر", "آبان", "آذر", "دی", "بهمن", "اسفند")</f>
        <v>خرداد</v>
      </c>
      <c r="F696" s="151" t="s">
        <v>167</v>
      </c>
      <c r="G696" s="244" t="s">
        <v>274</v>
      </c>
      <c r="H696" s="247" t="s">
        <v>513</v>
      </c>
      <c r="I696" s="162"/>
      <c r="J696" s="251">
        <v>1</v>
      </c>
      <c r="K696" s="254">
        <v>250000</v>
      </c>
      <c r="L696" s="255">
        <f t="shared" si="47"/>
        <v>250000</v>
      </c>
      <c r="M696" s="257"/>
      <c r="N696" s="262"/>
      <c r="O69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195714.28571428571</v>
      </c>
      <c r="P696" s="262"/>
      <c r="Q696" s="264" t="str" cm="1">
        <f t="array" ref="Q696">IF(T[[#This Row],[نوع عملیات]]="فروش", _xlfn.XLOOKUP(T[[#This Row],[کالا]], _xlfn._xlws.FILTER(T[کالا], T[نوع عملیات]="خرید"), _xlfn._xlws.FILTER(T[فروشنده / مشتری], T[نوع عملیات]="خرید")), "")</f>
        <v>بازار</v>
      </c>
    </row>
    <row r="697" spans="2:17" ht="16.5" hidden="1" x14ac:dyDescent="0.75">
      <c r="B697" s="227">
        <v>4</v>
      </c>
      <c r="C697" s="150">
        <v>3</v>
      </c>
      <c r="D697" s="150">
        <v>17</v>
      </c>
      <c r="E697" s="150" t="str">
        <f t="shared" si="48"/>
        <v>خرداد</v>
      </c>
      <c r="F697" s="151" t="s">
        <v>167</v>
      </c>
      <c r="G697" s="244" t="s">
        <v>468</v>
      </c>
      <c r="H697" s="247" t="s">
        <v>474</v>
      </c>
      <c r="I697" s="162"/>
      <c r="J697" s="251">
        <v>2</v>
      </c>
      <c r="K697" s="254">
        <v>350000</v>
      </c>
      <c r="L697" s="255">
        <f t="shared" si="47"/>
        <v>700000</v>
      </c>
      <c r="M697" s="257"/>
      <c r="N697" s="262"/>
      <c r="O69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404000</v>
      </c>
      <c r="P697" s="262"/>
      <c r="Q697" s="264" t="str" cm="1">
        <f t="array" ref="Q697">IF(T[[#This Row],[نوع عملیات]]="فروش", _xlfn.XLOOKUP(T[[#This Row],[کالا]], _xlfn._xlws.FILTER(T[کالا], T[نوع عملیات]="خرید"), _xlfn._xlws.FILTER(T[فروشنده / مشتری], T[نوع عملیات]="خرید")), "")</f>
        <v>سرای ملی</v>
      </c>
    </row>
    <row r="698" spans="2:17" ht="16.5" hidden="1" x14ac:dyDescent="0.75">
      <c r="B698" s="227">
        <v>4</v>
      </c>
      <c r="C698" s="150">
        <v>3</v>
      </c>
      <c r="D698" s="150">
        <v>17</v>
      </c>
      <c r="E698" s="150" t="str">
        <f t="shared" si="48"/>
        <v>خرداد</v>
      </c>
      <c r="F698" s="151" t="s">
        <v>167</v>
      </c>
      <c r="G698" s="244" t="s">
        <v>552</v>
      </c>
      <c r="H698" s="247" t="s">
        <v>474</v>
      </c>
      <c r="I698" s="162"/>
      <c r="J698" s="251">
        <v>1</v>
      </c>
      <c r="K698" s="254">
        <v>800000</v>
      </c>
      <c r="L698" s="255">
        <f t="shared" ref="L698:L702" si="49">J698*K698</f>
        <v>800000</v>
      </c>
      <c r="M698" s="257"/>
      <c r="N698" s="262"/>
      <c r="O69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406000</v>
      </c>
      <c r="P698" s="262"/>
      <c r="Q698" s="264" t="str" cm="1">
        <f t="array" ref="Q698">IF(T[[#This Row],[نوع عملیات]]="فروش", _xlfn.XLOOKUP(T[[#This Row],[کالا]], _xlfn._xlws.FILTER(T[کالا], T[نوع عملیات]="خرید"), _xlfn._xlws.FILTER(T[فروشنده / مشتری], T[نوع عملیات]="خرید")), "")</f>
        <v>سرای ملی</v>
      </c>
    </row>
    <row r="699" spans="2:17" ht="16.5" hidden="1" x14ac:dyDescent="0.75">
      <c r="B699" s="227">
        <v>4</v>
      </c>
      <c r="C699" s="150">
        <v>3</v>
      </c>
      <c r="D699" s="150">
        <v>17</v>
      </c>
      <c r="E699" s="150" t="str">
        <f t="shared" si="48"/>
        <v>خرداد</v>
      </c>
      <c r="F699" s="151" t="s">
        <v>302</v>
      </c>
      <c r="G699" s="244"/>
      <c r="H699" s="247" t="s">
        <v>512</v>
      </c>
      <c r="I699" s="162"/>
      <c r="J699" s="251"/>
      <c r="K699" s="254"/>
      <c r="L699" s="255">
        <f t="shared" si="49"/>
        <v>0</v>
      </c>
      <c r="M699" s="257">
        <v>750000</v>
      </c>
      <c r="N699" s="262" t="s">
        <v>346</v>
      </c>
      <c r="O69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699" s="262"/>
      <c r="Q699" s="264" t="str" cm="1">
        <f t="array" ref="Q699">IF(T[[#This Row],[نوع عملیات]]="فروش", _xlfn.XLOOKUP(T[[#This Row],[کالا]], _xlfn._xlws.FILTER(T[کالا], T[نوع عملیات]="خرید"), _xlfn._xlws.FILTER(T[فروشنده / مشتری], T[نوع عملیات]="خرید")), "")</f>
        <v/>
      </c>
    </row>
    <row r="700" spans="2:17" ht="16.5" hidden="1" x14ac:dyDescent="0.75">
      <c r="B700" s="227">
        <v>4</v>
      </c>
      <c r="C700" s="150">
        <v>3</v>
      </c>
      <c r="D700" s="150">
        <v>17</v>
      </c>
      <c r="E700" s="150" t="str">
        <f t="shared" si="48"/>
        <v>خرداد</v>
      </c>
      <c r="F700" s="151" t="s">
        <v>167</v>
      </c>
      <c r="G700" s="244" t="s">
        <v>562</v>
      </c>
      <c r="H700" s="247" t="s">
        <v>624</v>
      </c>
      <c r="I700" s="162"/>
      <c r="J700" s="251">
        <v>1</v>
      </c>
      <c r="K700" s="254">
        <v>1100000</v>
      </c>
      <c r="L700" s="255">
        <f t="shared" si="49"/>
        <v>1100000</v>
      </c>
      <c r="M700" s="257"/>
      <c r="N700" s="262"/>
      <c r="O7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604285.71428571432</v>
      </c>
      <c r="P700" s="262"/>
      <c r="Q700" s="264" t="str" cm="1">
        <f t="array" ref="Q700">IF(T[[#This Row],[نوع عملیات]]="فروش", _xlfn.XLOOKUP(T[[#This Row],[کالا]], _xlfn._xlws.FILTER(T[کالا], T[نوع عملیات]="خرید"), _xlfn._xlws.FILTER(T[فروشنده / مشتری], T[نوع عملیات]="خرید")), "")</f>
        <v>بازار پارسیان</v>
      </c>
    </row>
    <row r="701" spans="2:17" ht="16.5" hidden="1" x14ac:dyDescent="0.75">
      <c r="B701" s="227">
        <v>4</v>
      </c>
      <c r="C701" s="150">
        <v>3</v>
      </c>
      <c r="D701" s="150">
        <v>17</v>
      </c>
      <c r="E701" s="150" t="str">
        <f t="shared" si="48"/>
        <v>خرداد</v>
      </c>
      <c r="F701" s="151" t="s">
        <v>167</v>
      </c>
      <c r="G701" s="244" t="s">
        <v>574</v>
      </c>
      <c r="H701" s="247" t="s">
        <v>624</v>
      </c>
      <c r="I701" s="162"/>
      <c r="J701" s="251">
        <v>1</v>
      </c>
      <c r="K701" s="254">
        <v>300000</v>
      </c>
      <c r="L701" s="255">
        <f t="shared" si="49"/>
        <v>300000</v>
      </c>
      <c r="M701" s="257"/>
      <c r="N701" s="262"/>
      <c r="O7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701" s="262"/>
      <c r="Q701" s="264" t="str" cm="1">
        <f t="array" ref="Q701">IF(T[[#This Row],[نوع عملیات]]="فروش", _xlfn.XLOOKUP(T[[#This Row],[کالا]], _xlfn._xlws.FILTER(T[کالا], T[نوع عملیات]="خرید"), _xlfn._xlws.FILTER(T[فروشنده / مشتری], T[نوع عملیات]="خرید")), "")</f>
        <v>عبدل آباد</v>
      </c>
    </row>
    <row r="702" spans="2:17" ht="16.5" hidden="1" x14ac:dyDescent="0.75">
      <c r="B702" s="227">
        <v>4</v>
      </c>
      <c r="C702" s="150">
        <v>3</v>
      </c>
      <c r="D702" s="150">
        <v>17</v>
      </c>
      <c r="E702" s="150" t="str">
        <f t="shared" si="48"/>
        <v>خرداد</v>
      </c>
      <c r="F702" s="151" t="s">
        <v>167</v>
      </c>
      <c r="G702" s="244" t="s">
        <v>468</v>
      </c>
      <c r="H702" s="247" t="s">
        <v>523</v>
      </c>
      <c r="I702" s="162"/>
      <c r="J702" s="251">
        <v>1</v>
      </c>
      <c r="K702" s="254">
        <v>300000</v>
      </c>
      <c r="L702" s="255">
        <f t="shared" si="49"/>
        <v>300000</v>
      </c>
      <c r="M702" s="257">
        <v>300000</v>
      </c>
      <c r="N702" s="262" t="s">
        <v>346</v>
      </c>
      <c r="O7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702" s="262"/>
      <c r="Q702" s="264" t="str" cm="1">
        <f t="array" ref="Q702">IF(T[[#This Row],[نوع عملیات]]="فروش", _xlfn.XLOOKUP(T[[#This Row],[کالا]], _xlfn._xlws.FILTER(T[کالا], T[نوع عملیات]="خرید"), _xlfn._xlws.FILTER(T[فروشنده / مشتری], T[نوع عملیات]="خرید")), "")</f>
        <v>سرای ملی</v>
      </c>
    </row>
    <row r="703" spans="2:17" ht="16.5" hidden="1" x14ac:dyDescent="0.75">
      <c r="B703" s="227">
        <v>4</v>
      </c>
      <c r="C703" s="150">
        <v>3</v>
      </c>
      <c r="D703" s="150">
        <v>17</v>
      </c>
      <c r="E703" s="150" t="str">
        <f t="shared" si="48"/>
        <v>خرداد</v>
      </c>
      <c r="F703" s="151" t="s">
        <v>168</v>
      </c>
      <c r="G703" s="244" t="s">
        <v>562</v>
      </c>
      <c r="H703" s="247" t="s">
        <v>541</v>
      </c>
      <c r="I703" s="162" t="s">
        <v>610</v>
      </c>
      <c r="J703" s="251">
        <v>9</v>
      </c>
      <c r="K703" s="254">
        <f>T[[#This Row],[قیمت کل]]/T[[#This Row],[تعداد]]</f>
        <v>494444.44444444444</v>
      </c>
      <c r="L703" s="255">
        <v>4450000</v>
      </c>
      <c r="M703" s="257">
        <v>4450000</v>
      </c>
      <c r="N703" s="262" t="s">
        <v>346</v>
      </c>
      <c r="O7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03" s="262"/>
      <c r="Q703" s="264" t="str" cm="1">
        <f t="array" ref="Q703">IF(T[[#This Row],[نوع عملیات]]="فروش", _xlfn.XLOOKUP(T[[#This Row],[کالا]], _xlfn._xlws.FILTER(T[کالا], T[نوع عملیات]="خرید"), _xlfn._xlws.FILTER(T[فروشنده / مشتری], T[نوع عملیات]="خرید")), "")</f>
        <v/>
      </c>
    </row>
    <row r="704" spans="2:17" ht="16.5" hidden="1" x14ac:dyDescent="0.75">
      <c r="B704" s="227">
        <v>4</v>
      </c>
      <c r="C704" s="150">
        <v>3</v>
      </c>
      <c r="D704" s="150">
        <v>18</v>
      </c>
      <c r="E704" s="150" t="str">
        <f t="shared" si="48"/>
        <v>خرداد</v>
      </c>
      <c r="F704" s="151" t="s">
        <v>167</v>
      </c>
      <c r="G704" s="244" t="s">
        <v>486</v>
      </c>
      <c r="H704" s="247" t="s">
        <v>429</v>
      </c>
      <c r="I704" s="162"/>
      <c r="J704" s="251">
        <v>1</v>
      </c>
      <c r="K704" s="254">
        <v>2000000</v>
      </c>
      <c r="L704" s="255">
        <f t="shared" ref="L704:L737" si="50">J704*K704</f>
        <v>2000000</v>
      </c>
      <c r="M704" s="257"/>
      <c r="N704" s="262"/>
      <c r="O7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704" s="262"/>
      <c r="Q704" s="264" t="str" cm="1">
        <f t="array" ref="Q704">IF(T[[#This Row],[نوع عملیات]]="فروش", _xlfn.XLOOKUP(T[[#This Row],[کالا]], _xlfn._xlws.FILTER(T[کالا], T[نوع عملیات]="خرید"), _xlfn._xlws.FILTER(T[فروشنده / مشتری], T[نوع عملیات]="خرید")), "")</f>
        <v>عبدل آباد</v>
      </c>
    </row>
    <row r="705" spans="2:17" ht="16.5" hidden="1" x14ac:dyDescent="0.75">
      <c r="B705" s="227">
        <v>4</v>
      </c>
      <c r="C705" s="150">
        <v>3</v>
      </c>
      <c r="D705" s="150">
        <v>19</v>
      </c>
      <c r="E705" s="150" t="str">
        <f t="shared" si="48"/>
        <v>خرداد</v>
      </c>
      <c r="F705" s="151" t="s">
        <v>302</v>
      </c>
      <c r="G705" s="244"/>
      <c r="H705" s="247" t="s">
        <v>429</v>
      </c>
      <c r="I705" s="162"/>
      <c r="J705" s="251"/>
      <c r="K705" s="254"/>
      <c r="L705" s="255">
        <f t="shared" si="50"/>
        <v>0</v>
      </c>
      <c r="M705" s="257">
        <v>1000000</v>
      </c>
      <c r="N705" s="262" t="s">
        <v>216</v>
      </c>
      <c r="O7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05" s="262"/>
      <c r="Q705" s="264" t="str" cm="1">
        <f t="array" ref="Q705">IF(T[[#This Row],[نوع عملیات]]="فروش", _xlfn.XLOOKUP(T[[#This Row],[کالا]], _xlfn._xlws.FILTER(T[کالا], T[نوع عملیات]="خرید"), _xlfn._xlws.FILTER(T[فروشنده / مشتری], T[نوع عملیات]="خرید")), "")</f>
        <v/>
      </c>
    </row>
    <row r="706" spans="2:17" ht="16.5" hidden="1" x14ac:dyDescent="0.75">
      <c r="B706" s="227">
        <v>4</v>
      </c>
      <c r="C706" s="150">
        <v>3</v>
      </c>
      <c r="D706" s="150">
        <v>19</v>
      </c>
      <c r="E706" s="150" t="str">
        <f t="shared" si="48"/>
        <v>خرداد</v>
      </c>
      <c r="F706" s="151" t="s">
        <v>302</v>
      </c>
      <c r="G706" s="244"/>
      <c r="H706" s="247" t="s">
        <v>539</v>
      </c>
      <c r="I706" s="162"/>
      <c r="J706" s="251"/>
      <c r="K706" s="254"/>
      <c r="L706" s="255">
        <f t="shared" si="50"/>
        <v>0</v>
      </c>
      <c r="M706" s="257">
        <v>3000000</v>
      </c>
      <c r="N706" s="262" t="s">
        <v>298</v>
      </c>
      <c r="O7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06" s="262"/>
      <c r="Q706" s="264" t="str" cm="1">
        <f t="array" ref="Q706">IF(T[[#This Row],[نوع عملیات]]="فروش", _xlfn.XLOOKUP(T[[#This Row],[کالا]], _xlfn._xlws.FILTER(T[کالا], T[نوع عملیات]="خرید"), _xlfn._xlws.FILTER(T[فروشنده / مشتری], T[نوع عملیات]="خرید")), "")</f>
        <v/>
      </c>
    </row>
    <row r="707" spans="2:17" ht="16.5" hidden="1" x14ac:dyDescent="0.75">
      <c r="B707" s="227">
        <v>4</v>
      </c>
      <c r="C707" s="150">
        <v>3</v>
      </c>
      <c r="D707" s="150">
        <v>19</v>
      </c>
      <c r="E707" s="150" t="str">
        <f t="shared" si="48"/>
        <v>خرداد</v>
      </c>
      <c r="F707" s="151" t="s">
        <v>167</v>
      </c>
      <c r="G707" s="244" t="s">
        <v>549</v>
      </c>
      <c r="H707" s="247" t="s">
        <v>582</v>
      </c>
      <c r="I707" s="162"/>
      <c r="J707" s="251">
        <v>1</v>
      </c>
      <c r="K707" s="254">
        <v>1000000</v>
      </c>
      <c r="L707" s="255">
        <f t="shared" si="50"/>
        <v>1000000</v>
      </c>
      <c r="M707" s="257"/>
      <c r="N707" s="262"/>
      <c r="O7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707" s="262"/>
      <c r="Q707" s="264" t="str" cm="1">
        <f t="array" ref="Q707">IF(T[[#This Row],[نوع عملیات]]="فروش", _xlfn.XLOOKUP(T[[#This Row],[کالا]], _xlfn._xlws.FILTER(T[کالا], T[نوع عملیات]="خرید"), _xlfn._xlws.FILTER(T[فروشنده / مشتری], T[نوع عملیات]="خرید")), "")</f>
        <v>سرای ملی</v>
      </c>
    </row>
    <row r="708" spans="2:17" ht="16.5" hidden="1" x14ac:dyDescent="0.75">
      <c r="B708" s="227">
        <v>4</v>
      </c>
      <c r="C708" s="150">
        <v>3</v>
      </c>
      <c r="D708" s="150">
        <v>19</v>
      </c>
      <c r="E708" s="150" t="str">
        <f t="shared" si="48"/>
        <v>خرداد</v>
      </c>
      <c r="F708" s="151" t="s">
        <v>167</v>
      </c>
      <c r="G708" s="244" t="s">
        <v>557</v>
      </c>
      <c r="H708" s="247" t="s">
        <v>582</v>
      </c>
      <c r="I708" s="162"/>
      <c r="J708" s="251">
        <v>1</v>
      </c>
      <c r="K708" s="254">
        <v>1300000</v>
      </c>
      <c r="L708" s="255">
        <f t="shared" si="50"/>
        <v>1300000</v>
      </c>
      <c r="M708" s="257">
        <v>1500000</v>
      </c>
      <c r="N708" s="262" t="s">
        <v>346</v>
      </c>
      <c r="O7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708333.33333333337</v>
      </c>
      <c r="P708" s="262"/>
      <c r="Q708" s="264" t="str" cm="1">
        <f t="array" ref="Q708">IF(T[[#This Row],[نوع عملیات]]="فروش", _xlfn.XLOOKUP(T[[#This Row],[کالا]], _xlfn._xlws.FILTER(T[کالا], T[نوع عملیات]="خرید"), _xlfn._xlws.FILTER(T[فروشنده / مشتری], T[نوع عملیات]="خرید")), "")</f>
        <v>بازار پارسیان</v>
      </c>
    </row>
    <row r="709" spans="2:17" ht="16.5" hidden="1" x14ac:dyDescent="0.75">
      <c r="B709" s="227">
        <v>4</v>
      </c>
      <c r="C709" s="150">
        <v>3</v>
      </c>
      <c r="D709" s="150">
        <v>19</v>
      </c>
      <c r="E709" s="150" t="str">
        <f t="shared" si="48"/>
        <v>خرداد</v>
      </c>
      <c r="F709" s="151" t="s">
        <v>167</v>
      </c>
      <c r="G709" s="244" t="s">
        <v>486</v>
      </c>
      <c r="H709" s="247" t="s">
        <v>583</v>
      </c>
      <c r="I709" s="162"/>
      <c r="J709" s="251">
        <v>1</v>
      </c>
      <c r="K709" s="254">
        <v>2000000</v>
      </c>
      <c r="L709" s="255">
        <f t="shared" si="50"/>
        <v>2000000</v>
      </c>
      <c r="M709" s="257"/>
      <c r="N709" s="262"/>
      <c r="O7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709" s="262"/>
      <c r="Q709" s="264" t="str" cm="1">
        <f t="array" ref="Q709">IF(T[[#This Row],[نوع عملیات]]="فروش", _xlfn.XLOOKUP(T[[#This Row],[کالا]], _xlfn._xlws.FILTER(T[کالا], T[نوع عملیات]="خرید"), _xlfn._xlws.FILTER(T[فروشنده / مشتری], T[نوع عملیات]="خرید")), "")</f>
        <v>عبدل آباد</v>
      </c>
    </row>
    <row r="710" spans="2:17" ht="16.5" hidden="1" x14ac:dyDescent="0.75">
      <c r="B710" s="227">
        <v>4</v>
      </c>
      <c r="C710" s="150">
        <v>3</v>
      </c>
      <c r="D710" s="150">
        <v>19</v>
      </c>
      <c r="E710" s="150" t="str">
        <f t="shared" si="48"/>
        <v>خرداد</v>
      </c>
      <c r="F710" s="151" t="s">
        <v>167</v>
      </c>
      <c r="G710" s="244" t="s">
        <v>370</v>
      </c>
      <c r="H710" s="247" t="s">
        <v>583</v>
      </c>
      <c r="I710" s="162"/>
      <c r="J710" s="251">
        <v>1</v>
      </c>
      <c r="K710" s="254">
        <v>400000</v>
      </c>
      <c r="L710" s="255">
        <f t="shared" si="50"/>
        <v>400000</v>
      </c>
      <c r="M710" s="257">
        <v>1000000</v>
      </c>
      <c r="N710" s="262" t="s">
        <v>346</v>
      </c>
      <c r="O7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710" s="262"/>
      <c r="Q710" s="264" t="str" cm="1">
        <f t="array" ref="Q710">IF(T[[#This Row],[نوع عملیات]]="فروش", _xlfn.XLOOKUP(T[[#This Row],[کالا]], _xlfn._xlws.FILTER(T[کالا], T[نوع عملیات]="خرید"), _xlfn._xlws.FILTER(T[فروشنده / مشتری], T[نوع عملیات]="خرید")), "")</f>
        <v>بازار</v>
      </c>
    </row>
    <row r="711" spans="2:17" ht="16.5" hidden="1" x14ac:dyDescent="0.75">
      <c r="B711" s="227">
        <v>4</v>
      </c>
      <c r="C711" s="150">
        <v>3</v>
      </c>
      <c r="D711" s="150">
        <v>20</v>
      </c>
      <c r="E711" s="150" t="str">
        <f t="shared" si="48"/>
        <v>خرداد</v>
      </c>
      <c r="F711" s="151" t="s">
        <v>302</v>
      </c>
      <c r="G711" s="244"/>
      <c r="H711" s="247" t="s">
        <v>624</v>
      </c>
      <c r="I711" s="162"/>
      <c r="J711" s="251"/>
      <c r="K711" s="254"/>
      <c r="L711" s="255">
        <f t="shared" si="50"/>
        <v>0</v>
      </c>
      <c r="M711" s="257">
        <v>1400000</v>
      </c>
      <c r="N711" s="262" t="s">
        <v>346</v>
      </c>
      <c r="O7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11" s="262"/>
      <c r="Q711" s="264" t="str" cm="1">
        <f t="array" ref="Q711">IF(T[[#This Row],[نوع عملیات]]="فروش", _xlfn.XLOOKUP(T[[#This Row],[کالا]], _xlfn._xlws.FILTER(T[کالا], T[نوع عملیات]="خرید"), _xlfn._xlws.FILTER(T[فروشنده / مشتری], T[نوع عملیات]="خرید")), "")</f>
        <v/>
      </c>
    </row>
    <row r="712" spans="2:17" ht="16.5" hidden="1" x14ac:dyDescent="0.75">
      <c r="B712" s="227">
        <v>4</v>
      </c>
      <c r="C712" s="150">
        <v>3</v>
      </c>
      <c r="D712" s="150">
        <v>20</v>
      </c>
      <c r="E712" s="150" t="str">
        <f t="shared" si="48"/>
        <v>خرداد</v>
      </c>
      <c r="F712" s="151" t="s">
        <v>302</v>
      </c>
      <c r="G712" s="244"/>
      <c r="H712" s="247" t="s">
        <v>130</v>
      </c>
      <c r="I712" s="162"/>
      <c r="J712" s="251"/>
      <c r="K712" s="254"/>
      <c r="L712" s="255">
        <f t="shared" si="50"/>
        <v>0</v>
      </c>
      <c r="M712" s="257">
        <v>1600000</v>
      </c>
      <c r="N712" s="262" t="s">
        <v>346</v>
      </c>
      <c r="O7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12" s="262"/>
      <c r="Q712" s="264" t="str" cm="1">
        <f t="array" ref="Q712">IF(T[[#This Row],[نوع عملیات]]="فروش", _xlfn.XLOOKUP(T[[#This Row],[کالا]], _xlfn._xlws.FILTER(T[کالا], T[نوع عملیات]="خرید"), _xlfn._xlws.FILTER(T[فروشنده / مشتری], T[نوع عملیات]="خرید")), "")</f>
        <v/>
      </c>
    </row>
    <row r="713" spans="2:17" s="346" customFormat="1" ht="16.5" hidden="1" x14ac:dyDescent="0.75">
      <c r="B713" s="325">
        <v>4</v>
      </c>
      <c r="C713" s="326">
        <v>3</v>
      </c>
      <c r="D713" s="326">
        <v>20</v>
      </c>
      <c r="E713" s="326" t="str">
        <f t="shared" si="48"/>
        <v>خرداد</v>
      </c>
      <c r="F713" s="327" t="s">
        <v>302</v>
      </c>
      <c r="G713" s="328" t="s">
        <v>607</v>
      </c>
      <c r="H713" s="329" t="s">
        <v>299</v>
      </c>
      <c r="I713" s="330"/>
      <c r="J713" s="331"/>
      <c r="K713" s="305"/>
      <c r="L713" s="304">
        <f t="shared" si="50"/>
        <v>0</v>
      </c>
      <c r="M713" s="332">
        <v>10000000</v>
      </c>
      <c r="N713" s="333" t="s">
        <v>346</v>
      </c>
      <c r="O713" s="334">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13" s="333"/>
      <c r="Q713" s="333" t="str" cm="1">
        <f t="array" ref="Q713">IF(T[[#This Row],[نوع عملیات]]="فروش", _xlfn.XLOOKUP(T[[#This Row],[کالا]], _xlfn._xlws.FILTER(T[کالا], T[نوع عملیات]="خرید"), _xlfn._xlws.FILTER(T[فروشنده / مشتری], T[نوع عملیات]="خرید")), "")</f>
        <v/>
      </c>
    </row>
    <row r="714" spans="2:17" ht="16.5" hidden="1" x14ac:dyDescent="0.75">
      <c r="B714" s="227">
        <v>4</v>
      </c>
      <c r="C714" s="150">
        <v>3</v>
      </c>
      <c r="D714" s="150">
        <v>20</v>
      </c>
      <c r="E714" s="150" t="str">
        <f t="shared" si="48"/>
        <v>خرداد</v>
      </c>
      <c r="F714" s="151" t="s">
        <v>167</v>
      </c>
      <c r="G714" s="244" t="s">
        <v>225</v>
      </c>
      <c r="H714" s="247" t="s">
        <v>211</v>
      </c>
      <c r="I714" s="162"/>
      <c r="J714" s="251">
        <v>1</v>
      </c>
      <c r="K714" s="254">
        <v>1400000</v>
      </c>
      <c r="L714" s="255">
        <f t="shared" si="50"/>
        <v>1400000</v>
      </c>
      <c r="M714" s="257">
        <v>1400000</v>
      </c>
      <c r="N714" s="262" t="s">
        <v>346</v>
      </c>
      <c r="O7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720000</v>
      </c>
      <c r="P714" s="262"/>
      <c r="Q714" s="264" t="str" cm="1">
        <f t="array" ref="Q714">IF(T[[#This Row],[نوع عملیات]]="فروش", _xlfn.XLOOKUP(T[[#This Row],[کالا]], _xlfn._xlws.FILTER(T[کالا], T[نوع عملیات]="خرید"), _xlfn._xlws.FILTER(T[فروشنده / مشتری], T[نوع عملیات]="خرید")), "")</f>
        <v>مهناز - تولیدی</v>
      </c>
    </row>
    <row r="715" spans="2:17" ht="16.5" hidden="1" x14ac:dyDescent="0.75">
      <c r="B715" s="227">
        <v>4</v>
      </c>
      <c r="C715" s="150">
        <v>3</v>
      </c>
      <c r="D715" s="150">
        <v>20</v>
      </c>
      <c r="E715" s="150" t="str">
        <f t="shared" si="48"/>
        <v>خرداد</v>
      </c>
      <c r="F715" s="151" t="s">
        <v>167</v>
      </c>
      <c r="G715" s="244" t="s">
        <v>343</v>
      </c>
      <c r="H715" s="247" t="s">
        <v>584</v>
      </c>
      <c r="I715" s="162"/>
      <c r="J715" s="251">
        <v>1</v>
      </c>
      <c r="K715" s="254">
        <v>1000000</v>
      </c>
      <c r="L715" s="255">
        <f t="shared" si="50"/>
        <v>1000000</v>
      </c>
      <c r="M715" s="257"/>
      <c r="N715" s="262"/>
      <c r="O71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330000</v>
      </c>
      <c r="P715" s="262"/>
      <c r="Q715" s="264" t="str" cm="1">
        <f t="array" ref="Q715">IF(T[[#This Row],[نوع عملیات]]="فروش", _xlfn.XLOOKUP(T[[#This Row],[کالا]], _xlfn._xlws.FILTER(T[کالا], T[نوع عملیات]="خرید"), _xlfn._xlws.FILTER(T[فروشنده / مشتری], T[نوع عملیات]="خرید")), "")</f>
        <v>بازار</v>
      </c>
    </row>
    <row r="716" spans="2:17" ht="16.5" hidden="1" x14ac:dyDescent="0.75">
      <c r="B716" s="227">
        <v>4</v>
      </c>
      <c r="C716" s="150">
        <v>3</v>
      </c>
      <c r="D716" s="150">
        <v>20</v>
      </c>
      <c r="E716" s="150" t="str">
        <f t="shared" si="48"/>
        <v>خرداد</v>
      </c>
      <c r="F716" s="151" t="s">
        <v>167</v>
      </c>
      <c r="G716" s="244" t="s">
        <v>457</v>
      </c>
      <c r="H716" s="247" t="s">
        <v>584</v>
      </c>
      <c r="I716" s="162"/>
      <c r="J716" s="251">
        <v>1</v>
      </c>
      <c r="K716" s="254">
        <v>1400000</v>
      </c>
      <c r="L716" s="255">
        <f t="shared" si="50"/>
        <v>1400000</v>
      </c>
      <c r="M716" s="257">
        <v>1700000</v>
      </c>
      <c r="N716" s="262" t="s">
        <v>346</v>
      </c>
      <c r="O71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716" s="262"/>
      <c r="Q716" s="264" t="str" cm="1">
        <f t="array" ref="Q716">IF(T[[#This Row],[نوع عملیات]]="فروش", _xlfn.XLOOKUP(T[[#This Row],[کالا]], _xlfn._xlws.FILTER(T[کالا], T[نوع عملیات]="خرید"), _xlfn._xlws.FILTER(T[فروشنده / مشتری], T[نوع عملیات]="خرید")), "")</f>
        <v>عبدل آباد</v>
      </c>
    </row>
    <row r="717" spans="2:17" ht="16.5" hidden="1" x14ac:dyDescent="0.75">
      <c r="B717" s="227">
        <v>4</v>
      </c>
      <c r="C717" s="150">
        <v>3</v>
      </c>
      <c r="D717" s="150">
        <v>20</v>
      </c>
      <c r="E717" s="150" t="str">
        <f t="shared" si="48"/>
        <v>خرداد</v>
      </c>
      <c r="F717" s="151" t="s">
        <v>167</v>
      </c>
      <c r="G717" s="244" t="s">
        <v>457</v>
      </c>
      <c r="H717" s="247" t="s">
        <v>480</v>
      </c>
      <c r="I717" s="162"/>
      <c r="J717" s="251">
        <v>1</v>
      </c>
      <c r="K717" s="254">
        <v>1400000</v>
      </c>
      <c r="L717" s="255">
        <f t="shared" si="50"/>
        <v>1400000</v>
      </c>
      <c r="M717" s="257"/>
      <c r="N717" s="262"/>
      <c r="O71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717" s="262"/>
      <c r="Q717" s="264" t="str" cm="1">
        <f t="array" ref="Q717">IF(T[[#This Row],[نوع عملیات]]="فروش", _xlfn.XLOOKUP(T[[#This Row],[کالا]], _xlfn._xlws.FILTER(T[کالا], T[نوع عملیات]="خرید"), _xlfn._xlws.FILTER(T[فروشنده / مشتری], T[نوع عملیات]="خرید")), "")</f>
        <v>عبدل آباد</v>
      </c>
    </row>
    <row r="718" spans="2:17" ht="16.5" hidden="1" x14ac:dyDescent="0.75">
      <c r="B718" s="227">
        <v>4</v>
      </c>
      <c r="C718" s="150">
        <v>3</v>
      </c>
      <c r="D718" s="150">
        <v>20</v>
      </c>
      <c r="E718" s="150" t="str">
        <f t="shared" si="48"/>
        <v>خرداد</v>
      </c>
      <c r="F718" s="151" t="s">
        <v>167</v>
      </c>
      <c r="G718" s="244" t="s">
        <v>557</v>
      </c>
      <c r="H718" s="247" t="s">
        <v>480</v>
      </c>
      <c r="I718" s="162"/>
      <c r="J718" s="251">
        <v>1</v>
      </c>
      <c r="K718" s="254">
        <v>1300000</v>
      </c>
      <c r="L718" s="255">
        <f t="shared" si="50"/>
        <v>1300000</v>
      </c>
      <c r="M718" s="257"/>
      <c r="N718" s="262"/>
      <c r="O71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708333.33333333337</v>
      </c>
      <c r="P718" s="262"/>
      <c r="Q718" s="264" t="str" cm="1">
        <f t="array" ref="Q718">IF(T[[#This Row],[نوع عملیات]]="فروش", _xlfn.XLOOKUP(T[[#This Row],[کالا]], _xlfn._xlws.FILTER(T[کالا], T[نوع عملیات]="خرید"), _xlfn._xlws.FILTER(T[فروشنده / مشتری], T[نوع عملیات]="خرید")), "")</f>
        <v>بازار پارسیان</v>
      </c>
    </row>
    <row r="719" spans="2:17" ht="16.5" hidden="1" x14ac:dyDescent="0.75">
      <c r="B719" s="227">
        <v>4</v>
      </c>
      <c r="C719" s="150">
        <v>3</v>
      </c>
      <c r="D719" s="150">
        <v>20</v>
      </c>
      <c r="E719" s="150" t="str">
        <f t="shared" si="48"/>
        <v>خرداد</v>
      </c>
      <c r="F719" s="151" t="s">
        <v>167</v>
      </c>
      <c r="G719" s="244" t="s">
        <v>562</v>
      </c>
      <c r="H719" s="247" t="s">
        <v>480</v>
      </c>
      <c r="I719" s="162"/>
      <c r="J719" s="251">
        <v>1</v>
      </c>
      <c r="K719" s="254">
        <v>1000000</v>
      </c>
      <c r="L719" s="255">
        <f t="shared" si="50"/>
        <v>1000000</v>
      </c>
      <c r="M719" s="257"/>
      <c r="N719" s="262"/>
      <c r="O71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504285.71428571426</v>
      </c>
      <c r="P719" s="262"/>
      <c r="Q719" s="264" t="str" cm="1">
        <f t="array" ref="Q719">IF(T[[#This Row],[نوع عملیات]]="فروش", _xlfn.XLOOKUP(T[[#This Row],[کالا]], _xlfn._xlws.FILTER(T[کالا], T[نوع عملیات]="خرید"), _xlfn._xlws.FILTER(T[فروشنده / مشتری], T[نوع عملیات]="خرید")), "")</f>
        <v>بازار پارسیان</v>
      </c>
    </row>
    <row r="720" spans="2:17" ht="16.5" hidden="1" x14ac:dyDescent="0.75">
      <c r="B720" s="227">
        <v>4</v>
      </c>
      <c r="C720" s="150">
        <v>3</v>
      </c>
      <c r="D720" s="150">
        <v>20</v>
      </c>
      <c r="E720" s="150" t="str">
        <f t="shared" si="48"/>
        <v>خرداد</v>
      </c>
      <c r="F720" s="151" t="s">
        <v>167</v>
      </c>
      <c r="G720" s="244" t="s">
        <v>387</v>
      </c>
      <c r="H720" s="247" t="s">
        <v>430</v>
      </c>
      <c r="I720" s="162"/>
      <c r="J720" s="251">
        <v>1</v>
      </c>
      <c r="K720" s="254">
        <v>700000</v>
      </c>
      <c r="L720" s="255">
        <f t="shared" si="50"/>
        <v>700000</v>
      </c>
      <c r="M720" s="257"/>
      <c r="N720" s="262"/>
      <c r="O72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525000</v>
      </c>
      <c r="P720" s="262"/>
      <c r="Q720" s="264" t="str" cm="1">
        <f t="array" ref="Q720">IF(T[[#This Row],[نوع عملیات]]="فروش", _xlfn.XLOOKUP(T[[#This Row],[کالا]], _xlfn._xlws.FILTER(T[کالا], T[نوع عملیات]="خرید"), _xlfn._xlws.FILTER(T[فروشنده / مشتری], T[نوع عملیات]="خرید")), "")</f>
        <v>عبدل آباد</v>
      </c>
    </row>
    <row r="721" spans="2:17" ht="16.5" hidden="1" x14ac:dyDescent="0.75">
      <c r="B721" s="227">
        <v>4</v>
      </c>
      <c r="C721" s="150">
        <v>3</v>
      </c>
      <c r="D721" s="150">
        <v>20</v>
      </c>
      <c r="E721" s="150" t="str">
        <f t="shared" si="48"/>
        <v>خرداد</v>
      </c>
      <c r="F721" s="151" t="s">
        <v>167</v>
      </c>
      <c r="G721" s="244" t="s">
        <v>556</v>
      </c>
      <c r="H721" s="247" t="s">
        <v>430</v>
      </c>
      <c r="I721" s="162"/>
      <c r="J721" s="251">
        <v>1</v>
      </c>
      <c r="K721" s="254">
        <v>1300000</v>
      </c>
      <c r="L721" s="255">
        <f t="shared" si="50"/>
        <v>1300000</v>
      </c>
      <c r="M721" s="257"/>
      <c r="N721" s="262"/>
      <c r="O72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455000</v>
      </c>
      <c r="P721" s="262"/>
      <c r="Q721" s="264" t="str" cm="1">
        <f t="array" ref="Q721">IF(T[[#This Row],[نوع عملیات]]="فروش", _xlfn.XLOOKUP(T[[#This Row],[کالا]], _xlfn._xlws.FILTER(T[کالا], T[نوع عملیات]="خرید"), _xlfn._xlws.FILTER(T[فروشنده / مشتری], T[نوع عملیات]="خرید")), "")</f>
        <v>عبدل آباد</v>
      </c>
    </row>
    <row r="722" spans="2:17" ht="16.5" hidden="1" x14ac:dyDescent="0.75">
      <c r="B722" s="227">
        <v>4</v>
      </c>
      <c r="C722" s="150">
        <v>3</v>
      </c>
      <c r="D722" s="150">
        <v>20</v>
      </c>
      <c r="E722" s="150" t="str">
        <f t="shared" si="48"/>
        <v>خرداد</v>
      </c>
      <c r="F722" s="151" t="s">
        <v>167</v>
      </c>
      <c r="G722" s="244" t="s">
        <v>469</v>
      </c>
      <c r="H722" s="247" t="s">
        <v>430</v>
      </c>
      <c r="I722" s="162"/>
      <c r="J722" s="251">
        <v>1</v>
      </c>
      <c r="K722" s="254">
        <v>1200000</v>
      </c>
      <c r="L722" s="255">
        <f t="shared" si="50"/>
        <v>1200000</v>
      </c>
      <c r="M722" s="257"/>
      <c r="N722" s="262"/>
      <c r="O72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603333.33333333337</v>
      </c>
      <c r="P722" s="262"/>
      <c r="Q722" s="264" t="str" cm="1">
        <f t="array" ref="Q722">IF(T[[#This Row],[نوع عملیات]]="فروش", _xlfn.XLOOKUP(T[[#This Row],[کالا]], _xlfn._xlws.FILTER(T[کالا], T[نوع عملیات]="خرید"), _xlfn._xlws.FILTER(T[فروشنده / مشتری], T[نوع عملیات]="خرید")), "")</f>
        <v>سرای ملی</v>
      </c>
    </row>
    <row r="723" spans="2:17" ht="16.5" hidden="1" x14ac:dyDescent="0.75">
      <c r="B723" s="227">
        <v>4</v>
      </c>
      <c r="C723" s="150">
        <v>3</v>
      </c>
      <c r="D723" s="150">
        <v>20</v>
      </c>
      <c r="E723" s="150" t="str">
        <f t="shared" si="48"/>
        <v>خرداد</v>
      </c>
      <c r="F723" s="151" t="s">
        <v>167</v>
      </c>
      <c r="G723" s="244" t="s">
        <v>459</v>
      </c>
      <c r="H723" s="247" t="s">
        <v>211</v>
      </c>
      <c r="I723" s="162"/>
      <c r="J723" s="251">
        <v>1</v>
      </c>
      <c r="K723" s="254">
        <v>700000</v>
      </c>
      <c r="L723" s="255">
        <f t="shared" si="50"/>
        <v>700000</v>
      </c>
      <c r="M723" s="257">
        <v>700000</v>
      </c>
      <c r="N723" s="262" t="s">
        <v>346</v>
      </c>
      <c r="O72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332800</v>
      </c>
      <c r="P723" s="262"/>
      <c r="Q723" s="264" t="str" cm="1">
        <f t="array" ref="Q723">IF(T[[#This Row],[نوع عملیات]]="فروش", _xlfn.XLOOKUP(T[[#This Row],[کالا]], _xlfn._xlws.FILTER(T[کالا], T[نوع عملیات]="خرید"), _xlfn._xlws.FILTER(T[فروشنده / مشتری], T[نوع عملیات]="خرید")), "")</f>
        <v>سرای ملی</v>
      </c>
    </row>
    <row r="724" spans="2:17" ht="16.5" hidden="1" x14ac:dyDescent="0.75">
      <c r="B724" s="227">
        <v>4</v>
      </c>
      <c r="C724" s="150">
        <v>3</v>
      </c>
      <c r="D724" s="150">
        <v>20</v>
      </c>
      <c r="E724" s="150" t="str">
        <f t="shared" si="48"/>
        <v>خرداد</v>
      </c>
      <c r="F724" s="151" t="s">
        <v>167</v>
      </c>
      <c r="G724" s="244" t="s">
        <v>563</v>
      </c>
      <c r="H724" s="247" t="s">
        <v>211</v>
      </c>
      <c r="I724" s="162"/>
      <c r="J724" s="251">
        <v>1</v>
      </c>
      <c r="K724" s="254">
        <v>250000</v>
      </c>
      <c r="L724" s="255">
        <f t="shared" si="50"/>
        <v>250000</v>
      </c>
      <c r="M724" s="257"/>
      <c r="N724" s="262"/>
      <c r="O72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v>
      </c>
      <c r="P724" s="262"/>
      <c r="Q724" s="264" t="str" cm="1">
        <f t="array" ref="Q724">IF(T[[#This Row],[نوع عملیات]]="فروش", _xlfn.XLOOKUP(T[[#This Row],[کالا]], _xlfn._xlws.FILTER(T[کالا], T[نوع عملیات]="خرید"), _xlfn._xlws.FILTER(T[فروشنده / مشتری], T[نوع عملیات]="خرید")), "")</f>
        <v>عبدل آباد</v>
      </c>
    </row>
    <row r="725" spans="2:17" ht="16.5" hidden="1" x14ac:dyDescent="0.75">
      <c r="B725" s="227">
        <v>4</v>
      </c>
      <c r="C725" s="150">
        <v>3</v>
      </c>
      <c r="D725" s="150">
        <v>20</v>
      </c>
      <c r="E725" s="150" t="str">
        <f t="shared" si="48"/>
        <v>خرداد</v>
      </c>
      <c r="F725" s="151" t="s">
        <v>167</v>
      </c>
      <c r="G725" s="244" t="s">
        <v>223</v>
      </c>
      <c r="H725" s="247" t="s">
        <v>211</v>
      </c>
      <c r="I725" s="162"/>
      <c r="J725" s="251">
        <v>1</v>
      </c>
      <c r="K725" s="254">
        <v>950000</v>
      </c>
      <c r="L725" s="255">
        <f t="shared" si="50"/>
        <v>950000</v>
      </c>
      <c r="M725" s="257"/>
      <c r="N725" s="262"/>
      <c r="O72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600000</v>
      </c>
      <c r="P725" s="262"/>
      <c r="Q725" s="264" t="str" cm="1">
        <f t="array" ref="Q725">IF(T[[#This Row],[نوع عملیات]]="فروش", _xlfn.XLOOKUP(T[[#This Row],[کالا]], _xlfn._xlws.FILTER(T[کالا], T[نوع عملیات]="خرید"), _xlfn._xlws.FILTER(T[فروشنده / مشتری], T[نوع عملیات]="خرید")), "")</f>
        <v>مهناز - تولیدی</v>
      </c>
    </row>
    <row r="726" spans="2:17" ht="16.5" hidden="1" x14ac:dyDescent="0.75">
      <c r="B726" s="227">
        <v>4</v>
      </c>
      <c r="C726" s="150">
        <v>3</v>
      </c>
      <c r="D726" s="150">
        <v>20</v>
      </c>
      <c r="E726" s="150" t="str">
        <f t="shared" si="48"/>
        <v>خرداد</v>
      </c>
      <c r="F726" s="151" t="s">
        <v>167</v>
      </c>
      <c r="G726" s="244" t="s">
        <v>457</v>
      </c>
      <c r="H726" s="247" t="s">
        <v>211</v>
      </c>
      <c r="I726" s="162"/>
      <c r="J726" s="251">
        <v>1</v>
      </c>
      <c r="K726" s="254">
        <v>1400000</v>
      </c>
      <c r="L726" s="255">
        <f t="shared" si="50"/>
        <v>1400000</v>
      </c>
      <c r="M726" s="257">
        <v>2600000</v>
      </c>
      <c r="N726" s="262" t="s">
        <v>346</v>
      </c>
      <c r="O72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726" s="262"/>
      <c r="Q726" s="264" t="str" cm="1">
        <f t="array" ref="Q726">IF(T[[#This Row],[نوع عملیات]]="فروش", _xlfn.XLOOKUP(T[[#This Row],[کالا]], _xlfn._xlws.FILTER(T[کالا], T[نوع عملیات]="خرید"), _xlfn._xlws.FILTER(T[فروشنده / مشتری], T[نوع عملیات]="خرید")), "")</f>
        <v>عبدل آباد</v>
      </c>
    </row>
    <row r="727" spans="2:17" ht="16.5" hidden="1" x14ac:dyDescent="0.75">
      <c r="B727" s="227">
        <v>4</v>
      </c>
      <c r="C727" s="150">
        <v>3</v>
      </c>
      <c r="D727" s="150">
        <v>20</v>
      </c>
      <c r="E727" s="150" t="str">
        <f t="shared" si="48"/>
        <v>خرداد</v>
      </c>
      <c r="F727" s="151" t="s">
        <v>167</v>
      </c>
      <c r="G727" s="244" t="s">
        <v>548</v>
      </c>
      <c r="H727" s="247" t="s">
        <v>585</v>
      </c>
      <c r="I727" s="162"/>
      <c r="J727" s="251">
        <v>1</v>
      </c>
      <c r="K727" s="254">
        <v>4500000</v>
      </c>
      <c r="L727" s="255">
        <f t="shared" si="50"/>
        <v>4500000</v>
      </c>
      <c r="M727" s="257"/>
      <c r="N727" s="262"/>
      <c r="O72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2030000</v>
      </c>
      <c r="P727" s="262"/>
      <c r="Q727" s="264" t="str" cm="1">
        <f t="array" ref="Q727">IF(T[[#This Row],[نوع عملیات]]="فروش", _xlfn.XLOOKUP(T[[#This Row],[کالا]], _xlfn._xlws.FILTER(T[کالا], T[نوع عملیات]="خرید"), _xlfn._xlws.FILTER(T[فروشنده / مشتری], T[نوع عملیات]="خرید")), "")</f>
        <v>بازار پارسیان</v>
      </c>
    </row>
    <row r="728" spans="2:17" ht="16.5" hidden="1" x14ac:dyDescent="0.75">
      <c r="B728" s="227">
        <v>4</v>
      </c>
      <c r="C728" s="150">
        <v>3</v>
      </c>
      <c r="D728" s="150">
        <v>20</v>
      </c>
      <c r="E728" s="150" t="str">
        <f t="shared" si="48"/>
        <v>خرداد</v>
      </c>
      <c r="F728" s="151" t="s">
        <v>167</v>
      </c>
      <c r="G728" s="244" t="s">
        <v>544</v>
      </c>
      <c r="H728" s="247" t="s">
        <v>585</v>
      </c>
      <c r="I728" s="162"/>
      <c r="J728" s="251">
        <v>1</v>
      </c>
      <c r="K728" s="254">
        <v>2500000</v>
      </c>
      <c r="L728" s="255">
        <f t="shared" si="50"/>
        <v>2500000</v>
      </c>
      <c r="M728" s="257"/>
      <c r="N728" s="262"/>
      <c r="O72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1502500</v>
      </c>
      <c r="P728" s="262"/>
      <c r="Q728" s="264" t="str" cm="1">
        <f t="array" ref="Q728">IF(T[[#This Row],[نوع عملیات]]="فروش", _xlfn.XLOOKUP(T[[#This Row],[کالا]], _xlfn._xlws.FILTER(T[کالا], T[نوع عملیات]="خرید"), _xlfn._xlws.FILTER(T[فروشنده / مشتری], T[نوع عملیات]="خرید")), "")</f>
        <v>بازار پارسیان</v>
      </c>
    </row>
    <row r="729" spans="2:17" ht="16.5" hidden="1" x14ac:dyDescent="0.75">
      <c r="B729" s="227">
        <v>4</v>
      </c>
      <c r="C729" s="150">
        <v>3</v>
      </c>
      <c r="D729" s="150">
        <v>20</v>
      </c>
      <c r="E729" s="150" t="str">
        <f t="shared" si="48"/>
        <v>خرداد</v>
      </c>
      <c r="F729" s="151" t="s">
        <v>167</v>
      </c>
      <c r="G729" s="244" t="s">
        <v>527</v>
      </c>
      <c r="H729" s="247" t="s">
        <v>585</v>
      </c>
      <c r="I729" s="162"/>
      <c r="J729" s="251">
        <v>1</v>
      </c>
      <c r="K729" s="254">
        <v>700000</v>
      </c>
      <c r="L729" s="255">
        <f t="shared" si="50"/>
        <v>700000</v>
      </c>
      <c r="M729" s="257"/>
      <c r="N729" s="262"/>
      <c r="O72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729" s="262"/>
      <c r="Q729" s="264" t="str" cm="1">
        <f t="array" ref="Q729">IF(T[[#This Row],[نوع عملیات]]="فروش", _xlfn.XLOOKUP(T[[#This Row],[کالا]], _xlfn._xlws.FILTER(T[کالا], T[نوع عملیات]="خرید"), _xlfn._xlws.FILTER(T[فروشنده / مشتری], T[نوع عملیات]="خرید")), "")</f>
        <v>مهناز - تولیدی</v>
      </c>
    </row>
    <row r="730" spans="2:17" ht="16.5" hidden="1" x14ac:dyDescent="0.75">
      <c r="B730" s="227">
        <v>4</v>
      </c>
      <c r="C730" s="150">
        <v>3</v>
      </c>
      <c r="D730" s="150">
        <v>20</v>
      </c>
      <c r="E730" s="150" t="str">
        <f t="shared" si="48"/>
        <v>خرداد</v>
      </c>
      <c r="F730" s="151" t="s">
        <v>167</v>
      </c>
      <c r="G730" s="244" t="s">
        <v>540</v>
      </c>
      <c r="H730" s="247" t="s">
        <v>585</v>
      </c>
      <c r="I730" s="162"/>
      <c r="J730" s="251">
        <v>1</v>
      </c>
      <c r="K730" s="254">
        <v>1100000</v>
      </c>
      <c r="L730" s="255">
        <f t="shared" si="50"/>
        <v>1100000</v>
      </c>
      <c r="M730" s="257"/>
      <c r="N730" s="262"/>
      <c r="O73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468947.36842105258</v>
      </c>
      <c r="P730" s="262"/>
      <c r="Q730" s="264" t="str" cm="1">
        <f t="array" ref="Q730">IF(T[[#This Row],[نوع عملیات]]="فروش", _xlfn.XLOOKUP(T[[#This Row],[کالا]], _xlfn._xlws.FILTER(T[کالا], T[نوع عملیات]="خرید"), _xlfn._xlws.FILTER(T[فروشنده / مشتری], T[نوع عملیات]="خرید")), "")</f>
        <v>بازار پارسیان</v>
      </c>
    </row>
    <row r="731" spans="2:17" ht="16.5" hidden="1" x14ac:dyDescent="0.75">
      <c r="B731" s="227">
        <v>4</v>
      </c>
      <c r="C731" s="150">
        <v>3</v>
      </c>
      <c r="D731" s="150">
        <v>20</v>
      </c>
      <c r="E731" s="150" t="str">
        <f t="shared" si="48"/>
        <v>خرداد</v>
      </c>
      <c r="F731" s="151" t="s">
        <v>167</v>
      </c>
      <c r="G731" s="244" t="s">
        <v>274</v>
      </c>
      <c r="H731" s="247" t="s">
        <v>585</v>
      </c>
      <c r="I731" s="162"/>
      <c r="J731" s="251">
        <v>1</v>
      </c>
      <c r="K731" s="254">
        <v>250000</v>
      </c>
      <c r="L731" s="255">
        <f t="shared" si="50"/>
        <v>250000</v>
      </c>
      <c r="M731" s="257"/>
      <c r="N731" s="262"/>
      <c r="O73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195714.28571428571</v>
      </c>
      <c r="P731" s="262"/>
      <c r="Q731" s="264" t="str" cm="1">
        <f t="array" ref="Q731">IF(T[[#This Row],[نوع عملیات]]="فروش", _xlfn.XLOOKUP(T[[#This Row],[کالا]], _xlfn._xlws.FILTER(T[کالا], T[نوع عملیات]="خرید"), _xlfn._xlws.FILTER(T[فروشنده / مشتری], T[نوع عملیات]="خرید")), "")</f>
        <v>بازار</v>
      </c>
    </row>
    <row r="732" spans="2:17" ht="16.5" hidden="1" x14ac:dyDescent="0.75">
      <c r="B732" s="227">
        <v>4</v>
      </c>
      <c r="C732" s="150">
        <v>3</v>
      </c>
      <c r="D732" s="150">
        <v>20</v>
      </c>
      <c r="E732" s="150" t="str">
        <f t="shared" si="48"/>
        <v>خرداد</v>
      </c>
      <c r="F732" s="151" t="s">
        <v>167</v>
      </c>
      <c r="G732" s="244" t="s">
        <v>556</v>
      </c>
      <c r="H732" s="247" t="s">
        <v>585</v>
      </c>
      <c r="I732" s="162"/>
      <c r="J732" s="251">
        <v>1</v>
      </c>
      <c r="K732" s="254">
        <v>1500000</v>
      </c>
      <c r="L732" s="255">
        <f t="shared" si="50"/>
        <v>1500000</v>
      </c>
      <c r="M732" s="257">
        <v>9900000</v>
      </c>
      <c r="N732" s="262" t="s">
        <v>299</v>
      </c>
      <c r="O73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655000</v>
      </c>
      <c r="P732" s="262"/>
      <c r="Q732" s="264" t="str" cm="1">
        <f t="array" ref="Q732">IF(T[[#This Row],[نوع عملیات]]="فروش", _xlfn.XLOOKUP(T[[#This Row],[کالا]], _xlfn._xlws.FILTER(T[کالا], T[نوع عملیات]="خرید"), _xlfn._xlws.FILTER(T[فروشنده / مشتری], T[نوع عملیات]="خرید")), "")</f>
        <v>عبدل آباد</v>
      </c>
    </row>
    <row r="733" spans="2:17" ht="16.5" hidden="1" x14ac:dyDescent="0.75">
      <c r="B733" s="227">
        <v>4</v>
      </c>
      <c r="C733" s="150">
        <v>3</v>
      </c>
      <c r="D733" s="150">
        <v>20</v>
      </c>
      <c r="E733" s="150" t="str">
        <f>CHOOSE(C733, "فروردین", "اردیبهشت", "خرداد", "تیر", "مرداد", "شهریور", "مهر", "آبان", "آذر", "دی", "بهمن", "اسفند")</f>
        <v>خرداد</v>
      </c>
      <c r="F733" s="151" t="s">
        <v>302</v>
      </c>
      <c r="G733" s="244" t="s">
        <v>691</v>
      </c>
      <c r="H733" s="247" t="s">
        <v>585</v>
      </c>
      <c r="I733" s="162"/>
      <c r="J733" s="251">
        <v>1</v>
      </c>
      <c r="K733" s="254"/>
      <c r="L733" s="255">
        <f>J733*K733</f>
        <v>0</v>
      </c>
      <c r="M733" s="257">
        <v>650000</v>
      </c>
      <c r="N733" s="262"/>
      <c r="O73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33" s="262"/>
      <c r="Q733" s="264" t="str" cm="1">
        <f t="array" ref="Q733">IF(T[[#This Row],[نوع عملیات]]="فروش", _xlfn.XLOOKUP(T[[#This Row],[کالا]], _xlfn._xlws.FILTER(T[کالا], T[نوع عملیات]="خرید"), _xlfn._xlws.FILTER(T[فروشنده / مشتری], T[نوع عملیات]="خرید")), "")</f>
        <v/>
      </c>
    </row>
    <row r="734" spans="2:17" ht="16.5" hidden="1" x14ac:dyDescent="0.75">
      <c r="B734" s="227">
        <v>4</v>
      </c>
      <c r="C734" s="150">
        <v>3</v>
      </c>
      <c r="D734" s="150">
        <v>20</v>
      </c>
      <c r="E734" s="150" t="str">
        <f>CHOOSE(C734, "فروردین", "اردیبهشت", "خرداد", "تیر", "مرداد", "شهریور", "مهر", "آبان", "آذر", "دی", "بهمن", "اسفند")</f>
        <v>خرداد</v>
      </c>
      <c r="F734" s="151" t="s">
        <v>167</v>
      </c>
      <c r="G734" s="244" t="s">
        <v>274</v>
      </c>
      <c r="H734" s="247" t="s">
        <v>513</v>
      </c>
      <c r="I734" s="162"/>
      <c r="J734" s="251">
        <v>2</v>
      </c>
      <c r="K734" s="254">
        <v>200000</v>
      </c>
      <c r="L734" s="255">
        <f>J734*K734</f>
        <v>400000</v>
      </c>
      <c r="M734" s="257"/>
      <c r="N734" s="262"/>
      <c r="O73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291428.57142857142</v>
      </c>
      <c r="P734" s="262"/>
      <c r="Q734" s="264" t="str" cm="1">
        <f t="array" ref="Q734">IF(T[[#This Row],[نوع عملیات]]="فروش", _xlfn.XLOOKUP(T[[#This Row],[کالا]], _xlfn._xlws.FILTER(T[کالا], T[نوع عملیات]="خرید"), _xlfn._xlws.FILTER(T[فروشنده / مشتری], T[نوع عملیات]="خرید")), "")</f>
        <v>بازار</v>
      </c>
    </row>
    <row r="735" spans="2:17" ht="16.5" hidden="1" x14ac:dyDescent="0.75">
      <c r="B735" s="227">
        <v>4</v>
      </c>
      <c r="C735" s="150">
        <v>3</v>
      </c>
      <c r="D735" s="150">
        <v>21</v>
      </c>
      <c r="E735" s="150" t="str">
        <f t="shared" si="48"/>
        <v>خرداد</v>
      </c>
      <c r="F735" s="151" t="s">
        <v>167</v>
      </c>
      <c r="G735" s="244" t="s">
        <v>540</v>
      </c>
      <c r="H735" s="247" t="s">
        <v>586</v>
      </c>
      <c r="I735" s="162"/>
      <c r="J735" s="251">
        <v>1</v>
      </c>
      <c r="K735" s="254">
        <v>1300000</v>
      </c>
      <c r="L735" s="255">
        <f t="shared" si="50"/>
        <v>1300000</v>
      </c>
      <c r="M735" s="257"/>
      <c r="N735" s="262"/>
      <c r="O73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668947.36842105258</v>
      </c>
      <c r="P735" s="262"/>
      <c r="Q735" s="264" t="str" cm="1">
        <f t="array" ref="Q735">IF(T[[#This Row],[نوع عملیات]]="فروش", _xlfn.XLOOKUP(T[[#This Row],[کالا]], _xlfn._xlws.FILTER(T[کالا], T[نوع عملیات]="خرید"), _xlfn._xlws.FILTER(T[فروشنده / مشتری], T[نوع عملیات]="خرید")), "")</f>
        <v>بازار پارسیان</v>
      </c>
    </row>
    <row r="736" spans="2:17" ht="16.5" hidden="1" x14ac:dyDescent="0.75">
      <c r="B736" s="227">
        <v>4</v>
      </c>
      <c r="C736" s="150">
        <v>3</v>
      </c>
      <c r="D736" s="150">
        <v>21</v>
      </c>
      <c r="E736" s="150" t="str">
        <f t="shared" si="48"/>
        <v>خرداد</v>
      </c>
      <c r="F736" s="151" t="s">
        <v>167</v>
      </c>
      <c r="G736" s="244" t="s">
        <v>562</v>
      </c>
      <c r="H736" s="247" t="s">
        <v>586</v>
      </c>
      <c r="I736" s="162"/>
      <c r="J736" s="251">
        <v>1</v>
      </c>
      <c r="K736" s="254">
        <v>1100000</v>
      </c>
      <c r="L736" s="255">
        <f t="shared" si="50"/>
        <v>1100000</v>
      </c>
      <c r="M736" s="257">
        <v>2400000</v>
      </c>
      <c r="N736" s="262" t="s">
        <v>346</v>
      </c>
      <c r="O73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604285.71428571432</v>
      </c>
      <c r="P736" s="262"/>
      <c r="Q736" s="264" t="str" cm="1">
        <f t="array" ref="Q736">IF(T[[#This Row],[نوع عملیات]]="فروش", _xlfn.XLOOKUP(T[[#This Row],[کالا]], _xlfn._xlws.FILTER(T[کالا], T[نوع عملیات]="خرید"), _xlfn._xlws.FILTER(T[فروشنده / مشتری], T[نوع عملیات]="خرید")), "")</f>
        <v>بازار پارسیان</v>
      </c>
    </row>
    <row r="737" spans="2:17" ht="16.5" hidden="1" x14ac:dyDescent="0.75">
      <c r="B737" s="227">
        <v>4</v>
      </c>
      <c r="C737" s="150">
        <v>3</v>
      </c>
      <c r="D737" s="150">
        <v>21</v>
      </c>
      <c r="E737" s="150" t="str">
        <f t="shared" si="48"/>
        <v>خرداد</v>
      </c>
      <c r="F737" s="151" t="s">
        <v>167</v>
      </c>
      <c r="G737" s="244" t="s">
        <v>588</v>
      </c>
      <c r="H737" s="247" t="s">
        <v>690</v>
      </c>
      <c r="I737" s="162"/>
      <c r="J737" s="251">
        <v>1</v>
      </c>
      <c r="K737" s="254">
        <v>700000</v>
      </c>
      <c r="L737" s="255">
        <f t="shared" si="50"/>
        <v>700000</v>
      </c>
      <c r="M737" s="257">
        <v>700000</v>
      </c>
      <c r="N737" s="262" t="s">
        <v>298</v>
      </c>
      <c r="O73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737" s="262"/>
      <c r="Q737" s="264" t="str" cm="1">
        <f t="array" ref="Q737">IF(T[[#This Row],[نوع عملیات]]="فروش", _xlfn.XLOOKUP(T[[#This Row],[کالا]], _xlfn._xlws.FILTER(T[کالا], T[نوع عملیات]="خرید"), _xlfn._xlws.FILTER(T[فروشنده / مشتری], T[نوع عملیات]="خرید")), "")</f>
        <v>عبدل آباد</v>
      </c>
    </row>
    <row r="738" spans="2:17" ht="16.5" hidden="1" x14ac:dyDescent="0.75">
      <c r="B738" s="227">
        <v>4</v>
      </c>
      <c r="C738" s="150">
        <v>3</v>
      </c>
      <c r="D738" s="150">
        <v>21</v>
      </c>
      <c r="E738" s="150" t="str">
        <f t="shared" si="48"/>
        <v>خرداد</v>
      </c>
      <c r="F738" s="151" t="s">
        <v>167</v>
      </c>
      <c r="G738" s="244" t="s">
        <v>550</v>
      </c>
      <c r="H738" s="247" t="s">
        <v>690</v>
      </c>
      <c r="I738" s="162"/>
      <c r="J738" s="251">
        <v>1</v>
      </c>
      <c r="K738" s="254">
        <v>480000</v>
      </c>
      <c r="L738" s="255">
        <f t="shared" ref="L738:L759" si="51">J738*K738</f>
        <v>480000</v>
      </c>
      <c r="M738" s="257"/>
      <c r="N738" s="262"/>
      <c r="O73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305000</v>
      </c>
      <c r="P738" s="262"/>
      <c r="Q738" s="264" t="str" cm="1">
        <f t="array" ref="Q738">IF(T[[#This Row],[نوع عملیات]]="فروش", _xlfn.XLOOKUP(T[[#This Row],[کالا]], _xlfn._xlws.FILTER(T[کالا], T[نوع عملیات]="خرید"), _xlfn._xlws.FILTER(T[فروشنده / مشتری], T[نوع عملیات]="خرید")), "")</f>
        <v>سرای ملی</v>
      </c>
    </row>
    <row r="739" spans="2:17" ht="16.5" hidden="1" x14ac:dyDescent="0.75">
      <c r="B739" s="227">
        <v>4</v>
      </c>
      <c r="C739" s="150">
        <v>3</v>
      </c>
      <c r="D739" s="150">
        <v>21</v>
      </c>
      <c r="E739" s="150" t="str">
        <f t="shared" si="48"/>
        <v>خرداد</v>
      </c>
      <c r="F739" s="151" t="s">
        <v>167</v>
      </c>
      <c r="G739" s="244" t="s">
        <v>561</v>
      </c>
      <c r="H739" s="247" t="s">
        <v>589</v>
      </c>
      <c r="I739" s="162"/>
      <c r="J739" s="251">
        <v>1</v>
      </c>
      <c r="K739" s="254">
        <v>400000</v>
      </c>
      <c r="L739" s="255">
        <f t="shared" si="51"/>
        <v>400000</v>
      </c>
      <c r="M739" s="257"/>
      <c r="N739" s="262"/>
      <c r="O73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172000</v>
      </c>
      <c r="P739" s="262"/>
      <c r="Q739" s="264" t="str" cm="1">
        <f t="array" ref="Q739">IF(T[[#This Row],[نوع عملیات]]="فروش", _xlfn.XLOOKUP(T[[#This Row],[کالا]], _xlfn._xlws.FILTER(T[کالا], T[نوع عملیات]="خرید"), _xlfn._xlws.FILTER(T[فروشنده / مشتری], T[نوع عملیات]="خرید")), "")</f>
        <v>عبدل آباد</v>
      </c>
    </row>
    <row r="740" spans="2:17" ht="16.5" hidden="1" x14ac:dyDescent="0.75">
      <c r="B740" s="227">
        <v>4</v>
      </c>
      <c r="C740" s="150">
        <v>3</v>
      </c>
      <c r="D740" s="150">
        <v>21</v>
      </c>
      <c r="E740" s="150" t="str">
        <f t="shared" si="48"/>
        <v>خرداد</v>
      </c>
      <c r="F740" s="151" t="s">
        <v>167</v>
      </c>
      <c r="G740" s="244" t="s">
        <v>574</v>
      </c>
      <c r="H740" s="247" t="s">
        <v>211</v>
      </c>
      <c r="I740" s="162"/>
      <c r="J740" s="251">
        <v>1</v>
      </c>
      <c r="K740" s="254">
        <v>300000</v>
      </c>
      <c r="L740" s="255">
        <f t="shared" si="51"/>
        <v>300000</v>
      </c>
      <c r="M740" s="257">
        <v>300000</v>
      </c>
      <c r="N740" s="262" t="s">
        <v>298</v>
      </c>
      <c r="O7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740" s="262"/>
      <c r="Q740" s="264" t="str" cm="1">
        <f t="array" ref="Q740">IF(T[[#This Row],[نوع عملیات]]="فروش", _xlfn.XLOOKUP(T[[#This Row],[کالا]], _xlfn._xlws.FILTER(T[کالا], T[نوع عملیات]="خرید"), _xlfn._xlws.FILTER(T[فروشنده / مشتری], T[نوع عملیات]="خرید")), "")</f>
        <v>عبدل آباد</v>
      </c>
    </row>
    <row r="741" spans="2:17" ht="16.5" hidden="1" x14ac:dyDescent="0.75">
      <c r="B741" s="227">
        <v>4</v>
      </c>
      <c r="C741" s="150">
        <v>3</v>
      </c>
      <c r="D741" s="150">
        <v>21</v>
      </c>
      <c r="E741" s="150" t="str">
        <f t="shared" si="48"/>
        <v>خرداد</v>
      </c>
      <c r="F741" s="151" t="s">
        <v>167</v>
      </c>
      <c r="G741" s="244" t="s">
        <v>557</v>
      </c>
      <c r="H741" s="247" t="s">
        <v>211</v>
      </c>
      <c r="I741" s="162"/>
      <c r="J741" s="251">
        <v>1</v>
      </c>
      <c r="K741" s="254">
        <v>1500000</v>
      </c>
      <c r="L741" s="255">
        <f t="shared" si="51"/>
        <v>1500000</v>
      </c>
      <c r="M741" s="257"/>
      <c r="N741" s="262"/>
      <c r="O74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908333.33333333337</v>
      </c>
      <c r="P741" s="262"/>
      <c r="Q741" s="264" t="str" cm="1">
        <f t="array" ref="Q741">IF(T[[#This Row],[نوع عملیات]]="فروش", _xlfn.XLOOKUP(T[[#This Row],[کالا]], _xlfn._xlws.FILTER(T[کالا], T[نوع عملیات]="خرید"), _xlfn._xlws.FILTER(T[فروشنده / مشتری], T[نوع عملیات]="خرید")), "")</f>
        <v>بازار پارسیان</v>
      </c>
    </row>
    <row r="742" spans="2:17" ht="16.5" hidden="1" x14ac:dyDescent="0.75">
      <c r="B742" s="227">
        <v>4</v>
      </c>
      <c r="C742" s="150">
        <v>3</v>
      </c>
      <c r="D742" s="150">
        <v>21</v>
      </c>
      <c r="E742" s="150" t="str">
        <f t="shared" si="48"/>
        <v>خرداد</v>
      </c>
      <c r="F742" s="151" t="s">
        <v>167</v>
      </c>
      <c r="G742" s="244" t="s">
        <v>562</v>
      </c>
      <c r="H742" s="247" t="s">
        <v>211</v>
      </c>
      <c r="I742" s="162"/>
      <c r="J742" s="251">
        <v>1</v>
      </c>
      <c r="K742" s="254">
        <v>1100000</v>
      </c>
      <c r="L742" s="255">
        <f t="shared" si="51"/>
        <v>1100000</v>
      </c>
      <c r="M742" s="257">
        <v>2600000</v>
      </c>
      <c r="N742" s="262" t="s">
        <v>298</v>
      </c>
      <c r="O74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604285.71428571432</v>
      </c>
      <c r="P742" s="262"/>
      <c r="Q742" s="264" t="str" cm="1">
        <f t="array" ref="Q742">IF(T[[#This Row],[نوع عملیات]]="فروش", _xlfn.XLOOKUP(T[[#This Row],[کالا]], _xlfn._xlws.FILTER(T[کالا], T[نوع عملیات]="خرید"), _xlfn._xlws.FILTER(T[فروشنده / مشتری], T[نوع عملیات]="خرید")), "")</f>
        <v>بازار پارسیان</v>
      </c>
    </row>
    <row r="743" spans="2:17" ht="16.5" hidden="1" x14ac:dyDescent="0.75">
      <c r="B743" s="227">
        <v>4</v>
      </c>
      <c r="C743" s="150">
        <v>3</v>
      </c>
      <c r="D743" s="150">
        <v>21</v>
      </c>
      <c r="E743" s="150" t="str">
        <f t="shared" si="48"/>
        <v>خرداد</v>
      </c>
      <c r="F743" s="151" t="s">
        <v>167</v>
      </c>
      <c r="G743" s="244" t="s">
        <v>511</v>
      </c>
      <c r="H743" s="247" t="s">
        <v>618</v>
      </c>
      <c r="I743" s="162"/>
      <c r="J743" s="251">
        <v>1</v>
      </c>
      <c r="K743" s="254">
        <v>2200000</v>
      </c>
      <c r="L743" s="255">
        <f t="shared" si="51"/>
        <v>2200000</v>
      </c>
      <c r="M743" s="257"/>
      <c r="N743" s="262"/>
      <c r="O74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825000</v>
      </c>
      <c r="P743" s="262"/>
      <c r="Q743" s="264" t="str" cm="1">
        <f t="array" ref="Q743">IF(T[[#This Row],[نوع عملیات]]="فروش", _xlfn.XLOOKUP(T[[#This Row],[کالا]], _xlfn._xlws.FILTER(T[کالا], T[نوع عملیات]="خرید"), _xlfn._xlws.FILTER(T[فروشنده / مشتری], T[نوع عملیات]="خرید")), "")</f>
        <v>عبدل آباد</v>
      </c>
    </row>
    <row r="744" spans="2:17" ht="16.5" x14ac:dyDescent="0.75">
      <c r="B744" s="227">
        <v>4</v>
      </c>
      <c r="C744" s="150">
        <v>3</v>
      </c>
      <c r="D744" s="150">
        <v>22</v>
      </c>
      <c r="E744" s="150" t="str">
        <f t="shared" si="48"/>
        <v>خرداد</v>
      </c>
      <c r="F744" s="151" t="s">
        <v>168</v>
      </c>
      <c r="G744" s="243" t="s">
        <v>601</v>
      </c>
      <c r="H744" s="247" t="s">
        <v>390</v>
      </c>
      <c r="I744" s="162" t="s">
        <v>533</v>
      </c>
      <c r="J744" s="251">
        <v>2</v>
      </c>
      <c r="K744" s="254">
        <v>300000</v>
      </c>
      <c r="L744" s="255">
        <f t="shared" si="51"/>
        <v>600000</v>
      </c>
      <c r="M744" s="257">
        <v>600000</v>
      </c>
      <c r="N744" s="262" t="s">
        <v>346</v>
      </c>
      <c r="O74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44" s="262"/>
      <c r="Q744" s="264" t="str" cm="1">
        <f t="array" ref="Q744">IF(T[[#This Row],[نوع عملیات]]="فروش", _xlfn.XLOOKUP(T[[#This Row],[کالا]], _xlfn._xlws.FILTER(T[کالا], T[نوع عملیات]="خرید"), _xlfn._xlws.FILTER(T[فروشنده / مشتری], T[نوع عملیات]="خرید")), "")</f>
        <v/>
      </c>
    </row>
    <row r="745" spans="2:17" ht="16.5" x14ac:dyDescent="0.75">
      <c r="B745" s="227">
        <v>4</v>
      </c>
      <c r="C745" s="150">
        <v>3</v>
      </c>
      <c r="D745" s="150">
        <v>22</v>
      </c>
      <c r="E745" s="150" t="str">
        <f t="shared" si="48"/>
        <v>خرداد</v>
      </c>
      <c r="F745" s="151" t="s">
        <v>168</v>
      </c>
      <c r="G745" s="243" t="s">
        <v>635</v>
      </c>
      <c r="H745" s="247" t="s">
        <v>390</v>
      </c>
      <c r="I745" s="162" t="s">
        <v>533</v>
      </c>
      <c r="J745" s="251">
        <v>4</v>
      </c>
      <c r="K745" s="254">
        <v>320000</v>
      </c>
      <c r="L745" s="255">
        <f t="shared" si="51"/>
        <v>1280000</v>
      </c>
      <c r="M745" s="257">
        <v>1280000</v>
      </c>
      <c r="N745" s="262" t="s">
        <v>346</v>
      </c>
      <c r="O74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45" s="262"/>
      <c r="Q745" s="264" t="str" cm="1">
        <f t="array" ref="Q745">IF(T[[#This Row],[نوع عملیات]]="فروش", _xlfn.XLOOKUP(T[[#This Row],[کالا]], _xlfn._xlws.FILTER(T[کالا], T[نوع عملیات]="خرید"), _xlfn._xlws.FILTER(T[فروشنده / مشتری], T[نوع عملیات]="خرید")), "")</f>
        <v/>
      </c>
    </row>
    <row r="746" spans="2:17" ht="16.5" x14ac:dyDescent="0.75">
      <c r="B746" s="227">
        <v>4</v>
      </c>
      <c r="C746" s="150">
        <v>3</v>
      </c>
      <c r="D746" s="150">
        <v>22</v>
      </c>
      <c r="E746" s="150" t="str">
        <f t="shared" si="48"/>
        <v>خرداد</v>
      </c>
      <c r="F746" s="151" t="s">
        <v>168</v>
      </c>
      <c r="G746" s="243" t="s">
        <v>596</v>
      </c>
      <c r="H746" s="247" t="s">
        <v>390</v>
      </c>
      <c r="I746" s="162" t="s">
        <v>533</v>
      </c>
      <c r="J746" s="251">
        <v>2</v>
      </c>
      <c r="K746" s="254">
        <v>1650000</v>
      </c>
      <c r="L746" s="255">
        <f t="shared" si="51"/>
        <v>3300000</v>
      </c>
      <c r="M746" s="257"/>
      <c r="N746" s="262"/>
      <c r="O74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46" s="262"/>
      <c r="Q746" s="264" t="str" cm="1">
        <f t="array" ref="Q746">IF(T[[#This Row],[نوع عملیات]]="فروش", _xlfn.XLOOKUP(T[[#This Row],[کالا]], _xlfn._xlws.FILTER(T[کالا], T[نوع عملیات]="خرید"), _xlfn._xlws.FILTER(T[فروشنده / مشتری], T[نوع عملیات]="خرید")), "")</f>
        <v/>
      </c>
    </row>
    <row r="747" spans="2:17" ht="16.5" x14ac:dyDescent="0.75">
      <c r="B747" s="227">
        <v>4</v>
      </c>
      <c r="C747" s="150">
        <v>3</v>
      </c>
      <c r="D747" s="150">
        <v>22</v>
      </c>
      <c r="E747" s="150" t="str">
        <f t="shared" si="48"/>
        <v>خرداد</v>
      </c>
      <c r="F747" s="151" t="s">
        <v>168</v>
      </c>
      <c r="G747" s="243" t="s">
        <v>590</v>
      </c>
      <c r="H747" s="247" t="s">
        <v>390</v>
      </c>
      <c r="I747" s="162" t="s">
        <v>533</v>
      </c>
      <c r="J747" s="251">
        <v>2</v>
      </c>
      <c r="K747" s="254">
        <v>1350000</v>
      </c>
      <c r="L747" s="255">
        <f t="shared" si="51"/>
        <v>2700000</v>
      </c>
      <c r="M747" s="257"/>
      <c r="N747" s="262"/>
      <c r="O74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47" s="262"/>
      <c r="Q747" s="264" t="str" cm="1">
        <f t="array" ref="Q747">IF(T[[#This Row],[نوع عملیات]]="فروش", _xlfn.XLOOKUP(T[[#This Row],[کالا]], _xlfn._xlws.FILTER(T[کالا], T[نوع عملیات]="خرید"), _xlfn._xlws.FILTER(T[فروشنده / مشتری], T[نوع عملیات]="خرید")), "")</f>
        <v/>
      </c>
    </row>
    <row r="748" spans="2:17" ht="16.5" x14ac:dyDescent="0.75">
      <c r="B748" s="227">
        <v>4</v>
      </c>
      <c r="C748" s="150">
        <v>3</v>
      </c>
      <c r="D748" s="150">
        <v>22</v>
      </c>
      <c r="E748" s="150" t="str">
        <f t="shared" si="48"/>
        <v>خرداد</v>
      </c>
      <c r="F748" s="151" t="s">
        <v>168</v>
      </c>
      <c r="G748" s="243" t="s">
        <v>457</v>
      </c>
      <c r="H748" s="247" t="s">
        <v>390</v>
      </c>
      <c r="I748" s="162" t="s">
        <v>533</v>
      </c>
      <c r="J748" s="251">
        <v>2</v>
      </c>
      <c r="K748" s="254">
        <v>1000000</v>
      </c>
      <c r="L748" s="255">
        <f t="shared" si="51"/>
        <v>2000000</v>
      </c>
      <c r="M748" s="257"/>
      <c r="N748" s="262"/>
      <c r="O7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48" s="262"/>
      <c r="Q748" s="264" t="str" cm="1">
        <f t="array" ref="Q748">IF(T[[#This Row],[نوع عملیات]]="فروش", _xlfn.XLOOKUP(T[[#This Row],[کالا]], _xlfn._xlws.FILTER(T[کالا], T[نوع عملیات]="خرید"), _xlfn._xlws.FILTER(T[فروشنده / مشتری], T[نوع عملیات]="خرید")), "")</f>
        <v/>
      </c>
    </row>
    <row r="749" spans="2:17" ht="16.5" x14ac:dyDescent="0.75">
      <c r="B749" s="227">
        <v>4</v>
      </c>
      <c r="C749" s="150">
        <v>3</v>
      </c>
      <c r="D749" s="150">
        <v>22</v>
      </c>
      <c r="E749" s="150" t="str">
        <f t="shared" si="48"/>
        <v>خرداد</v>
      </c>
      <c r="F749" s="151" t="s">
        <v>168</v>
      </c>
      <c r="G749" s="243" t="s">
        <v>591</v>
      </c>
      <c r="H749" s="247" t="s">
        <v>390</v>
      </c>
      <c r="I749" s="162" t="s">
        <v>533</v>
      </c>
      <c r="J749" s="251">
        <v>3</v>
      </c>
      <c r="K749" s="254">
        <v>1550000</v>
      </c>
      <c r="L749" s="255">
        <f t="shared" si="51"/>
        <v>4650000</v>
      </c>
      <c r="M749" s="257"/>
      <c r="N749" s="262"/>
      <c r="O7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49" s="262"/>
      <c r="Q749" s="264" t="str" cm="1">
        <f t="array" ref="Q749">IF(T[[#This Row],[نوع عملیات]]="فروش", _xlfn.XLOOKUP(T[[#This Row],[کالا]], _xlfn._xlws.FILTER(T[کالا], T[نوع عملیات]="خرید"), _xlfn._xlws.FILTER(T[فروشنده / مشتری], T[نوع عملیات]="خرید")), "")</f>
        <v/>
      </c>
    </row>
    <row r="750" spans="2:17" ht="16.5" x14ac:dyDescent="0.75">
      <c r="B750" s="227">
        <v>4</v>
      </c>
      <c r="C750" s="150">
        <v>3</v>
      </c>
      <c r="D750" s="150">
        <v>22</v>
      </c>
      <c r="E750" s="150" t="str">
        <f t="shared" si="48"/>
        <v>خرداد</v>
      </c>
      <c r="F750" s="151" t="s">
        <v>168</v>
      </c>
      <c r="G750" s="243" t="s">
        <v>592</v>
      </c>
      <c r="H750" s="247" t="s">
        <v>390</v>
      </c>
      <c r="I750" s="162" t="s">
        <v>533</v>
      </c>
      <c r="J750" s="251">
        <v>1</v>
      </c>
      <c r="K750" s="254">
        <v>1150000</v>
      </c>
      <c r="L750" s="255">
        <f t="shared" si="51"/>
        <v>1150000</v>
      </c>
      <c r="M750" s="257"/>
      <c r="N750" s="262"/>
      <c r="O75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50" s="262"/>
      <c r="Q750" s="264" t="str" cm="1">
        <f t="array" ref="Q750">IF(T[[#This Row],[نوع عملیات]]="فروش", _xlfn.XLOOKUP(T[[#This Row],[کالا]], _xlfn._xlws.FILTER(T[کالا], T[نوع عملیات]="خرید"), _xlfn._xlws.FILTER(T[فروشنده / مشتری], T[نوع عملیات]="خرید")), "")</f>
        <v/>
      </c>
    </row>
    <row r="751" spans="2:17" ht="16.5" x14ac:dyDescent="0.75">
      <c r="B751" s="227">
        <v>4</v>
      </c>
      <c r="C751" s="150">
        <v>3</v>
      </c>
      <c r="D751" s="150">
        <v>22</v>
      </c>
      <c r="E751" s="150" t="str">
        <f t="shared" si="48"/>
        <v>خرداد</v>
      </c>
      <c r="F751" s="151" t="s">
        <v>168</v>
      </c>
      <c r="G751" s="243" t="s">
        <v>593</v>
      </c>
      <c r="H751" s="247" t="s">
        <v>390</v>
      </c>
      <c r="I751" s="162" t="s">
        <v>533</v>
      </c>
      <c r="J751" s="251">
        <v>1</v>
      </c>
      <c r="K751" s="254">
        <v>2100000</v>
      </c>
      <c r="L751" s="255">
        <f t="shared" si="51"/>
        <v>2100000</v>
      </c>
      <c r="M751" s="257"/>
      <c r="N751" s="262"/>
      <c r="O7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51" s="262"/>
      <c r="Q751" s="264" t="str" cm="1">
        <f t="array" ref="Q751">IF(T[[#This Row],[نوع عملیات]]="فروش", _xlfn.XLOOKUP(T[[#This Row],[کالا]], _xlfn._xlws.FILTER(T[کالا], T[نوع عملیات]="خرید"), _xlfn._xlws.FILTER(T[فروشنده / مشتری], T[نوع عملیات]="خرید")), "")</f>
        <v/>
      </c>
    </row>
    <row r="752" spans="2:17" ht="16.5" x14ac:dyDescent="0.75">
      <c r="B752" s="227">
        <v>4</v>
      </c>
      <c r="C752" s="150">
        <v>3</v>
      </c>
      <c r="D752" s="150">
        <v>22</v>
      </c>
      <c r="E752" s="150" t="str">
        <f t="shared" si="48"/>
        <v>خرداد</v>
      </c>
      <c r="F752" s="151" t="s">
        <v>168</v>
      </c>
      <c r="G752" s="243" t="s">
        <v>597</v>
      </c>
      <c r="H752" s="247" t="s">
        <v>390</v>
      </c>
      <c r="I752" s="162" t="s">
        <v>533</v>
      </c>
      <c r="J752" s="251">
        <v>4</v>
      </c>
      <c r="K752" s="254">
        <v>1550000</v>
      </c>
      <c r="L752" s="255">
        <f t="shared" si="51"/>
        <v>6200000</v>
      </c>
      <c r="M752" s="257"/>
      <c r="N752" s="262"/>
      <c r="O7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52" s="262"/>
      <c r="Q752" s="264" t="str" cm="1">
        <f t="array" ref="Q752">IF(T[[#This Row],[نوع عملیات]]="فروش", _xlfn.XLOOKUP(T[[#This Row],[کالا]], _xlfn._xlws.FILTER(T[کالا], T[نوع عملیات]="خرید"), _xlfn._xlws.FILTER(T[فروشنده / مشتری], T[نوع عملیات]="خرید")), "")</f>
        <v/>
      </c>
    </row>
    <row r="753" spans="2:17" ht="16.5" x14ac:dyDescent="0.75">
      <c r="B753" s="227">
        <v>4</v>
      </c>
      <c r="C753" s="150">
        <v>3</v>
      </c>
      <c r="D753" s="150">
        <v>22</v>
      </c>
      <c r="E753" s="150" t="str">
        <f t="shared" si="48"/>
        <v>خرداد</v>
      </c>
      <c r="F753" s="151" t="s">
        <v>168</v>
      </c>
      <c r="G753" s="243" t="s">
        <v>598</v>
      </c>
      <c r="H753" s="247" t="s">
        <v>390</v>
      </c>
      <c r="I753" s="162" t="s">
        <v>533</v>
      </c>
      <c r="J753" s="251">
        <v>1</v>
      </c>
      <c r="K753" s="254">
        <v>800000</v>
      </c>
      <c r="L753" s="255">
        <f t="shared" si="51"/>
        <v>800000</v>
      </c>
      <c r="M753" s="257">
        <v>22900000</v>
      </c>
      <c r="N753" s="262" t="s">
        <v>346</v>
      </c>
      <c r="O75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53" s="262"/>
      <c r="Q753" s="264" t="str" cm="1">
        <f t="array" ref="Q753">IF(T[[#This Row],[نوع عملیات]]="فروش", _xlfn.XLOOKUP(T[[#This Row],[کالا]], _xlfn._xlws.FILTER(T[کالا], T[نوع عملیات]="خرید"), _xlfn._xlws.FILTER(T[فروشنده / مشتری], T[نوع عملیات]="خرید")), "")</f>
        <v/>
      </c>
    </row>
    <row r="754" spans="2:17" ht="16.5" hidden="1" x14ac:dyDescent="0.75">
      <c r="B754" s="227">
        <v>4</v>
      </c>
      <c r="C754" s="150">
        <v>3</v>
      </c>
      <c r="D754" s="150">
        <v>22</v>
      </c>
      <c r="E754" s="150" t="str">
        <f t="shared" si="48"/>
        <v>خرداد</v>
      </c>
      <c r="F754" s="151" t="s">
        <v>325</v>
      </c>
      <c r="G754" s="243" t="s">
        <v>598</v>
      </c>
      <c r="H754" s="247" t="s">
        <v>451</v>
      </c>
      <c r="I754" s="162"/>
      <c r="J754" s="251">
        <v>1</v>
      </c>
      <c r="K754" s="254">
        <v>0</v>
      </c>
      <c r="L754" s="255">
        <f t="shared" si="51"/>
        <v>0</v>
      </c>
      <c r="M754" s="257"/>
      <c r="N754" s="262"/>
      <c r="O75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-800000</v>
      </c>
      <c r="P754" s="262"/>
      <c r="Q754" s="264" t="str" cm="1">
        <f t="array" ref="Q754">IF(T[[#This Row],[نوع عملیات]]="فروش", _xlfn.XLOOKUP(T[[#This Row],[کالا]], _xlfn._xlws.FILTER(T[کالا], T[نوع عملیات]="خرید"), _xlfn._xlws.FILTER(T[فروشنده / مشتری], T[نوع عملیات]="خرید")), "")</f>
        <v/>
      </c>
    </row>
    <row r="755" spans="2:17" ht="16.5" hidden="1" x14ac:dyDescent="0.75">
      <c r="B755" s="227">
        <v>4</v>
      </c>
      <c r="C755" s="150">
        <v>3</v>
      </c>
      <c r="D755" s="150">
        <v>22</v>
      </c>
      <c r="E755" s="150" t="str">
        <f t="shared" si="48"/>
        <v>خرداد</v>
      </c>
      <c r="F755" s="151" t="s">
        <v>325</v>
      </c>
      <c r="G755" s="243" t="s">
        <v>591</v>
      </c>
      <c r="H755" s="247" t="s">
        <v>451</v>
      </c>
      <c r="I755" s="162"/>
      <c r="J755" s="251">
        <v>1</v>
      </c>
      <c r="K755" s="254">
        <v>0</v>
      </c>
      <c r="L755" s="255">
        <f t="shared" si="51"/>
        <v>0</v>
      </c>
      <c r="M755" s="257"/>
      <c r="N755" s="262"/>
      <c r="O75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-1550000</v>
      </c>
      <c r="P755" s="262"/>
      <c r="Q755" s="264" t="str" cm="1">
        <f t="array" ref="Q755">IF(T[[#This Row],[نوع عملیات]]="فروش", _xlfn.XLOOKUP(T[[#This Row],[کالا]], _xlfn._xlws.FILTER(T[کالا], T[نوع عملیات]="خرید"), _xlfn._xlws.FILTER(T[فروشنده / مشتری], T[نوع عملیات]="خرید")), "")</f>
        <v/>
      </c>
    </row>
    <row r="756" spans="2:17" ht="16.5" hidden="1" x14ac:dyDescent="0.75">
      <c r="B756" s="227">
        <v>4</v>
      </c>
      <c r="C756" s="150">
        <v>3</v>
      </c>
      <c r="D756" s="150">
        <v>22</v>
      </c>
      <c r="E756" s="150" t="str">
        <f t="shared" si="48"/>
        <v>خرداد</v>
      </c>
      <c r="F756" s="151" t="s">
        <v>167</v>
      </c>
      <c r="G756" s="244" t="s">
        <v>353</v>
      </c>
      <c r="H756" s="247" t="s">
        <v>211</v>
      </c>
      <c r="I756" s="162"/>
      <c r="J756" s="251">
        <v>1</v>
      </c>
      <c r="K756" s="254">
        <v>450000</v>
      </c>
      <c r="L756" s="255">
        <f t="shared" si="51"/>
        <v>450000</v>
      </c>
      <c r="M756" s="257">
        <v>450000</v>
      </c>
      <c r="N756" s="262" t="s">
        <v>346</v>
      </c>
      <c r="O75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102941.17647058825</v>
      </c>
      <c r="P756" s="262"/>
      <c r="Q756" s="264" t="str" cm="1">
        <f t="array" ref="Q756">IF(T[[#This Row],[نوع عملیات]]="فروش", _xlfn.XLOOKUP(T[[#This Row],[کالا]], _xlfn._xlws.FILTER(T[کالا], T[نوع عملیات]="خرید"), _xlfn._xlws.FILTER(T[فروشنده / مشتری], T[نوع عملیات]="خرید")), "")</f>
        <v>بازار</v>
      </c>
    </row>
    <row r="757" spans="2:17" ht="16.5" hidden="1" x14ac:dyDescent="0.75">
      <c r="B757" s="227">
        <v>4</v>
      </c>
      <c r="C757" s="150">
        <v>3</v>
      </c>
      <c r="D757" s="150">
        <v>22</v>
      </c>
      <c r="E757" s="150" t="str">
        <f t="shared" si="48"/>
        <v>خرداد</v>
      </c>
      <c r="F757" s="151" t="s">
        <v>167</v>
      </c>
      <c r="G757" s="244" t="s">
        <v>587</v>
      </c>
      <c r="H757" s="247" t="s">
        <v>429</v>
      </c>
      <c r="I757" s="162"/>
      <c r="J757" s="251">
        <v>1</v>
      </c>
      <c r="K757" s="254">
        <v>500000</v>
      </c>
      <c r="L757" s="255">
        <f t="shared" si="51"/>
        <v>500000</v>
      </c>
      <c r="M757" s="257"/>
      <c r="N757" s="262"/>
      <c r="O75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120000</v>
      </c>
      <c r="P757" s="262"/>
      <c r="Q757" s="264" t="str" cm="1">
        <f t="array" ref="Q757">IF(T[[#This Row],[نوع عملیات]]="فروش", _xlfn.XLOOKUP(T[[#This Row],[کالا]], _xlfn._xlws.FILTER(T[کالا], T[نوع عملیات]="خرید"), _xlfn._xlws.FILTER(T[فروشنده / مشتری], T[نوع عملیات]="خرید")), "")</f>
        <v>عبدل آباد</v>
      </c>
    </row>
    <row r="758" spans="2:17" ht="16.5" hidden="1" x14ac:dyDescent="0.75">
      <c r="B758" s="227">
        <v>4</v>
      </c>
      <c r="C758" s="150">
        <v>3</v>
      </c>
      <c r="D758" s="150">
        <v>22</v>
      </c>
      <c r="E758" s="150" t="str">
        <f t="shared" si="48"/>
        <v>خرداد</v>
      </c>
      <c r="F758" s="151" t="s">
        <v>167</v>
      </c>
      <c r="G758" s="244" t="s">
        <v>486</v>
      </c>
      <c r="H758" s="247" t="s">
        <v>429</v>
      </c>
      <c r="I758" s="162"/>
      <c r="J758" s="251">
        <v>1</v>
      </c>
      <c r="K758" s="254">
        <v>2300000</v>
      </c>
      <c r="L758" s="255">
        <f t="shared" si="51"/>
        <v>2300000</v>
      </c>
      <c r="M758" s="257"/>
      <c r="N758" s="262"/>
      <c r="O75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751250</v>
      </c>
      <c r="P758" s="262"/>
      <c r="Q758" s="264" t="str" cm="1">
        <f t="array" ref="Q758">IF(T[[#This Row],[نوع عملیات]]="فروش", _xlfn.XLOOKUP(T[[#This Row],[کالا]], _xlfn._xlws.FILTER(T[کالا], T[نوع عملیات]="خرید"), _xlfn._xlws.FILTER(T[فروشنده / مشتری], T[نوع عملیات]="خرید")), "")</f>
        <v>عبدل آباد</v>
      </c>
    </row>
    <row r="759" spans="2:17" ht="16.5" hidden="1" x14ac:dyDescent="0.75">
      <c r="B759" s="227">
        <v>4</v>
      </c>
      <c r="C759" s="150">
        <v>3</v>
      </c>
      <c r="D759" s="150">
        <v>22</v>
      </c>
      <c r="E759" s="150" t="str">
        <f t="shared" si="48"/>
        <v>خرداد</v>
      </c>
      <c r="F759" s="151" t="s">
        <v>167</v>
      </c>
      <c r="G759" s="244" t="s">
        <v>486</v>
      </c>
      <c r="H759" s="247" t="s">
        <v>211</v>
      </c>
      <c r="I759" s="162"/>
      <c r="J759" s="251">
        <v>1</v>
      </c>
      <c r="K759" s="254">
        <v>2500000</v>
      </c>
      <c r="L759" s="255">
        <f t="shared" si="51"/>
        <v>2500000</v>
      </c>
      <c r="M759" s="257">
        <v>2500000</v>
      </c>
      <c r="N759" s="262" t="s">
        <v>299</v>
      </c>
      <c r="O75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759" s="262"/>
      <c r="Q759" s="264" t="str" cm="1">
        <f t="array" ref="Q759">IF(T[[#This Row],[نوع عملیات]]="فروش", _xlfn.XLOOKUP(T[[#This Row],[کالا]], _xlfn._xlws.FILTER(T[کالا], T[نوع عملیات]="خرید"), _xlfn._xlws.FILTER(T[فروشنده / مشتری], T[نوع عملیات]="خرید")), "")</f>
        <v>عبدل آباد</v>
      </c>
    </row>
    <row r="760" spans="2:17" ht="16.5" x14ac:dyDescent="0.75">
      <c r="B760" s="227">
        <v>4</v>
      </c>
      <c r="C760" s="150">
        <v>3</v>
      </c>
      <c r="D760" s="150">
        <v>22</v>
      </c>
      <c r="E760" s="150" t="str">
        <f t="shared" si="48"/>
        <v>خرداد</v>
      </c>
      <c r="F760" s="151" t="s">
        <v>168</v>
      </c>
      <c r="G760" s="244" t="s">
        <v>486</v>
      </c>
      <c r="H760" s="247" t="s">
        <v>390</v>
      </c>
      <c r="I760" s="162"/>
      <c r="J760" s="251">
        <v>24</v>
      </c>
      <c r="K760" s="254">
        <f>T[[#This Row],[قیمت کل]]/T[[#This Row],[تعداد]]</f>
        <v>1541666.6666666667</v>
      </c>
      <c r="L760" s="255">
        <v>37000000</v>
      </c>
      <c r="M760" s="257"/>
      <c r="N760" s="262"/>
      <c r="O76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60" s="262"/>
      <c r="Q760" s="264" t="str" cm="1">
        <f t="array" ref="Q760">IF(T[[#This Row],[نوع عملیات]]="فروش", _xlfn.XLOOKUP(T[[#This Row],[کالا]], _xlfn._xlws.FILTER(T[کالا], T[نوع عملیات]="خرید"), _xlfn._xlws.FILTER(T[فروشنده / مشتری], T[نوع عملیات]="خرید")), "")</f>
        <v/>
      </c>
    </row>
    <row r="761" spans="2:17" ht="16.5" hidden="1" x14ac:dyDescent="0.75">
      <c r="B761" s="227">
        <v>4</v>
      </c>
      <c r="C761" s="150">
        <v>3</v>
      </c>
      <c r="D761" s="150">
        <v>22</v>
      </c>
      <c r="E761" s="150" t="str">
        <f>CHOOSE(C761, "فروردین", "اردیبهشت", "خرداد", "تیر", "مرداد", "شهریور", "مهر", "آبان", "آذر", "دی", "بهمن", "اسفند")</f>
        <v>خرداد</v>
      </c>
      <c r="F761" s="151" t="s">
        <v>325</v>
      </c>
      <c r="G761" s="243" t="s">
        <v>457</v>
      </c>
      <c r="H761" s="247" t="s">
        <v>451</v>
      </c>
      <c r="I761" s="162"/>
      <c r="J761" s="251">
        <v>2</v>
      </c>
      <c r="K761" s="254">
        <v>0</v>
      </c>
      <c r="L761" s="255">
        <f>J761*K761</f>
        <v>0</v>
      </c>
      <c r="M761" s="257"/>
      <c r="N761" s="262"/>
      <c r="O76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-1973043.4782608696</v>
      </c>
      <c r="P761" s="262"/>
      <c r="Q761" s="264" t="str" cm="1">
        <f t="array" ref="Q761">IF(T[[#This Row],[نوع عملیات]]="فروش", _xlfn.XLOOKUP(T[[#This Row],[کالا]], _xlfn._xlws.FILTER(T[کالا], T[نوع عملیات]="خرید"), _xlfn._xlws.FILTER(T[فروشنده / مشتری], T[نوع عملیات]="خرید")), "")</f>
        <v/>
      </c>
    </row>
    <row r="762" spans="2:17" ht="16.5" hidden="1" x14ac:dyDescent="0.75">
      <c r="B762" s="227">
        <v>4</v>
      </c>
      <c r="C762" s="150">
        <v>4</v>
      </c>
      <c r="D762" s="150">
        <v>4</v>
      </c>
      <c r="E762" s="150" t="str">
        <f t="shared" si="48"/>
        <v>تیر</v>
      </c>
      <c r="F762" s="151" t="s">
        <v>302</v>
      </c>
      <c r="G762" s="244"/>
      <c r="H762" s="247" t="s">
        <v>584</v>
      </c>
      <c r="I762" s="162"/>
      <c r="J762" s="251"/>
      <c r="K762" s="254"/>
      <c r="L762" s="255">
        <f t="shared" ref="L762:L793" si="52">J762*K762</f>
        <v>0</v>
      </c>
      <c r="M762" s="257">
        <v>700000</v>
      </c>
      <c r="N762" s="262" t="s">
        <v>346</v>
      </c>
      <c r="O76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62" s="262"/>
      <c r="Q762" s="264" t="str" cm="1">
        <f t="array" ref="Q762">IF(T[[#This Row],[نوع عملیات]]="فروش", _xlfn.XLOOKUP(T[[#This Row],[کالا]], _xlfn._xlws.FILTER(T[کالا], T[نوع عملیات]="خرید"), _xlfn._xlws.FILTER(T[فروشنده / مشتری], T[نوع عملیات]="خرید")), "")</f>
        <v/>
      </c>
    </row>
    <row r="763" spans="2:17" ht="16.5" hidden="1" x14ac:dyDescent="0.75">
      <c r="B763" s="227">
        <v>4</v>
      </c>
      <c r="C763" s="150">
        <v>4</v>
      </c>
      <c r="D763" s="150">
        <v>5</v>
      </c>
      <c r="E763" s="150" t="str">
        <f t="shared" ref="E763:E810" si="53">CHOOSE(C763, "فروردین", "اردیبهشت", "خرداد", "تیر", "مرداد", "شهریور", "مهر", "آبان", "آذر", "دی", "بهمن", "اسفند")</f>
        <v>تیر</v>
      </c>
      <c r="F763" s="151" t="s">
        <v>167</v>
      </c>
      <c r="G763" s="244" t="s">
        <v>561</v>
      </c>
      <c r="H763" s="247" t="s">
        <v>599</v>
      </c>
      <c r="I763" s="162"/>
      <c r="J763" s="251">
        <v>1</v>
      </c>
      <c r="K763" s="254">
        <v>400000</v>
      </c>
      <c r="L763" s="255">
        <f t="shared" si="52"/>
        <v>400000</v>
      </c>
      <c r="M763" s="257"/>
      <c r="N763" s="262"/>
      <c r="O76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172000</v>
      </c>
      <c r="P763" s="262"/>
      <c r="Q763" s="264" t="str" cm="1">
        <f t="array" ref="Q763">IF(T[[#This Row],[نوع عملیات]]="فروش", _xlfn.XLOOKUP(T[[#This Row],[کالا]], _xlfn._xlws.FILTER(T[کالا], T[نوع عملیات]="خرید"), _xlfn._xlws.FILTER(T[فروشنده / مشتری], T[نوع عملیات]="خرید")), "")</f>
        <v>عبدل آباد</v>
      </c>
    </row>
    <row r="764" spans="2:17" ht="16.5" hidden="1" x14ac:dyDescent="0.75">
      <c r="B764" s="227">
        <v>4</v>
      </c>
      <c r="C764" s="150">
        <v>4</v>
      </c>
      <c r="D764" s="150">
        <v>5</v>
      </c>
      <c r="E764" s="150" t="str">
        <f t="shared" si="53"/>
        <v>تیر</v>
      </c>
      <c r="F764" s="151" t="s">
        <v>167</v>
      </c>
      <c r="G764" s="244" t="s">
        <v>543</v>
      </c>
      <c r="H764" s="247" t="s">
        <v>599</v>
      </c>
      <c r="I764" s="162"/>
      <c r="J764" s="251">
        <v>1</v>
      </c>
      <c r="K764" s="254">
        <v>1950000</v>
      </c>
      <c r="L764" s="255">
        <f t="shared" si="52"/>
        <v>1950000</v>
      </c>
      <c r="M764" s="257"/>
      <c r="N764" s="262"/>
      <c r="O76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952500</v>
      </c>
      <c r="P764" s="262"/>
      <c r="Q764" s="264" t="str" cm="1">
        <f t="array" ref="Q764">IF(T[[#This Row],[نوع عملیات]]="فروش", _xlfn.XLOOKUP(T[[#This Row],[کالا]], _xlfn._xlws.FILTER(T[کالا], T[نوع عملیات]="خرید"), _xlfn._xlws.FILTER(T[فروشنده / مشتری], T[نوع عملیات]="خرید")), "")</f>
        <v>بازار پارسیان</v>
      </c>
    </row>
    <row r="765" spans="2:17" ht="16.5" hidden="1" x14ac:dyDescent="0.75">
      <c r="B765" s="227">
        <v>4</v>
      </c>
      <c r="C765" s="150">
        <v>4</v>
      </c>
      <c r="D765" s="150">
        <v>5</v>
      </c>
      <c r="E765" s="150" t="str">
        <f t="shared" si="53"/>
        <v>تیر</v>
      </c>
      <c r="F765" s="151" t="s">
        <v>167</v>
      </c>
      <c r="G765" s="244" t="s">
        <v>590</v>
      </c>
      <c r="H765" s="247" t="s">
        <v>599</v>
      </c>
      <c r="I765" s="162"/>
      <c r="J765" s="251">
        <v>1</v>
      </c>
      <c r="K765" s="254">
        <v>2000000</v>
      </c>
      <c r="L765" s="255">
        <f t="shared" si="52"/>
        <v>2000000</v>
      </c>
      <c r="M765" s="257"/>
      <c r="N765" s="262"/>
      <c r="O76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765" s="262"/>
      <c r="Q765" s="264" t="str" cm="1">
        <f t="array" ref="Q765">IF(T[[#This Row],[نوع عملیات]]="فروش", _xlfn.XLOOKUP(T[[#This Row],[کالا]], _xlfn._xlws.FILTER(T[کالا], T[نوع عملیات]="خرید"), _xlfn._xlws.FILTER(T[فروشنده / مشتری], T[نوع عملیات]="خرید")), "")</f>
        <v>عبدل آباد</v>
      </c>
    </row>
    <row r="766" spans="2:17" ht="16.5" hidden="1" x14ac:dyDescent="0.75">
      <c r="B766" s="227">
        <v>4</v>
      </c>
      <c r="C766" s="150">
        <v>4</v>
      </c>
      <c r="D766" s="150">
        <v>5</v>
      </c>
      <c r="E766" s="150" t="str">
        <f t="shared" si="53"/>
        <v>تیر</v>
      </c>
      <c r="F766" s="151" t="s">
        <v>167</v>
      </c>
      <c r="G766" s="244" t="s">
        <v>457</v>
      </c>
      <c r="H766" s="247" t="s">
        <v>600</v>
      </c>
      <c r="I766" s="162"/>
      <c r="J766" s="251">
        <v>1</v>
      </c>
      <c r="K766" s="254">
        <v>1200000</v>
      </c>
      <c r="L766" s="255">
        <f t="shared" si="52"/>
        <v>1200000</v>
      </c>
      <c r="M766" s="257"/>
      <c r="N766" s="262"/>
      <c r="O76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213478.26086956519</v>
      </c>
      <c r="P766" s="262"/>
      <c r="Q766" s="264" t="str" cm="1">
        <f t="array" ref="Q766">IF(T[[#This Row],[نوع عملیات]]="فروش", _xlfn.XLOOKUP(T[[#This Row],[کالا]], _xlfn._xlws.FILTER(T[کالا], T[نوع عملیات]="خرید"), _xlfn._xlws.FILTER(T[فروشنده / مشتری], T[نوع عملیات]="خرید")), "")</f>
        <v>عبدل آباد</v>
      </c>
    </row>
    <row r="767" spans="2:17" ht="16.5" hidden="1" x14ac:dyDescent="0.75">
      <c r="B767" s="227">
        <v>4</v>
      </c>
      <c r="C767" s="150">
        <v>4</v>
      </c>
      <c r="D767" s="150">
        <v>5</v>
      </c>
      <c r="E767" s="150" t="str">
        <f t="shared" si="53"/>
        <v>تیر</v>
      </c>
      <c r="F767" s="151" t="s">
        <v>167</v>
      </c>
      <c r="G767" s="244" t="s">
        <v>562</v>
      </c>
      <c r="H767" s="247" t="s">
        <v>211</v>
      </c>
      <c r="I767" s="162"/>
      <c r="J767" s="251">
        <v>1</v>
      </c>
      <c r="K767" s="254">
        <v>1100000</v>
      </c>
      <c r="L767" s="255">
        <f t="shared" si="52"/>
        <v>1100000</v>
      </c>
      <c r="M767" s="257"/>
      <c r="N767" s="262"/>
      <c r="O76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604285.71428571432</v>
      </c>
      <c r="P767" s="262"/>
      <c r="Q767" s="264" t="str" cm="1">
        <f t="array" ref="Q767">IF(T[[#This Row],[نوع عملیات]]="فروش", _xlfn.XLOOKUP(T[[#This Row],[کالا]], _xlfn._xlws.FILTER(T[کالا], T[نوع عملیات]="خرید"), _xlfn._xlws.FILTER(T[فروشنده / مشتری], T[نوع عملیات]="خرید")), "")</f>
        <v>بازار پارسیان</v>
      </c>
    </row>
    <row r="768" spans="2:17" ht="16.5" hidden="1" x14ac:dyDescent="0.75">
      <c r="B768" s="227">
        <v>4</v>
      </c>
      <c r="C768" s="150">
        <v>4</v>
      </c>
      <c r="D768" s="150">
        <v>5</v>
      </c>
      <c r="E768" s="150" t="str">
        <f t="shared" si="53"/>
        <v>تیر</v>
      </c>
      <c r="F768" s="151" t="s">
        <v>167</v>
      </c>
      <c r="G768" s="244" t="s">
        <v>561</v>
      </c>
      <c r="H768" s="247" t="s">
        <v>211</v>
      </c>
      <c r="I768" s="162"/>
      <c r="J768" s="251">
        <v>2</v>
      </c>
      <c r="K768" s="254">
        <v>400000</v>
      </c>
      <c r="L768" s="255">
        <f t="shared" si="52"/>
        <v>800000</v>
      </c>
      <c r="M768" s="257"/>
      <c r="N768" s="262"/>
      <c r="O76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344000</v>
      </c>
      <c r="P768" s="262"/>
      <c r="Q768" s="264" t="str" cm="1">
        <f t="array" ref="Q768">IF(T[[#This Row],[نوع عملیات]]="فروش", _xlfn.XLOOKUP(T[[#This Row],[کالا]], _xlfn._xlws.FILTER(T[کالا], T[نوع عملیات]="خرید"), _xlfn._xlws.FILTER(T[فروشنده / مشتری], T[نوع عملیات]="خرید")), "")</f>
        <v>عبدل آباد</v>
      </c>
    </row>
    <row r="769" spans="2:17" ht="16.5" hidden="1" x14ac:dyDescent="0.75">
      <c r="B769" s="227">
        <v>4</v>
      </c>
      <c r="C769" s="150">
        <v>4</v>
      </c>
      <c r="D769" s="150">
        <v>5</v>
      </c>
      <c r="E769" s="150" t="str">
        <f t="shared" si="53"/>
        <v>تیر</v>
      </c>
      <c r="F769" s="151" t="s">
        <v>167</v>
      </c>
      <c r="G769" s="244" t="s">
        <v>340</v>
      </c>
      <c r="H769" s="247" t="s">
        <v>211</v>
      </c>
      <c r="I769" s="162"/>
      <c r="J769" s="251">
        <v>1</v>
      </c>
      <c r="K769" s="254">
        <v>400000</v>
      </c>
      <c r="L769" s="255">
        <f t="shared" si="52"/>
        <v>400000</v>
      </c>
      <c r="M769" s="257"/>
      <c r="N769" s="262"/>
      <c r="O76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300000</v>
      </c>
      <c r="P769" s="262"/>
      <c r="Q769" s="264" t="str" cm="1">
        <f t="array" ref="Q769">IF(T[[#This Row],[نوع عملیات]]="فروش", _xlfn.XLOOKUP(T[[#This Row],[کالا]], _xlfn._xlws.FILTER(T[کالا], T[نوع عملیات]="خرید"), _xlfn._xlws.FILTER(T[فروشنده / مشتری], T[نوع عملیات]="خرید")), "")</f>
        <v>وان ترکیه</v>
      </c>
    </row>
    <row r="770" spans="2:17" ht="16.5" hidden="1" x14ac:dyDescent="0.75">
      <c r="B770" s="227">
        <v>4</v>
      </c>
      <c r="C770" s="150">
        <v>4</v>
      </c>
      <c r="D770" s="150">
        <v>5</v>
      </c>
      <c r="E770" s="150" t="str">
        <f t="shared" si="53"/>
        <v>تیر</v>
      </c>
      <c r="F770" s="151" t="s">
        <v>167</v>
      </c>
      <c r="G770" s="244" t="s">
        <v>601</v>
      </c>
      <c r="H770" s="247" t="s">
        <v>211</v>
      </c>
      <c r="I770" s="162"/>
      <c r="J770" s="251">
        <v>1</v>
      </c>
      <c r="K770" s="254">
        <v>700000</v>
      </c>
      <c r="L770" s="255">
        <f t="shared" si="52"/>
        <v>700000</v>
      </c>
      <c r="M770" s="257">
        <v>3000000</v>
      </c>
      <c r="N770" s="262" t="s">
        <v>299</v>
      </c>
      <c r="O77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400000</v>
      </c>
      <c r="P770" s="262"/>
      <c r="Q770" s="264" t="str" cm="1">
        <f t="array" ref="Q770">IF(T[[#This Row],[نوع عملیات]]="فروش", _xlfn.XLOOKUP(T[[#This Row],[کالا]], _xlfn._xlws.FILTER(T[کالا], T[نوع عملیات]="خرید"), _xlfn._xlws.FILTER(T[فروشنده / مشتری], T[نوع عملیات]="خرید")), "")</f>
        <v>عبدل آباد</v>
      </c>
    </row>
    <row r="771" spans="2:17" ht="16.5" hidden="1" x14ac:dyDescent="0.75">
      <c r="B771" s="227">
        <v>4</v>
      </c>
      <c r="C771" s="150">
        <v>4</v>
      </c>
      <c r="D771" s="150">
        <v>5</v>
      </c>
      <c r="E771" s="150" t="str">
        <f t="shared" si="53"/>
        <v>تیر</v>
      </c>
      <c r="F771" s="151" t="s">
        <v>167</v>
      </c>
      <c r="G771" s="244" t="s">
        <v>212</v>
      </c>
      <c r="H771" s="247" t="s">
        <v>617</v>
      </c>
      <c r="I771" s="162"/>
      <c r="J771" s="251">
        <v>1</v>
      </c>
      <c r="K771" s="254">
        <v>1000000</v>
      </c>
      <c r="L771" s="255">
        <f t="shared" si="52"/>
        <v>1000000</v>
      </c>
      <c r="M771" s="257"/>
      <c r="N771" s="262"/>
      <c r="O77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320000</v>
      </c>
      <c r="P771" s="262"/>
      <c r="Q771" s="264" t="str" cm="1">
        <f t="array" ref="Q771">IF(T[[#This Row],[نوع عملیات]]="فروش", _xlfn.XLOOKUP(T[[#This Row],[کالا]], _xlfn._xlws.FILTER(T[کالا], T[نوع عملیات]="خرید"), _xlfn._xlws.FILTER(T[فروشنده / مشتری], T[نوع عملیات]="خرید")), "")</f>
        <v>فریده</v>
      </c>
    </row>
    <row r="772" spans="2:17" ht="16.5" hidden="1" x14ac:dyDescent="0.75">
      <c r="B772" s="227">
        <v>4</v>
      </c>
      <c r="C772" s="150">
        <v>4</v>
      </c>
      <c r="D772" s="150">
        <v>5</v>
      </c>
      <c r="E772" s="150" t="str">
        <f t="shared" si="53"/>
        <v>تیر</v>
      </c>
      <c r="F772" s="151" t="s">
        <v>167</v>
      </c>
      <c r="G772" s="244" t="s">
        <v>275</v>
      </c>
      <c r="H772" s="247" t="s">
        <v>211</v>
      </c>
      <c r="I772" s="162"/>
      <c r="J772" s="251">
        <v>1</v>
      </c>
      <c r="K772" s="254">
        <v>600000</v>
      </c>
      <c r="L772" s="255">
        <f t="shared" si="52"/>
        <v>600000</v>
      </c>
      <c r="M772" s="257">
        <v>600000</v>
      </c>
      <c r="N772" s="262" t="s">
        <v>299</v>
      </c>
      <c r="O77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400000</v>
      </c>
      <c r="P772" s="262"/>
      <c r="Q772" s="264" t="str" cm="1">
        <f t="array" ref="Q772">IF(T[[#This Row],[نوع عملیات]]="فروش", _xlfn.XLOOKUP(T[[#This Row],[کالا]], _xlfn._xlws.FILTER(T[کالا], T[نوع عملیات]="خرید"), _xlfn._xlws.FILTER(T[فروشنده / مشتری], T[نوع عملیات]="خرید")), "")</f>
        <v>سیروس</v>
      </c>
    </row>
    <row r="773" spans="2:17" ht="16.5" hidden="1" x14ac:dyDescent="0.75">
      <c r="B773" s="227">
        <v>4</v>
      </c>
      <c r="C773" s="150">
        <v>4</v>
      </c>
      <c r="D773" s="150">
        <v>5</v>
      </c>
      <c r="E773" s="150" t="str">
        <f t="shared" si="53"/>
        <v>تیر</v>
      </c>
      <c r="F773" s="151" t="s">
        <v>167</v>
      </c>
      <c r="G773" s="244" t="s">
        <v>486</v>
      </c>
      <c r="H773" s="247" t="s">
        <v>539</v>
      </c>
      <c r="I773" s="162"/>
      <c r="J773" s="251">
        <v>1</v>
      </c>
      <c r="K773" s="254">
        <v>2300000</v>
      </c>
      <c r="L773" s="255">
        <f t="shared" si="52"/>
        <v>2300000</v>
      </c>
      <c r="M773" s="257"/>
      <c r="N773" s="262"/>
      <c r="O77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751250</v>
      </c>
      <c r="P773" s="262"/>
      <c r="Q773" s="264" t="str" cm="1">
        <f t="array" ref="Q773">IF(T[[#This Row],[نوع عملیات]]="فروش", _xlfn.XLOOKUP(T[[#This Row],[کالا]], _xlfn._xlws.FILTER(T[کالا], T[نوع عملیات]="خرید"), _xlfn._xlws.FILTER(T[فروشنده / مشتری], T[نوع عملیات]="خرید")), "")</f>
        <v>عبدل آباد</v>
      </c>
    </row>
    <row r="774" spans="2:17" ht="16.5" hidden="1" x14ac:dyDescent="0.75">
      <c r="B774" s="227">
        <v>4</v>
      </c>
      <c r="C774" s="150">
        <v>4</v>
      </c>
      <c r="D774" s="150">
        <v>7</v>
      </c>
      <c r="E774" s="150" t="str">
        <f t="shared" si="53"/>
        <v>تیر</v>
      </c>
      <c r="F774" s="151" t="s">
        <v>167</v>
      </c>
      <c r="G774" s="244" t="s">
        <v>592</v>
      </c>
      <c r="H774" s="247" t="s">
        <v>429</v>
      </c>
      <c r="I774" s="162"/>
      <c r="J774" s="251">
        <v>1</v>
      </c>
      <c r="K774" s="254">
        <v>1800000</v>
      </c>
      <c r="L774" s="255">
        <f t="shared" si="52"/>
        <v>1800000</v>
      </c>
      <c r="M774" s="257">
        <v>2000000</v>
      </c>
      <c r="N774" s="262" t="s">
        <v>216</v>
      </c>
      <c r="O77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774" s="262"/>
      <c r="Q774" s="264" t="str" cm="1">
        <f t="array" ref="Q774">IF(T[[#This Row],[نوع عملیات]]="فروش", _xlfn.XLOOKUP(T[[#This Row],[کالا]], _xlfn._xlws.FILTER(T[کالا], T[نوع عملیات]="خرید"), _xlfn._xlws.FILTER(T[فروشنده / مشتری], T[نوع عملیات]="خرید")), "")</f>
        <v>عبدل آباد</v>
      </c>
    </row>
    <row r="775" spans="2:17" ht="16.5" hidden="1" x14ac:dyDescent="0.75">
      <c r="B775" s="227">
        <v>4</v>
      </c>
      <c r="C775" s="150">
        <v>4</v>
      </c>
      <c r="D775" s="150">
        <v>7</v>
      </c>
      <c r="E775" s="150" t="str">
        <f t="shared" si="53"/>
        <v>تیر</v>
      </c>
      <c r="F775" s="151" t="s">
        <v>167</v>
      </c>
      <c r="G775" s="244" t="s">
        <v>560</v>
      </c>
      <c r="H775" s="247" t="s">
        <v>429</v>
      </c>
      <c r="I775" s="162"/>
      <c r="J775" s="251">
        <v>1</v>
      </c>
      <c r="K775" s="254">
        <v>350000</v>
      </c>
      <c r="L775" s="255">
        <f t="shared" si="52"/>
        <v>350000</v>
      </c>
      <c r="M775" s="257"/>
      <c r="N775" s="262"/>
      <c r="O77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775" s="262"/>
      <c r="Q775" s="264" t="str" cm="1">
        <f t="array" ref="Q775">IF(T[[#This Row],[نوع عملیات]]="فروش", _xlfn.XLOOKUP(T[[#This Row],[کالا]], _xlfn._xlws.FILTER(T[کالا], T[نوع عملیات]="خرید"), _xlfn._xlws.FILTER(T[فروشنده / مشتری], T[نوع عملیات]="خرید")), "")</f>
        <v>عبدل آباد</v>
      </c>
    </row>
    <row r="776" spans="2:17" ht="16.5" hidden="1" x14ac:dyDescent="0.75">
      <c r="B776" s="227">
        <v>4</v>
      </c>
      <c r="C776" s="150">
        <v>4</v>
      </c>
      <c r="D776" s="150">
        <v>9</v>
      </c>
      <c r="E776" s="150" t="str">
        <f t="shared" si="53"/>
        <v>تیر</v>
      </c>
      <c r="F776" s="151" t="s">
        <v>302</v>
      </c>
      <c r="G776" s="244"/>
      <c r="H776" s="247" t="s">
        <v>619</v>
      </c>
      <c r="I776" s="162"/>
      <c r="J776" s="251"/>
      <c r="K776" s="254"/>
      <c r="L776" s="255">
        <f t="shared" si="52"/>
        <v>0</v>
      </c>
      <c r="M776" s="257">
        <v>2000000</v>
      </c>
      <c r="N776" s="262" t="s">
        <v>346</v>
      </c>
      <c r="O77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76" s="262"/>
      <c r="Q776" s="264" t="str" cm="1">
        <f t="array" ref="Q776">IF(T[[#This Row],[نوع عملیات]]="فروش", _xlfn.XLOOKUP(T[[#This Row],[کالا]], _xlfn._xlws.FILTER(T[کالا], T[نوع عملیات]="خرید"), _xlfn._xlws.FILTER(T[فروشنده / مشتری], T[نوع عملیات]="خرید")), "")</f>
        <v/>
      </c>
    </row>
    <row r="777" spans="2:17" ht="16.5" hidden="1" x14ac:dyDescent="0.75">
      <c r="B777" s="227">
        <v>4</v>
      </c>
      <c r="C777" s="150">
        <v>4</v>
      </c>
      <c r="D777" s="150">
        <v>9</v>
      </c>
      <c r="E777" s="150" t="str">
        <f t="shared" si="53"/>
        <v>تیر</v>
      </c>
      <c r="F777" s="151" t="s">
        <v>167</v>
      </c>
      <c r="G777" s="244" t="s">
        <v>486</v>
      </c>
      <c r="H777" s="247" t="s">
        <v>211</v>
      </c>
      <c r="I777" s="162"/>
      <c r="J777" s="251">
        <v>1</v>
      </c>
      <c r="K777" s="254">
        <v>2450000</v>
      </c>
      <c r="L777" s="255">
        <f t="shared" si="52"/>
        <v>2450000</v>
      </c>
      <c r="M777" s="257">
        <v>2450000</v>
      </c>
      <c r="N777" s="262" t="s">
        <v>299</v>
      </c>
      <c r="O77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901250</v>
      </c>
      <c r="P777" s="262"/>
      <c r="Q777" s="264" t="str" cm="1">
        <f t="array" ref="Q777">IF(T[[#This Row],[نوع عملیات]]="فروش", _xlfn.XLOOKUP(T[[#This Row],[کالا]], _xlfn._xlws.FILTER(T[کالا], T[نوع عملیات]="خرید"), _xlfn._xlws.FILTER(T[فروشنده / مشتری], T[نوع عملیات]="خرید")), "")</f>
        <v>عبدل آباد</v>
      </c>
    </row>
    <row r="778" spans="2:17" ht="16.5" hidden="1" x14ac:dyDescent="0.75">
      <c r="B778" s="227">
        <v>4</v>
      </c>
      <c r="C778" s="150">
        <v>4</v>
      </c>
      <c r="D778" s="150">
        <v>9</v>
      </c>
      <c r="E778" s="150" t="str">
        <f t="shared" si="53"/>
        <v>تیر</v>
      </c>
      <c r="F778" s="151" t="s">
        <v>167</v>
      </c>
      <c r="G778" s="244" t="s">
        <v>485</v>
      </c>
      <c r="H778" s="247" t="s">
        <v>211</v>
      </c>
      <c r="I778" s="162"/>
      <c r="J778" s="251">
        <v>1</v>
      </c>
      <c r="K778" s="254">
        <v>2000000</v>
      </c>
      <c r="L778" s="255">
        <f t="shared" si="52"/>
        <v>2000000</v>
      </c>
      <c r="M778" s="257">
        <v>2000000</v>
      </c>
      <c r="N778" s="262" t="s">
        <v>299</v>
      </c>
      <c r="O77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778" s="262"/>
      <c r="Q778" s="264" t="str" cm="1">
        <f t="array" ref="Q778">IF(T[[#This Row],[نوع عملیات]]="فروش", _xlfn.XLOOKUP(T[[#This Row],[کالا]], _xlfn._xlws.FILTER(T[کالا], T[نوع عملیات]="خرید"), _xlfn._xlws.FILTER(T[فروشنده / مشتری], T[نوع عملیات]="خرید")), "")</f>
        <v>عبدل آباد</v>
      </c>
    </row>
    <row r="779" spans="2:17" ht="16.5" hidden="1" x14ac:dyDescent="0.75">
      <c r="B779" s="227">
        <v>4</v>
      </c>
      <c r="C779" s="150">
        <v>4</v>
      </c>
      <c r="D779" s="150">
        <v>9</v>
      </c>
      <c r="E779" s="150" t="str">
        <f t="shared" si="53"/>
        <v>تیر</v>
      </c>
      <c r="F779" s="151" t="s">
        <v>167</v>
      </c>
      <c r="G779" s="244" t="s">
        <v>546</v>
      </c>
      <c r="H779" s="247" t="s">
        <v>211</v>
      </c>
      <c r="I779" s="162"/>
      <c r="J779" s="251">
        <v>1</v>
      </c>
      <c r="K779" s="254">
        <v>1500000</v>
      </c>
      <c r="L779" s="255">
        <f t="shared" si="52"/>
        <v>1500000</v>
      </c>
      <c r="M779" s="257"/>
      <c r="N779" s="262"/>
      <c r="O77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400000</v>
      </c>
      <c r="P779" s="262"/>
      <c r="Q779" s="264" t="str" cm="1">
        <f t="array" ref="Q779">IF(T[[#This Row],[نوع عملیات]]="فروش", _xlfn.XLOOKUP(T[[#This Row],[کالا]], _xlfn._xlws.FILTER(T[کالا], T[نوع عملیات]="خرید"), _xlfn._xlws.FILTER(T[فروشنده / مشتری], T[نوع عملیات]="خرید")), "")</f>
        <v>بازار پارسیان</v>
      </c>
    </row>
    <row r="780" spans="2:17" ht="16.5" hidden="1" x14ac:dyDescent="0.75">
      <c r="B780" s="227">
        <v>4</v>
      </c>
      <c r="C780" s="150">
        <v>4</v>
      </c>
      <c r="D780" s="150">
        <v>9</v>
      </c>
      <c r="E780" s="150" t="str">
        <f t="shared" si="53"/>
        <v>تیر</v>
      </c>
      <c r="F780" s="151" t="s">
        <v>167</v>
      </c>
      <c r="G780" s="244" t="s">
        <v>353</v>
      </c>
      <c r="H780" s="247" t="s">
        <v>211</v>
      </c>
      <c r="I780" s="162"/>
      <c r="J780" s="251">
        <v>1</v>
      </c>
      <c r="K780" s="254">
        <v>500000</v>
      </c>
      <c r="L780" s="255">
        <f t="shared" si="52"/>
        <v>500000</v>
      </c>
      <c r="M780" s="257">
        <v>2000000</v>
      </c>
      <c r="N780" s="262" t="s">
        <v>299</v>
      </c>
      <c r="O78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152941.17647058825</v>
      </c>
      <c r="P780" s="262"/>
      <c r="Q780" s="264" t="str" cm="1">
        <f t="array" ref="Q780">IF(T[[#This Row],[نوع عملیات]]="فروش", _xlfn.XLOOKUP(T[[#This Row],[کالا]], _xlfn._xlws.FILTER(T[کالا], T[نوع عملیات]="خرید"), _xlfn._xlws.FILTER(T[فروشنده / مشتری], T[نوع عملیات]="خرید")), "")</f>
        <v>بازار</v>
      </c>
    </row>
    <row r="781" spans="2:17" ht="16.5" hidden="1" x14ac:dyDescent="0.75">
      <c r="B781" s="227">
        <v>4</v>
      </c>
      <c r="C781" s="150">
        <v>4</v>
      </c>
      <c r="D781" s="150">
        <v>9</v>
      </c>
      <c r="E781" s="150" t="str">
        <f t="shared" si="53"/>
        <v>تیر</v>
      </c>
      <c r="F781" s="151" t="s">
        <v>167</v>
      </c>
      <c r="G781" s="244" t="s">
        <v>486</v>
      </c>
      <c r="H781" s="247" t="s">
        <v>211</v>
      </c>
      <c r="I781" s="162"/>
      <c r="J781" s="251">
        <v>1</v>
      </c>
      <c r="K781" s="254">
        <v>2450000</v>
      </c>
      <c r="L781" s="255">
        <f t="shared" si="52"/>
        <v>2450000</v>
      </c>
      <c r="M781" s="257">
        <v>2450000</v>
      </c>
      <c r="N781" s="262" t="s">
        <v>299</v>
      </c>
      <c r="O78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901250</v>
      </c>
      <c r="P781" s="262"/>
      <c r="Q781" s="264" t="str" cm="1">
        <f t="array" ref="Q781">IF(T[[#This Row],[نوع عملیات]]="فروش", _xlfn.XLOOKUP(T[[#This Row],[کالا]], _xlfn._xlws.FILTER(T[کالا], T[نوع عملیات]="خرید"), _xlfn._xlws.FILTER(T[فروشنده / مشتری], T[نوع عملیات]="خرید")), "")</f>
        <v>عبدل آباد</v>
      </c>
    </row>
    <row r="782" spans="2:17" ht="16.5" hidden="1" x14ac:dyDescent="0.75">
      <c r="B782" s="227">
        <v>4</v>
      </c>
      <c r="C782" s="150">
        <v>4</v>
      </c>
      <c r="D782" s="150">
        <v>9</v>
      </c>
      <c r="E782" s="150" t="str">
        <f t="shared" si="53"/>
        <v>تیر</v>
      </c>
      <c r="F782" s="151" t="s">
        <v>167</v>
      </c>
      <c r="G782" s="244" t="s">
        <v>486</v>
      </c>
      <c r="H782" s="247" t="s">
        <v>211</v>
      </c>
      <c r="I782" s="162"/>
      <c r="J782" s="251">
        <v>1</v>
      </c>
      <c r="K782" s="254">
        <v>2400000</v>
      </c>
      <c r="L782" s="255">
        <f t="shared" si="52"/>
        <v>2400000</v>
      </c>
      <c r="M782" s="257"/>
      <c r="N782" s="262"/>
      <c r="O78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851250</v>
      </c>
      <c r="P782" s="262"/>
      <c r="Q782" s="264" t="str" cm="1">
        <f t="array" ref="Q782">IF(T[[#This Row],[نوع عملیات]]="فروش", _xlfn.XLOOKUP(T[[#This Row],[کالا]], _xlfn._xlws.FILTER(T[کالا], T[نوع عملیات]="خرید"), _xlfn._xlws.FILTER(T[فروشنده / مشتری], T[نوع عملیات]="خرید")), "")</f>
        <v>عبدل آباد</v>
      </c>
    </row>
    <row r="783" spans="2:17" ht="16.5" hidden="1" x14ac:dyDescent="0.75">
      <c r="B783" s="227">
        <v>4</v>
      </c>
      <c r="C783" s="150">
        <v>4</v>
      </c>
      <c r="D783" s="150">
        <v>9</v>
      </c>
      <c r="E783" s="150" t="str">
        <f t="shared" si="53"/>
        <v>تیر</v>
      </c>
      <c r="F783" s="151" t="s">
        <v>167</v>
      </c>
      <c r="G783" s="244" t="s">
        <v>427</v>
      </c>
      <c r="H783" s="247" t="s">
        <v>211</v>
      </c>
      <c r="I783" s="162"/>
      <c r="J783" s="251">
        <v>1</v>
      </c>
      <c r="K783" s="254">
        <v>2500000</v>
      </c>
      <c r="L783" s="255">
        <f t="shared" si="52"/>
        <v>2500000</v>
      </c>
      <c r="M783" s="257">
        <v>4900000</v>
      </c>
      <c r="N783" s="262" t="s">
        <v>299</v>
      </c>
      <c r="O78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600000</v>
      </c>
      <c r="P783" s="262"/>
      <c r="Q783" s="264" t="str" cm="1">
        <f t="array" ref="Q783">IF(T[[#This Row],[نوع عملیات]]="فروش", _xlfn.XLOOKUP(T[[#This Row],[کالا]], _xlfn._xlws.FILTER(T[کالا], T[نوع عملیات]="خرید"), _xlfn._xlws.FILTER(T[فروشنده / مشتری], T[نوع عملیات]="خرید")), "")</f>
        <v>عبدل آباد</v>
      </c>
    </row>
    <row r="784" spans="2:17" ht="16.5" hidden="1" x14ac:dyDescent="0.75">
      <c r="B784" s="227">
        <v>4</v>
      </c>
      <c r="C784" s="150">
        <v>4</v>
      </c>
      <c r="D784" s="150">
        <v>9</v>
      </c>
      <c r="E784" s="150" t="str">
        <f t="shared" si="53"/>
        <v>تیر</v>
      </c>
      <c r="F784" s="151" t="s">
        <v>167</v>
      </c>
      <c r="G784" s="244" t="s">
        <v>468</v>
      </c>
      <c r="H784" s="247" t="s">
        <v>352</v>
      </c>
      <c r="I784" s="162"/>
      <c r="J784" s="251">
        <v>1</v>
      </c>
      <c r="K784" s="254">
        <v>350000</v>
      </c>
      <c r="L784" s="255">
        <f t="shared" si="52"/>
        <v>350000</v>
      </c>
      <c r="M784" s="257"/>
      <c r="N784" s="262"/>
      <c r="O78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784" s="262"/>
      <c r="Q784" s="264" t="str" cm="1">
        <f t="array" ref="Q784">IF(T[[#This Row],[نوع عملیات]]="فروش", _xlfn.XLOOKUP(T[[#This Row],[کالا]], _xlfn._xlws.FILTER(T[کالا], T[نوع عملیات]="خرید"), _xlfn._xlws.FILTER(T[فروشنده / مشتری], T[نوع عملیات]="خرید")), "")</f>
        <v>سرای ملی</v>
      </c>
    </row>
    <row r="785" spans="2:17" ht="16.5" hidden="1" x14ac:dyDescent="0.75">
      <c r="B785" s="227">
        <v>4</v>
      </c>
      <c r="C785" s="150">
        <v>4</v>
      </c>
      <c r="D785" s="150">
        <v>9</v>
      </c>
      <c r="E785" s="150" t="str">
        <f t="shared" si="53"/>
        <v>تیر</v>
      </c>
      <c r="F785" s="151" t="s">
        <v>167</v>
      </c>
      <c r="G785" s="244" t="s">
        <v>551</v>
      </c>
      <c r="H785" s="247" t="s">
        <v>352</v>
      </c>
      <c r="I785" s="162"/>
      <c r="J785" s="251">
        <v>1</v>
      </c>
      <c r="K785" s="254">
        <v>850000</v>
      </c>
      <c r="L785" s="255">
        <f t="shared" si="52"/>
        <v>850000</v>
      </c>
      <c r="M785" s="257"/>
      <c r="N785" s="262"/>
      <c r="O78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494000</v>
      </c>
      <c r="P785" s="262"/>
      <c r="Q785" s="264" t="str" cm="1">
        <f t="array" ref="Q785">IF(T[[#This Row],[نوع عملیات]]="فروش", _xlfn.XLOOKUP(T[[#This Row],[کالا]], _xlfn._xlws.FILTER(T[کالا], T[نوع عملیات]="خرید"), _xlfn._xlws.FILTER(T[فروشنده / مشتری], T[نوع عملیات]="خرید")), "")</f>
        <v>سرای ملی</v>
      </c>
    </row>
    <row r="786" spans="2:17" ht="16.5" hidden="1" x14ac:dyDescent="0.75">
      <c r="B786" s="227">
        <v>4</v>
      </c>
      <c r="C786" s="150">
        <v>4</v>
      </c>
      <c r="D786" s="150">
        <v>9</v>
      </c>
      <c r="E786" s="150" t="str">
        <f t="shared" si="53"/>
        <v>تیر</v>
      </c>
      <c r="F786" s="151" t="s">
        <v>167</v>
      </c>
      <c r="G786" s="244" t="s">
        <v>486</v>
      </c>
      <c r="H786" s="247" t="s">
        <v>539</v>
      </c>
      <c r="I786" s="162"/>
      <c r="J786" s="251">
        <v>1</v>
      </c>
      <c r="K786" s="254">
        <v>2300000</v>
      </c>
      <c r="L786" s="255">
        <f t="shared" si="52"/>
        <v>2300000</v>
      </c>
      <c r="M786" s="257"/>
      <c r="N786" s="262"/>
      <c r="O78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751250</v>
      </c>
      <c r="P786" s="262"/>
      <c r="Q786" s="264" t="str" cm="1">
        <f t="array" ref="Q786">IF(T[[#This Row],[نوع عملیات]]="فروش", _xlfn.XLOOKUP(T[[#This Row],[کالا]], _xlfn._xlws.FILTER(T[کالا], T[نوع عملیات]="خرید"), _xlfn._xlws.FILTER(T[فروشنده / مشتری], T[نوع عملیات]="خرید")), "")</f>
        <v>عبدل آباد</v>
      </c>
    </row>
    <row r="787" spans="2:17" ht="16.5" hidden="1" x14ac:dyDescent="0.75">
      <c r="B787" s="227">
        <v>4</v>
      </c>
      <c r="C787" s="150">
        <v>4</v>
      </c>
      <c r="D787" s="150">
        <v>9</v>
      </c>
      <c r="E787" s="150" t="str">
        <f t="shared" si="53"/>
        <v>تیر</v>
      </c>
      <c r="F787" s="151" t="s">
        <v>167</v>
      </c>
      <c r="G787" s="244" t="s">
        <v>362</v>
      </c>
      <c r="H787" s="247" t="s">
        <v>539</v>
      </c>
      <c r="I787" s="162"/>
      <c r="J787" s="251">
        <v>1</v>
      </c>
      <c r="K787" s="254">
        <v>300000</v>
      </c>
      <c r="L787" s="255">
        <f t="shared" si="52"/>
        <v>300000</v>
      </c>
      <c r="M787" s="257"/>
      <c r="N787" s="262"/>
      <c r="O78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202500</v>
      </c>
      <c r="P787" s="262"/>
      <c r="Q787" s="264" t="str" cm="1">
        <f t="array" ref="Q787">IF(T[[#This Row],[نوع عملیات]]="فروش", _xlfn.XLOOKUP(T[[#This Row],[کالا]], _xlfn._xlws.FILTER(T[کالا], T[نوع عملیات]="خرید"), _xlfn._xlws.FILTER(T[فروشنده / مشتری], T[نوع عملیات]="خرید")), "")</f>
        <v>بازار</v>
      </c>
    </row>
    <row r="788" spans="2:17" ht="16.5" hidden="1" x14ac:dyDescent="0.75">
      <c r="B788" s="227">
        <v>4</v>
      </c>
      <c r="C788" s="150">
        <v>4</v>
      </c>
      <c r="D788" s="150">
        <v>9</v>
      </c>
      <c r="E788" s="150" t="str">
        <f t="shared" si="53"/>
        <v>تیر</v>
      </c>
      <c r="F788" s="151" t="s">
        <v>167</v>
      </c>
      <c r="G788" s="244" t="s">
        <v>486</v>
      </c>
      <c r="H788" s="247" t="s">
        <v>618</v>
      </c>
      <c r="I788" s="162"/>
      <c r="J788" s="251">
        <v>1</v>
      </c>
      <c r="K788" s="254">
        <v>2000000</v>
      </c>
      <c r="L788" s="255">
        <f t="shared" si="52"/>
        <v>2000000</v>
      </c>
      <c r="M788" s="257"/>
      <c r="N788" s="262"/>
      <c r="O78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788" s="262"/>
      <c r="Q788" s="264" t="str" cm="1">
        <f t="array" ref="Q788">IF(T[[#This Row],[نوع عملیات]]="فروش", _xlfn.XLOOKUP(T[[#This Row],[کالا]], _xlfn._xlws.FILTER(T[کالا], T[نوع عملیات]="خرید"), _xlfn._xlws.FILTER(T[فروشنده / مشتری], T[نوع عملیات]="خرید")), "")</f>
        <v>عبدل آباد</v>
      </c>
    </row>
    <row r="789" spans="2:17" ht="16.5" hidden="1" x14ac:dyDescent="0.75">
      <c r="B789" s="227">
        <v>4</v>
      </c>
      <c r="C789" s="150">
        <v>4</v>
      </c>
      <c r="D789" s="150">
        <v>9</v>
      </c>
      <c r="E789" s="150" t="str">
        <f t="shared" si="53"/>
        <v>تیر</v>
      </c>
      <c r="F789" s="151" t="s">
        <v>167</v>
      </c>
      <c r="G789" s="244" t="s">
        <v>590</v>
      </c>
      <c r="H789" s="247" t="s">
        <v>618</v>
      </c>
      <c r="I789" s="162"/>
      <c r="J789" s="251">
        <v>1</v>
      </c>
      <c r="K789" s="254">
        <v>1900000</v>
      </c>
      <c r="L789" s="255">
        <f t="shared" si="52"/>
        <v>1900000</v>
      </c>
      <c r="M789" s="257"/>
      <c r="N789" s="262"/>
      <c r="O78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550000</v>
      </c>
      <c r="P789" s="262"/>
      <c r="Q789" s="264" t="str" cm="1">
        <f t="array" ref="Q789">IF(T[[#This Row],[نوع عملیات]]="فروش", _xlfn.XLOOKUP(T[[#This Row],[کالا]], _xlfn._xlws.FILTER(T[کالا], T[نوع عملیات]="خرید"), _xlfn._xlws.FILTER(T[فروشنده / مشتری], T[نوع عملیات]="خرید")), "")</f>
        <v>عبدل آباد</v>
      </c>
    </row>
    <row r="790" spans="2:17" ht="16.5" hidden="1" x14ac:dyDescent="0.75">
      <c r="B790" s="227">
        <v>4</v>
      </c>
      <c r="C790" s="150">
        <v>4</v>
      </c>
      <c r="D790" s="150">
        <v>9</v>
      </c>
      <c r="E790" s="150" t="str">
        <f t="shared" si="53"/>
        <v>تیر</v>
      </c>
      <c r="F790" s="151" t="s">
        <v>167</v>
      </c>
      <c r="G790" s="244" t="s">
        <v>558</v>
      </c>
      <c r="H790" s="247" t="s">
        <v>618</v>
      </c>
      <c r="I790" s="162"/>
      <c r="J790" s="251">
        <v>1</v>
      </c>
      <c r="K790" s="254">
        <v>800000</v>
      </c>
      <c r="L790" s="255">
        <f t="shared" si="52"/>
        <v>800000</v>
      </c>
      <c r="M790" s="257"/>
      <c r="N790" s="262"/>
      <c r="O79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790" s="262"/>
      <c r="Q790" s="264" t="str" cm="1">
        <f t="array" ref="Q790">IF(T[[#This Row],[نوع عملیات]]="فروش", _xlfn.XLOOKUP(T[[#This Row],[کالا]], _xlfn._xlws.FILTER(T[کالا], T[نوع عملیات]="خرید"), _xlfn._xlws.FILTER(T[فروشنده / مشتری], T[نوع عملیات]="خرید")), "")</f>
        <v>عبدل آباد</v>
      </c>
    </row>
    <row r="791" spans="2:17" ht="16.5" hidden="1" x14ac:dyDescent="0.75">
      <c r="B791" s="227">
        <v>4</v>
      </c>
      <c r="C791" s="150">
        <v>4</v>
      </c>
      <c r="D791" s="150">
        <v>10</v>
      </c>
      <c r="E791" s="150" t="str">
        <f t="shared" si="53"/>
        <v>تیر</v>
      </c>
      <c r="F791" s="151" t="s">
        <v>167</v>
      </c>
      <c r="G791" s="244" t="s">
        <v>560</v>
      </c>
      <c r="H791" s="247" t="s">
        <v>480</v>
      </c>
      <c r="I791" s="162"/>
      <c r="J791" s="251">
        <v>1</v>
      </c>
      <c r="K791" s="254">
        <v>300000</v>
      </c>
      <c r="L791" s="255">
        <f t="shared" si="52"/>
        <v>300000</v>
      </c>
      <c r="M791" s="257"/>
      <c r="N791" s="262"/>
      <c r="O79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132000</v>
      </c>
      <c r="P791" s="262"/>
      <c r="Q791" s="264" t="str" cm="1">
        <f t="array" ref="Q791">IF(T[[#This Row],[نوع عملیات]]="فروش", _xlfn.XLOOKUP(T[[#This Row],[کالا]], _xlfn._xlws.FILTER(T[کالا], T[نوع عملیات]="خرید"), _xlfn._xlws.FILTER(T[فروشنده / مشتری], T[نوع عملیات]="خرید")), "")</f>
        <v>عبدل آباد</v>
      </c>
    </row>
    <row r="792" spans="2:17" ht="16.5" hidden="1" x14ac:dyDescent="0.75">
      <c r="B792" s="227">
        <v>4</v>
      </c>
      <c r="C792" s="150">
        <v>4</v>
      </c>
      <c r="D792" s="150">
        <v>10</v>
      </c>
      <c r="E792" s="150" t="str">
        <f t="shared" si="53"/>
        <v>تیر</v>
      </c>
      <c r="F792" s="151" t="s">
        <v>302</v>
      </c>
      <c r="G792" s="244"/>
      <c r="H792" s="247" t="s">
        <v>619</v>
      </c>
      <c r="I792" s="162"/>
      <c r="J792" s="251"/>
      <c r="K792" s="254"/>
      <c r="L792" s="255">
        <f t="shared" si="52"/>
        <v>0</v>
      </c>
      <c r="M792" s="257">
        <v>2500000</v>
      </c>
      <c r="N792" s="262" t="s">
        <v>346</v>
      </c>
      <c r="O79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92" s="262"/>
      <c r="Q792" s="264" t="str" cm="1">
        <f t="array" ref="Q792">IF(T[[#This Row],[نوع عملیات]]="فروش", _xlfn.XLOOKUP(T[[#This Row],[کالا]], _xlfn._xlws.FILTER(T[کالا], T[نوع عملیات]="خرید"), _xlfn._xlws.FILTER(T[فروشنده / مشتری], T[نوع عملیات]="خرید")), "")</f>
        <v/>
      </c>
    </row>
    <row r="793" spans="2:17" ht="16.5" hidden="1" x14ac:dyDescent="0.75">
      <c r="B793" s="227">
        <v>4</v>
      </c>
      <c r="C793" s="150">
        <v>4</v>
      </c>
      <c r="D793" s="150">
        <v>10</v>
      </c>
      <c r="E793" s="150" t="str">
        <f t="shared" si="53"/>
        <v>تیر</v>
      </c>
      <c r="F793" s="151" t="s">
        <v>302</v>
      </c>
      <c r="G793" s="244"/>
      <c r="H793" s="247" t="s">
        <v>420</v>
      </c>
      <c r="I793" s="162"/>
      <c r="J793" s="251"/>
      <c r="K793" s="254"/>
      <c r="L793" s="255">
        <f t="shared" si="52"/>
        <v>0</v>
      </c>
      <c r="M793" s="257">
        <v>700000</v>
      </c>
      <c r="N793" s="262" t="s">
        <v>346</v>
      </c>
      <c r="O79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93" s="262"/>
      <c r="Q793" s="264" t="str" cm="1">
        <f t="array" ref="Q793">IF(T[[#This Row],[نوع عملیات]]="فروش", _xlfn.XLOOKUP(T[[#This Row],[کالا]], _xlfn._xlws.FILTER(T[کالا], T[نوع عملیات]="خرید"), _xlfn._xlws.FILTER(T[فروشنده / مشتری], T[نوع عملیات]="خرید")), "")</f>
        <v/>
      </c>
    </row>
    <row r="794" spans="2:17" ht="16.5" hidden="1" x14ac:dyDescent="0.75">
      <c r="B794" s="227">
        <v>4</v>
      </c>
      <c r="C794" s="150">
        <v>4</v>
      </c>
      <c r="D794" s="150">
        <v>10</v>
      </c>
      <c r="E794" s="150" t="str">
        <f t="shared" si="53"/>
        <v>تیر</v>
      </c>
      <c r="F794" s="151" t="s">
        <v>302</v>
      </c>
      <c r="G794" s="244"/>
      <c r="H794" s="247" t="s">
        <v>429</v>
      </c>
      <c r="I794" s="162"/>
      <c r="J794" s="251"/>
      <c r="K794" s="254"/>
      <c r="L794" s="255">
        <f t="shared" ref="L794:L826" si="54">J794*K794</f>
        <v>0</v>
      </c>
      <c r="M794" s="257">
        <v>1000000</v>
      </c>
      <c r="N794" s="262" t="s">
        <v>299</v>
      </c>
      <c r="O79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94" s="262"/>
      <c r="Q794" s="264" t="str" cm="1">
        <f t="array" ref="Q794">IF(T[[#This Row],[نوع عملیات]]="فروش", _xlfn.XLOOKUP(T[[#This Row],[کالا]], _xlfn._xlws.FILTER(T[کالا], T[نوع عملیات]="خرید"), _xlfn._xlws.FILTER(T[فروشنده / مشتری], T[نوع عملیات]="خرید")), "")</f>
        <v/>
      </c>
    </row>
    <row r="795" spans="2:17" ht="16.5" hidden="1" x14ac:dyDescent="0.75">
      <c r="B795" s="227">
        <v>4</v>
      </c>
      <c r="C795" s="150">
        <v>4</v>
      </c>
      <c r="D795" s="150">
        <v>10</v>
      </c>
      <c r="E795" s="150" t="str">
        <f t="shared" si="53"/>
        <v>تیر</v>
      </c>
      <c r="F795" s="151" t="s">
        <v>302</v>
      </c>
      <c r="G795" s="244"/>
      <c r="H795" s="247" t="s">
        <v>282</v>
      </c>
      <c r="I795" s="162"/>
      <c r="J795" s="251"/>
      <c r="K795" s="254"/>
      <c r="L795" s="255">
        <f t="shared" si="54"/>
        <v>0</v>
      </c>
      <c r="M795" s="257">
        <v>3900000</v>
      </c>
      <c r="N795" s="262" t="s">
        <v>299</v>
      </c>
      <c r="O79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95" s="262"/>
      <c r="Q795" s="264" t="str" cm="1">
        <f t="array" ref="Q795">IF(T[[#This Row],[نوع عملیات]]="فروش", _xlfn.XLOOKUP(T[[#This Row],[کالا]], _xlfn._xlws.FILTER(T[کالا], T[نوع عملیات]="خرید"), _xlfn._xlws.FILTER(T[فروشنده / مشتری], T[نوع عملیات]="خرید")), "")</f>
        <v/>
      </c>
    </row>
    <row r="796" spans="2:17" ht="16.5" hidden="1" x14ac:dyDescent="0.75">
      <c r="B796" s="227">
        <v>4</v>
      </c>
      <c r="C796" s="150">
        <v>4</v>
      </c>
      <c r="D796" s="150">
        <v>10</v>
      </c>
      <c r="E796" s="150" t="str">
        <f t="shared" si="53"/>
        <v>تیر</v>
      </c>
      <c r="F796" s="151" t="s">
        <v>302</v>
      </c>
      <c r="G796" s="244"/>
      <c r="H796" s="247" t="s">
        <v>422</v>
      </c>
      <c r="I796" s="162"/>
      <c r="J796" s="251"/>
      <c r="K796" s="254"/>
      <c r="L796" s="255">
        <f t="shared" si="54"/>
        <v>0</v>
      </c>
      <c r="M796" s="257">
        <v>1100000</v>
      </c>
      <c r="N796" s="262" t="s">
        <v>346</v>
      </c>
      <c r="O79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96" s="262"/>
      <c r="Q796" s="264" t="str" cm="1">
        <f t="array" ref="Q796">IF(T[[#This Row],[نوع عملیات]]="فروش", _xlfn.XLOOKUP(T[[#This Row],[کالا]], _xlfn._xlws.FILTER(T[کالا], T[نوع عملیات]="خرید"), _xlfn._xlws.FILTER(T[فروشنده / مشتری], T[نوع عملیات]="خرید")), "")</f>
        <v/>
      </c>
    </row>
    <row r="797" spans="2:17" ht="16.5" hidden="1" x14ac:dyDescent="0.75">
      <c r="B797" s="227">
        <v>4</v>
      </c>
      <c r="C797" s="150">
        <v>4</v>
      </c>
      <c r="D797" s="150">
        <v>10</v>
      </c>
      <c r="E797" s="150" t="str">
        <f t="shared" si="53"/>
        <v>تیر</v>
      </c>
      <c r="F797" s="151" t="s">
        <v>302</v>
      </c>
      <c r="G797" s="244"/>
      <c r="H797" s="247" t="s">
        <v>520</v>
      </c>
      <c r="I797" s="162"/>
      <c r="J797" s="251"/>
      <c r="K797" s="254"/>
      <c r="L797" s="255">
        <f t="shared" si="54"/>
        <v>0</v>
      </c>
      <c r="M797" s="257">
        <v>850000</v>
      </c>
      <c r="N797" s="262" t="s">
        <v>299</v>
      </c>
      <c r="O79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97" s="262"/>
      <c r="Q797" s="264" t="str" cm="1">
        <f t="array" ref="Q797">IF(T[[#This Row],[نوع عملیات]]="فروش", _xlfn.XLOOKUP(T[[#This Row],[کالا]], _xlfn._xlws.FILTER(T[کالا], T[نوع عملیات]="خرید"), _xlfn._xlws.FILTER(T[فروشنده / مشتری], T[نوع عملیات]="خرید")), "")</f>
        <v/>
      </c>
    </row>
    <row r="798" spans="2:17" ht="16.5" hidden="1" x14ac:dyDescent="0.75">
      <c r="B798" s="227">
        <v>4</v>
      </c>
      <c r="C798" s="150">
        <v>4</v>
      </c>
      <c r="D798" s="150">
        <v>10</v>
      </c>
      <c r="E798" s="150" t="str">
        <f t="shared" si="53"/>
        <v>تیر</v>
      </c>
      <c r="F798" s="151" t="s">
        <v>167</v>
      </c>
      <c r="G798" s="244" t="s">
        <v>591</v>
      </c>
      <c r="H798" s="247" t="s">
        <v>211</v>
      </c>
      <c r="I798" s="162"/>
      <c r="J798" s="251">
        <v>1</v>
      </c>
      <c r="K798" s="254">
        <v>2400000</v>
      </c>
      <c r="L798" s="255">
        <f t="shared" si="54"/>
        <v>2400000</v>
      </c>
      <c r="M798" s="257">
        <v>2400000</v>
      </c>
      <c r="N798" s="262" t="s">
        <v>299</v>
      </c>
      <c r="O79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850000</v>
      </c>
      <c r="P798" s="262"/>
      <c r="Q798" s="264" t="str" cm="1">
        <f t="array" ref="Q798">IF(T[[#This Row],[نوع عملیات]]="فروش", _xlfn.XLOOKUP(T[[#This Row],[کالا]], _xlfn._xlws.FILTER(T[کالا], T[نوع عملیات]="خرید"), _xlfn._xlws.FILTER(T[فروشنده / مشتری], T[نوع عملیات]="خرید")), "")</f>
        <v>عبدل آباد</v>
      </c>
    </row>
    <row r="799" spans="2:17" ht="16.5" hidden="1" x14ac:dyDescent="0.75">
      <c r="B799" s="227">
        <v>4</v>
      </c>
      <c r="C799" s="150">
        <v>4</v>
      </c>
      <c r="D799" s="150">
        <v>10</v>
      </c>
      <c r="E799" s="150" t="str">
        <f t="shared" si="53"/>
        <v>تیر</v>
      </c>
      <c r="F799" s="151" t="s">
        <v>302</v>
      </c>
      <c r="G799" s="244"/>
      <c r="H799" s="247" t="s">
        <v>600</v>
      </c>
      <c r="I799" s="162"/>
      <c r="J799" s="251"/>
      <c r="K799" s="254"/>
      <c r="L799" s="255">
        <f t="shared" si="54"/>
        <v>0</v>
      </c>
      <c r="M799" s="257">
        <v>600000</v>
      </c>
      <c r="N799" s="262" t="s">
        <v>299</v>
      </c>
      <c r="O79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799" s="262"/>
      <c r="Q799" s="264" t="str" cm="1">
        <f t="array" ref="Q799">IF(T[[#This Row],[نوع عملیات]]="فروش", _xlfn.XLOOKUP(T[[#This Row],[کالا]], _xlfn._xlws.FILTER(T[کالا], T[نوع عملیات]="خرید"), _xlfn._xlws.FILTER(T[فروشنده / مشتری], T[نوع عملیات]="خرید")), "")</f>
        <v/>
      </c>
    </row>
    <row r="800" spans="2:17" ht="16.5" hidden="1" x14ac:dyDescent="0.75">
      <c r="B800" s="227">
        <v>4</v>
      </c>
      <c r="C800" s="150">
        <v>4</v>
      </c>
      <c r="D800" s="150">
        <v>10</v>
      </c>
      <c r="E800" s="150" t="str">
        <f t="shared" si="53"/>
        <v>تیر</v>
      </c>
      <c r="F800" s="151" t="s">
        <v>302</v>
      </c>
      <c r="G800" s="244"/>
      <c r="H800" s="247" t="s">
        <v>573</v>
      </c>
      <c r="I800" s="162"/>
      <c r="J800" s="251"/>
      <c r="K800" s="254"/>
      <c r="L800" s="255">
        <f t="shared" si="54"/>
        <v>0</v>
      </c>
      <c r="M800" s="257">
        <v>1400000</v>
      </c>
      <c r="N800" s="262" t="s">
        <v>346</v>
      </c>
      <c r="O8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00" s="262"/>
      <c r="Q800" s="264" t="str" cm="1">
        <f t="array" ref="Q800">IF(T[[#This Row],[نوع عملیات]]="فروش", _xlfn.XLOOKUP(T[[#This Row],[کالا]], _xlfn._xlws.FILTER(T[کالا], T[نوع عملیات]="خرید"), _xlfn._xlws.FILTER(T[فروشنده / مشتری], T[نوع عملیات]="خرید")), "")</f>
        <v/>
      </c>
    </row>
    <row r="801" spans="2:17" ht="16.5" hidden="1" x14ac:dyDescent="0.75">
      <c r="B801" s="227">
        <v>4</v>
      </c>
      <c r="C801" s="150">
        <v>4</v>
      </c>
      <c r="D801" s="150">
        <v>10</v>
      </c>
      <c r="E801" s="150" t="str">
        <f t="shared" si="53"/>
        <v>تیر</v>
      </c>
      <c r="F801" s="151" t="s">
        <v>302</v>
      </c>
      <c r="G801" s="244"/>
      <c r="H801" s="247" t="s">
        <v>308</v>
      </c>
      <c r="I801" s="162"/>
      <c r="J801" s="251"/>
      <c r="K801" s="254"/>
      <c r="L801" s="255">
        <f t="shared" si="54"/>
        <v>0</v>
      </c>
      <c r="M801" s="257">
        <v>2770000</v>
      </c>
      <c r="N801" s="262" t="s">
        <v>346</v>
      </c>
      <c r="O8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01" s="262"/>
      <c r="Q801" s="264" t="str" cm="1">
        <f t="array" ref="Q801">IF(T[[#This Row],[نوع عملیات]]="فروش", _xlfn.XLOOKUP(T[[#This Row],[کالا]], _xlfn._xlws.FILTER(T[کالا], T[نوع عملیات]="خرید"), _xlfn._xlws.FILTER(T[فروشنده / مشتری], T[نوع عملیات]="خرید")), "")</f>
        <v/>
      </c>
    </row>
    <row r="802" spans="2:17" ht="16.5" hidden="1" x14ac:dyDescent="0.75">
      <c r="B802" s="227">
        <v>4</v>
      </c>
      <c r="C802" s="150">
        <v>4</v>
      </c>
      <c r="D802" s="150">
        <v>10</v>
      </c>
      <c r="E802" s="150" t="str">
        <f t="shared" si="53"/>
        <v>تیر</v>
      </c>
      <c r="F802" s="151" t="s">
        <v>302</v>
      </c>
      <c r="G802" s="244"/>
      <c r="H802" s="247" t="s">
        <v>521</v>
      </c>
      <c r="I802" s="162"/>
      <c r="J802" s="251"/>
      <c r="K802" s="254"/>
      <c r="L802" s="255">
        <f t="shared" si="54"/>
        <v>0</v>
      </c>
      <c r="M802" s="257">
        <v>2100000</v>
      </c>
      <c r="N802" s="262" t="s">
        <v>346</v>
      </c>
      <c r="O8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02" s="262"/>
      <c r="Q802" s="264" t="str" cm="1">
        <f t="array" ref="Q802">IF(T[[#This Row],[نوع عملیات]]="فروش", _xlfn.XLOOKUP(T[[#This Row],[کالا]], _xlfn._xlws.FILTER(T[کالا], T[نوع عملیات]="خرید"), _xlfn._xlws.FILTER(T[فروشنده / مشتری], T[نوع عملیات]="خرید")), "")</f>
        <v/>
      </c>
    </row>
    <row r="803" spans="2:17" ht="16.5" hidden="1" x14ac:dyDescent="0.75">
      <c r="B803" s="227">
        <v>4</v>
      </c>
      <c r="C803" s="150">
        <v>4</v>
      </c>
      <c r="D803" s="150">
        <v>10</v>
      </c>
      <c r="E803" s="150" t="str">
        <f>CHOOSE(C803, "فروردین", "اردیبهشت", "خرداد", "تیر", "مرداد", "شهریور", "مهر", "آبان", "آذر", "دی", "بهمن", "اسفند")</f>
        <v>تیر</v>
      </c>
      <c r="F803" s="151" t="s">
        <v>302</v>
      </c>
      <c r="G803" s="244"/>
      <c r="H803" s="247" t="s">
        <v>513</v>
      </c>
      <c r="I803" s="162"/>
      <c r="J803" s="251"/>
      <c r="K803" s="254"/>
      <c r="L803" s="255">
        <f>J803*K803</f>
        <v>0</v>
      </c>
      <c r="M803" s="257">
        <v>4000000</v>
      </c>
      <c r="N803" s="262" t="s">
        <v>346</v>
      </c>
      <c r="O8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03" s="262"/>
      <c r="Q803" s="264" t="str" cm="1">
        <f t="array" ref="Q803">IF(T[[#This Row],[نوع عملیات]]="فروش", _xlfn.XLOOKUP(T[[#This Row],[کالا]], _xlfn._xlws.FILTER(T[کالا], T[نوع عملیات]="خرید"), _xlfn._xlws.FILTER(T[فروشنده / مشتری], T[نوع عملیات]="خرید")), "")</f>
        <v/>
      </c>
    </row>
    <row r="804" spans="2:17" ht="16.5" hidden="1" x14ac:dyDescent="0.75">
      <c r="B804" s="227">
        <v>4</v>
      </c>
      <c r="C804" s="150">
        <v>4</v>
      </c>
      <c r="D804" s="150">
        <v>11</v>
      </c>
      <c r="E804" s="150" t="str">
        <f t="shared" si="53"/>
        <v>تیر</v>
      </c>
      <c r="F804" s="151" t="s">
        <v>302</v>
      </c>
      <c r="G804" s="244"/>
      <c r="H804" s="247" t="s">
        <v>429</v>
      </c>
      <c r="I804" s="162"/>
      <c r="J804" s="251"/>
      <c r="K804" s="254"/>
      <c r="L804" s="255">
        <f t="shared" si="54"/>
        <v>0</v>
      </c>
      <c r="M804" s="257">
        <v>1300000</v>
      </c>
      <c r="N804" s="262" t="s">
        <v>216</v>
      </c>
      <c r="O8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04" s="262"/>
      <c r="Q804" s="264" t="str" cm="1">
        <f t="array" ref="Q804">IF(T[[#This Row],[نوع عملیات]]="فروش", _xlfn.XLOOKUP(T[[#This Row],[کالا]], _xlfn._xlws.FILTER(T[کالا], T[نوع عملیات]="خرید"), _xlfn._xlws.FILTER(T[فروشنده / مشتری], T[نوع عملیات]="خرید")), "")</f>
        <v/>
      </c>
    </row>
    <row r="805" spans="2:17" ht="16.5" hidden="1" x14ac:dyDescent="0.75">
      <c r="B805" s="227">
        <v>4</v>
      </c>
      <c r="C805" s="150">
        <v>4</v>
      </c>
      <c r="D805" s="150">
        <v>11</v>
      </c>
      <c r="E805" s="150" t="str">
        <f t="shared" si="53"/>
        <v>تیر</v>
      </c>
      <c r="F805" s="151" t="s">
        <v>167</v>
      </c>
      <c r="G805" s="244" t="s">
        <v>525</v>
      </c>
      <c r="H805" s="247" t="s">
        <v>602</v>
      </c>
      <c r="I805" s="162"/>
      <c r="J805" s="251">
        <v>1</v>
      </c>
      <c r="K805" s="254">
        <v>800000</v>
      </c>
      <c r="L805" s="255">
        <f t="shared" si="54"/>
        <v>800000</v>
      </c>
      <c r="M805" s="257">
        <v>800000</v>
      </c>
      <c r="N805" s="262" t="s">
        <v>299</v>
      </c>
      <c r="O8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120000</v>
      </c>
      <c r="P805" s="262"/>
      <c r="Q805" s="264" t="str" cm="1">
        <f t="array" ref="Q805">IF(T[[#This Row],[نوع عملیات]]="فروش", _xlfn.XLOOKUP(T[[#This Row],[کالا]], _xlfn._xlws.FILTER(T[کالا], T[نوع عملیات]="خرید"), _xlfn._xlws.FILTER(T[فروشنده / مشتری], T[نوع عملیات]="خرید")), "")</f>
        <v>مهناز - تولیدی</v>
      </c>
    </row>
    <row r="806" spans="2:17" ht="16.5" hidden="1" x14ac:dyDescent="0.75">
      <c r="B806" s="227">
        <v>4</v>
      </c>
      <c r="C806" s="150">
        <v>4</v>
      </c>
      <c r="D806" s="150">
        <v>11</v>
      </c>
      <c r="E806" s="150" t="str">
        <f t="shared" si="53"/>
        <v>تیر</v>
      </c>
      <c r="F806" s="151" t="s">
        <v>167</v>
      </c>
      <c r="G806" s="244" t="s">
        <v>522</v>
      </c>
      <c r="H806" s="247" t="s">
        <v>435</v>
      </c>
      <c r="I806" s="162"/>
      <c r="J806" s="251">
        <v>1</v>
      </c>
      <c r="K806" s="254">
        <v>850000</v>
      </c>
      <c r="L806" s="255">
        <f t="shared" si="54"/>
        <v>850000</v>
      </c>
      <c r="M806" s="257"/>
      <c r="N806" s="262"/>
      <c r="O8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806" s="262"/>
      <c r="Q806" s="264" t="str" cm="1">
        <f t="array" ref="Q806">IF(T[[#This Row],[نوع عملیات]]="فروش", _xlfn.XLOOKUP(T[[#This Row],[کالا]], _xlfn._xlws.FILTER(T[کالا], T[نوع عملیات]="خرید"), _xlfn._xlws.FILTER(T[فروشنده / مشتری], T[نوع عملیات]="خرید")), "")</f>
        <v>مهناز - تولیدی</v>
      </c>
    </row>
    <row r="807" spans="2:17" ht="16.5" hidden="1" x14ac:dyDescent="0.75">
      <c r="B807" s="227">
        <v>4</v>
      </c>
      <c r="C807" s="150">
        <v>4</v>
      </c>
      <c r="D807" s="150">
        <v>11</v>
      </c>
      <c r="E807" s="150" t="str">
        <f t="shared" si="53"/>
        <v>تیر</v>
      </c>
      <c r="F807" s="151" t="s">
        <v>167</v>
      </c>
      <c r="G807" s="244" t="s">
        <v>486</v>
      </c>
      <c r="H807" s="247" t="s">
        <v>211</v>
      </c>
      <c r="I807" s="162"/>
      <c r="J807" s="251">
        <v>1</v>
      </c>
      <c r="K807" s="254">
        <v>2000000</v>
      </c>
      <c r="L807" s="255">
        <f t="shared" si="54"/>
        <v>2000000</v>
      </c>
      <c r="M807" s="257"/>
      <c r="N807" s="262"/>
      <c r="O8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807" s="262"/>
      <c r="Q807" s="264" t="str" cm="1">
        <f t="array" ref="Q807">IF(T[[#This Row],[نوع عملیات]]="فروش", _xlfn.XLOOKUP(T[[#This Row],[کالا]], _xlfn._xlws.FILTER(T[کالا], T[نوع عملیات]="خرید"), _xlfn._xlws.FILTER(T[فروشنده / مشتری], T[نوع عملیات]="خرید")), "")</f>
        <v>عبدل آباد</v>
      </c>
    </row>
    <row r="808" spans="2:17" ht="16.5" hidden="1" x14ac:dyDescent="0.75">
      <c r="B808" s="227">
        <v>4</v>
      </c>
      <c r="C808" s="150">
        <v>4</v>
      </c>
      <c r="D808" s="150">
        <v>11</v>
      </c>
      <c r="E808" s="150" t="str">
        <f t="shared" si="53"/>
        <v>تیر</v>
      </c>
      <c r="F808" s="151" t="s">
        <v>167</v>
      </c>
      <c r="G808" s="244" t="s">
        <v>560</v>
      </c>
      <c r="H808" s="247" t="s">
        <v>211</v>
      </c>
      <c r="I808" s="162"/>
      <c r="J808" s="251">
        <v>1</v>
      </c>
      <c r="K808" s="254">
        <v>300000</v>
      </c>
      <c r="L808" s="255">
        <f t="shared" si="54"/>
        <v>300000</v>
      </c>
      <c r="M808" s="257">
        <v>2300000</v>
      </c>
      <c r="N808" s="262" t="s">
        <v>299</v>
      </c>
      <c r="O8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132000</v>
      </c>
      <c r="P808" s="262"/>
      <c r="Q808" s="264" t="str" cm="1">
        <f t="array" ref="Q808">IF(T[[#This Row],[نوع عملیات]]="فروش", _xlfn.XLOOKUP(T[[#This Row],[کالا]], _xlfn._xlws.FILTER(T[کالا], T[نوع عملیات]="خرید"), _xlfn._xlws.FILTER(T[فروشنده / مشتری], T[نوع عملیات]="خرید")), "")</f>
        <v>عبدل آباد</v>
      </c>
    </row>
    <row r="809" spans="2:17" ht="16.5" hidden="1" x14ac:dyDescent="0.75">
      <c r="B809" s="227">
        <v>4</v>
      </c>
      <c r="C809" s="150">
        <v>4</v>
      </c>
      <c r="D809" s="150">
        <v>11</v>
      </c>
      <c r="E809" s="150" t="str">
        <f t="shared" si="53"/>
        <v>تیر</v>
      </c>
      <c r="F809" s="151" t="s">
        <v>167</v>
      </c>
      <c r="G809" s="244" t="s">
        <v>540</v>
      </c>
      <c r="H809" s="247" t="s">
        <v>603</v>
      </c>
      <c r="I809" s="162"/>
      <c r="J809" s="251">
        <v>1</v>
      </c>
      <c r="K809" s="254">
        <v>1300000</v>
      </c>
      <c r="L809" s="255">
        <f t="shared" si="54"/>
        <v>1300000</v>
      </c>
      <c r="M809" s="257"/>
      <c r="N809" s="262"/>
      <c r="O8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668947.36842105258</v>
      </c>
      <c r="P809" s="262"/>
      <c r="Q809" s="264" t="str" cm="1">
        <f t="array" ref="Q809">IF(T[[#This Row],[نوع عملیات]]="فروش", _xlfn.XLOOKUP(T[[#This Row],[کالا]], _xlfn._xlws.FILTER(T[کالا], T[نوع عملیات]="خرید"), _xlfn._xlws.FILTER(T[فروشنده / مشتری], T[نوع عملیات]="خرید")), "")</f>
        <v>بازار پارسیان</v>
      </c>
    </row>
    <row r="810" spans="2:17" ht="16.5" hidden="1" x14ac:dyDescent="0.75">
      <c r="B810" s="227">
        <v>4</v>
      </c>
      <c r="C810" s="150">
        <v>4</v>
      </c>
      <c r="D810" s="150">
        <v>11</v>
      </c>
      <c r="E810" s="150" t="str">
        <f t="shared" si="53"/>
        <v>تیر</v>
      </c>
      <c r="F810" s="151" t="s">
        <v>167</v>
      </c>
      <c r="G810" s="244" t="s">
        <v>486</v>
      </c>
      <c r="H810" s="247" t="s">
        <v>604</v>
      </c>
      <c r="I810" s="162"/>
      <c r="J810" s="251">
        <v>1</v>
      </c>
      <c r="K810" s="254">
        <v>2200000</v>
      </c>
      <c r="L810" s="255">
        <f t="shared" si="54"/>
        <v>2200000</v>
      </c>
      <c r="M810" s="257"/>
      <c r="N810" s="262"/>
      <c r="O8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651250</v>
      </c>
      <c r="P810" s="262"/>
      <c r="Q810" s="264" t="str" cm="1">
        <f t="array" ref="Q810">IF(T[[#This Row],[نوع عملیات]]="فروش", _xlfn.XLOOKUP(T[[#This Row],[کالا]], _xlfn._xlws.FILTER(T[کالا], T[نوع عملیات]="خرید"), _xlfn._xlws.FILTER(T[فروشنده / مشتری], T[نوع عملیات]="خرید")), "")</f>
        <v>عبدل آباد</v>
      </c>
    </row>
    <row r="811" spans="2:17" ht="16.5" hidden="1" x14ac:dyDescent="0.75">
      <c r="B811" s="227">
        <v>4</v>
      </c>
      <c r="C811" s="150">
        <v>4</v>
      </c>
      <c r="D811" s="150">
        <v>11</v>
      </c>
      <c r="E811" s="150"/>
      <c r="F811" s="151" t="s">
        <v>302</v>
      </c>
      <c r="G811" s="244"/>
      <c r="H811" s="247" t="s">
        <v>510</v>
      </c>
      <c r="I811" s="162"/>
      <c r="J811" s="251"/>
      <c r="K811" s="254"/>
      <c r="L811" s="255">
        <f t="shared" si="54"/>
        <v>0</v>
      </c>
      <c r="M811" s="257">
        <v>2100000</v>
      </c>
      <c r="N811" s="262" t="s">
        <v>611</v>
      </c>
      <c r="O8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11" s="262"/>
      <c r="Q811" s="264" t="str" cm="1">
        <f t="array" ref="Q811">IF(T[[#This Row],[نوع عملیات]]="فروش", _xlfn.XLOOKUP(T[[#This Row],[کالا]], _xlfn._xlws.FILTER(T[کالا], T[نوع عملیات]="خرید"), _xlfn._xlws.FILTER(T[فروشنده / مشتری], T[نوع عملیات]="خرید")), "")</f>
        <v/>
      </c>
    </row>
    <row r="812" spans="2:17" ht="16.5" hidden="1" x14ac:dyDescent="0.75">
      <c r="B812" s="227">
        <v>4</v>
      </c>
      <c r="C812" s="150">
        <v>4</v>
      </c>
      <c r="D812" s="150">
        <v>12</v>
      </c>
      <c r="E812" s="150"/>
      <c r="F812" s="151" t="s">
        <v>302</v>
      </c>
      <c r="G812" s="244"/>
      <c r="H812" s="247" t="s">
        <v>539</v>
      </c>
      <c r="I812" s="162"/>
      <c r="J812" s="251"/>
      <c r="K812" s="254"/>
      <c r="L812" s="255">
        <f t="shared" si="54"/>
        <v>0</v>
      </c>
      <c r="M812" s="257">
        <v>3850000</v>
      </c>
      <c r="N812" s="262" t="s">
        <v>611</v>
      </c>
      <c r="O8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12" s="262"/>
      <c r="Q812" s="264" t="str" cm="1">
        <f t="array" ref="Q812">IF(T[[#This Row],[نوع عملیات]]="فروش", _xlfn.XLOOKUP(T[[#This Row],[کالا]], _xlfn._xlws.FILTER(T[کالا], T[نوع عملیات]="خرید"), _xlfn._xlws.FILTER(T[فروشنده / مشتری], T[نوع عملیات]="خرید")), "")</f>
        <v/>
      </c>
    </row>
    <row r="813" spans="2:17" ht="16.5" hidden="1" x14ac:dyDescent="0.75">
      <c r="B813" s="227">
        <v>4</v>
      </c>
      <c r="C813" s="150">
        <v>4</v>
      </c>
      <c r="D813" s="150">
        <v>12</v>
      </c>
      <c r="E813" s="150"/>
      <c r="F813" s="151" t="s">
        <v>302</v>
      </c>
      <c r="G813" s="244"/>
      <c r="H813" s="247" t="s">
        <v>506</v>
      </c>
      <c r="I813" s="162"/>
      <c r="J813" s="251"/>
      <c r="K813" s="254"/>
      <c r="L813" s="255">
        <f t="shared" si="54"/>
        <v>0</v>
      </c>
      <c r="M813" s="257">
        <v>8000000</v>
      </c>
      <c r="N813" s="262" t="s">
        <v>611</v>
      </c>
      <c r="O81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13" s="262"/>
      <c r="Q813" s="264" t="str" cm="1">
        <f t="array" ref="Q813">IF(T[[#This Row],[نوع عملیات]]="فروش", _xlfn.XLOOKUP(T[[#This Row],[کالا]], _xlfn._xlws.FILTER(T[کالا], T[نوع عملیات]="خرید"), _xlfn._xlws.FILTER(T[فروشنده / مشتری], T[نوع عملیات]="خرید")), "")</f>
        <v/>
      </c>
    </row>
    <row r="814" spans="2:17" ht="16.5" hidden="1" x14ac:dyDescent="0.75">
      <c r="B814" s="227">
        <v>4</v>
      </c>
      <c r="C814" s="150">
        <v>4</v>
      </c>
      <c r="D814" s="150">
        <v>12</v>
      </c>
      <c r="E814" s="150"/>
      <c r="F814" s="151" t="s">
        <v>167</v>
      </c>
      <c r="G814" s="244" t="s">
        <v>486</v>
      </c>
      <c r="H814" s="247" t="s">
        <v>211</v>
      </c>
      <c r="I814" s="162"/>
      <c r="J814" s="251">
        <v>1</v>
      </c>
      <c r="K814" s="254">
        <v>2450000</v>
      </c>
      <c r="L814" s="255">
        <f t="shared" si="54"/>
        <v>2450000</v>
      </c>
      <c r="M814" s="257"/>
      <c r="N814" s="262"/>
      <c r="O8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901250</v>
      </c>
      <c r="P814" s="262"/>
      <c r="Q814" s="264" t="str" cm="1">
        <f t="array" ref="Q814">IF(T[[#This Row],[نوع عملیات]]="فروش", _xlfn.XLOOKUP(T[[#This Row],[کالا]], _xlfn._xlws.FILTER(T[کالا], T[نوع عملیات]="خرید"), _xlfn._xlws.FILTER(T[فروشنده / مشتری], T[نوع عملیات]="خرید")), "")</f>
        <v>عبدل آباد</v>
      </c>
    </row>
    <row r="815" spans="2:17" ht="16.5" hidden="1" x14ac:dyDescent="0.75">
      <c r="B815" s="227">
        <v>4</v>
      </c>
      <c r="C815" s="150">
        <v>4</v>
      </c>
      <c r="D815" s="150">
        <v>12</v>
      </c>
      <c r="E815" s="150"/>
      <c r="F815" s="151" t="s">
        <v>167</v>
      </c>
      <c r="G815" s="244" t="s">
        <v>245</v>
      </c>
      <c r="H815" s="247" t="s">
        <v>211</v>
      </c>
      <c r="I815" s="162"/>
      <c r="J815" s="251">
        <v>1</v>
      </c>
      <c r="K815" s="254">
        <v>950000</v>
      </c>
      <c r="L815" s="255">
        <f t="shared" si="54"/>
        <v>950000</v>
      </c>
      <c r="M815" s="257"/>
      <c r="N815" s="262"/>
      <c r="O81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310000</v>
      </c>
      <c r="P815" s="262"/>
      <c r="Q815" s="264" t="str" cm="1">
        <f t="array" ref="Q815">IF(T[[#This Row],[نوع عملیات]]="فروش", _xlfn.XLOOKUP(T[[#This Row],[کالا]], _xlfn._xlws.FILTER(T[کالا], T[نوع عملیات]="خرید"), _xlfn._xlws.FILTER(T[فروشنده / مشتری], T[نوع عملیات]="خرید")), "")</f>
        <v>دلگشا</v>
      </c>
    </row>
    <row r="816" spans="2:17" ht="16.5" hidden="1" x14ac:dyDescent="0.75">
      <c r="B816" s="227">
        <v>4</v>
      </c>
      <c r="C816" s="150">
        <v>4</v>
      </c>
      <c r="D816" s="150">
        <v>12</v>
      </c>
      <c r="E816" s="150"/>
      <c r="F816" s="151" t="s">
        <v>167</v>
      </c>
      <c r="G816" s="244" t="s">
        <v>485</v>
      </c>
      <c r="H816" s="247" t="s">
        <v>211</v>
      </c>
      <c r="I816" s="162"/>
      <c r="J816" s="251">
        <v>2</v>
      </c>
      <c r="K816" s="254">
        <v>2100000</v>
      </c>
      <c r="L816" s="255">
        <f t="shared" si="54"/>
        <v>4200000</v>
      </c>
      <c r="M816" s="257"/>
      <c r="N816" s="262"/>
      <c r="O81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1040000</v>
      </c>
      <c r="P816" s="262"/>
      <c r="Q816" s="264" t="str" cm="1">
        <f t="array" ref="Q816">IF(T[[#This Row],[نوع عملیات]]="فروش", _xlfn.XLOOKUP(T[[#This Row],[کالا]], _xlfn._xlws.FILTER(T[کالا], T[نوع عملیات]="خرید"), _xlfn._xlws.FILTER(T[فروشنده / مشتری], T[نوع عملیات]="خرید")), "")</f>
        <v>عبدل آباد</v>
      </c>
    </row>
    <row r="817" spans="2:17" ht="16.5" hidden="1" x14ac:dyDescent="0.75">
      <c r="B817" s="227">
        <v>4</v>
      </c>
      <c r="C817" s="150">
        <v>4</v>
      </c>
      <c r="D817" s="150">
        <v>12</v>
      </c>
      <c r="E817" s="150"/>
      <c r="F817" s="151" t="s">
        <v>167</v>
      </c>
      <c r="G817" s="244" t="s">
        <v>597</v>
      </c>
      <c r="H817" s="247" t="s">
        <v>211</v>
      </c>
      <c r="I817" s="162"/>
      <c r="J817" s="251">
        <v>1</v>
      </c>
      <c r="K817" s="254">
        <v>2200000</v>
      </c>
      <c r="L817" s="255">
        <f t="shared" si="54"/>
        <v>2200000</v>
      </c>
      <c r="M817" s="257"/>
      <c r="N817" s="262"/>
      <c r="O81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817" s="262"/>
      <c r="Q817" s="264" t="str" cm="1">
        <f t="array" ref="Q817">IF(T[[#This Row],[نوع عملیات]]="فروش", _xlfn.XLOOKUP(T[[#This Row],[کالا]], _xlfn._xlws.FILTER(T[کالا], T[نوع عملیات]="خرید"), _xlfn._xlws.FILTER(T[فروشنده / مشتری], T[نوع عملیات]="خرید")), "")</f>
        <v>عبدل آباد</v>
      </c>
    </row>
    <row r="818" spans="2:17" ht="16.5" hidden="1" x14ac:dyDescent="0.75">
      <c r="B818" s="227">
        <v>4</v>
      </c>
      <c r="C818" s="150">
        <v>4</v>
      </c>
      <c r="D818" s="150">
        <v>12</v>
      </c>
      <c r="E818" s="150"/>
      <c r="F818" s="151" t="s">
        <v>167</v>
      </c>
      <c r="G818" s="244" t="s">
        <v>591</v>
      </c>
      <c r="H818" s="247" t="s">
        <v>211</v>
      </c>
      <c r="I818" s="162"/>
      <c r="J818" s="251">
        <v>1</v>
      </c>
      <c r="K818" s="254">
        <v>2000000</v>
      </c>
      <c r="L818" s="255">
        <f t="shared" si="54"/>
        <v>2000000</v>
      </c>
      <c r="M818" s="257"/>
      <c r="N818" s="262"/>
      <c r="O81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818" s="262"/>
      <c r="Q818" s="264" t="str" cm="1">
        <f t="array" ref="Q818">IF(T[[#This Row],[نوع عملیات]]="فروش", _xlfn.XLOOKUP(T[[#This Row],[کالا]], _xlfn._xlws.FILTER(T[کالا], T[نوع عملیات]="خرید"), _xlfn._xlws.FILTER(T[فروشنده / مشتری], T[نوع عملیات]="خرید")), "")</f>
        <v>عبدل آباد</v>
      </c>
    </row>
    <row r="819" spans="2:17" ht="16.5" hidden="1" x14ac:dyDescent="0.75">
      <c r="B819" s="227">
        <v>4</v>
      </c>
      <c r="C819" s="150">
        <v>4</v>
      </c>
      <c r="D819" s="150">
        <v>12</v>
      </c>
      <c r="E819" s="150"/>
      <c r="F819" s="151" t="s">
        <v>167</v>
      </c>
      <c r="G819" s="244" t="s">
        <v>560</v>
      </c>
      <c r="H819" s="247" t="s">
        <v>211</v>
      </c>
      <c r="I819" s="162"/>
      <c r="J819" s="251">
        <v>1</v>
      </c>
      <c r="K819" s="254">
        <v>200000</v>
      </c>
      <c r="L819" s="255">
        <f t="shared" si="54"/>
        <v>200000</v>
      </c>
      <c r="M819" s="257">
        <v>12000000</v>
      </c>
      <c r="N819" s="262" t="s">
        <v>299</v>
      </c>
      <c r="O81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32000</v>
      </c>
      <c r="P819" s="262"/>
      <c r="Q819" s="264" t="str" cm="1">
        <f t="array" ref="Q819">IF(T[[#This Row],[نوع عملیات]]="فروش", _xlfn.XLOOKUP(T[[#This Row],[کالا]], _xlfn._xlws.FILTER(T[کالا], T[نوع عملیات]="خرید"), _xlfn._xlws.FILTER(T[فروشنده / مشتری], T[نوع عملیات]="خرید")), "")</f>
        <v>عبدل آباد</v>
      </c>
    </row>
    <row r="820" spans="2:17" ht="16.5" hidden="1" x14ac:dyDescent="0.75">
      <c r="B820" s="227">
        <v>4</v>
      </c>
      <c r="C820" s="150">
        <v>4</v>
      </c>
      <c r="D820" s="150">
        <v>12</v>
      </c>
      <c r="E820" s="150"/>
      <c r="F820" s="151" t="s">
        <v>167</v>
      </c>
      <c r="G820" s="244" t="s">
        <v>549</v>
      </c>
      <c r="H820" s="247" t="s">
        <v>211</v>
      </c>
      <c r="I820" s="162"/>
      <c r="J820" s="251">
        <v>1</v>
      </c>
      <c r="K820" s="254">
        <v>1200000</v>
      </c>
      <c r="L820" s="255">
        <f t="shared" si="54"/>
        <v>1200000</v>
      </c>
      <c r="M820" s="257">
        <v>1200000</v>
      </c>
      <c r="N820" s="262" t="s">
        <v>299</v>
      </c>
      <c r="O82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700000</v>
      </c>
      <c r="P820" s="262"/>
      <c r="Q820" s="264" t="str" cm="1">
        <f t="array" ref="Q820">IF(T[[#This Row],[نوع عملیات]]="فروش", _xlfn.XLOOKUP(T[[#This Row],[کالا]], _xlfn._xlws.FILTER(T[کالا], T[نوع عملیات]="خرید"), _xlfn._xlws.FILTER(T[فروشنده / مشتری], T[نوع عملیات]="خرید")), "")</f>
        <v>سرای ملی</v>
      </c>
    </row>
    <row r="821" spans="2:17" ht="16.5" hidden="1" x14ac:dyDescent="0.75">
      <c r="B821" s="227">
        <v>4</v>
      </c>
      <c r="C821" s="150">
        <v>4</v>
      </c>
      <c r="D821" s="150">
        <v>12</v>
      </c>
      <c r="E821" s="150"/>
      <c r="F821" s="151" t="s">
        <v>167</v>
      </c>
      <c r="G821" s="244" t="s">
        <v>540</v>
      </c>
      <c r="H821" s="247" t="s">
        <v>211</v>
      </c>
      <c r="I821" s="162"/>
      <c r="J821" s="251">
        <v>1</v>
      </c>
      <c r="K821" s="254">
        <v>1100000</v>
      </c>
      <c r="L821" s="255">
        <f t="shared" si="54"/>
        <v>1100000</v>
      </c>
      <c r="M821" s="257"/>
      <c r="N821" s="262"/>
      <c r="O82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468947.36842105258</v>
      </c>
      <c r="P821" s="262"/>
      <c r="Q821" s="264" t="str" cm="1">
        <f t="array" ref="Q821">IF(T[[#This Row],[نوع عملیات]]="فروش", _xlfn.XLOOKUP(T[[#This Row],[کالا]], _xlfn._xlws.FILTER(T[کالا], T[نوع عملیات]="خرید"), _xlfn._xlws.FILTER(T[فروشنده / مشتری], T[نوع عملیات]="خرید")), "")</f>
        <v>بازار پارسیان</v>
      </c>
    </row>
    <row r="822" spans="2:17" ht="16.5" hidden="1" x14ac:dyDescent="0.75">
      <c r="B822" s="227">
        <v>4</v>
      </c>
      <c r="C822" s="150">
        <v>4</v>
      </c>
      <c r="D822" s="150">
        <v>12</v>
      </c>
      <c r="E822" s="150"/>
      <c r="F822" s="151" t="s">
        <v>167</v>
      </c>
      <c r="G822" s="244" t="s">
        <v>562</v>
      </c>
      <c r="H822" s="247" t="s">
        <v>211</v>
      </c>
      <c r="I822" s="162"/>
      <c r="J822" s="251">
        <v>1</v>
      </c>
      <c r="K822" s="254">
        <v>1200000</v>
      </c>
      <c r="L822" s="255">
        <f t="shared" si="54"/>
        <v>1200000</v>
      </c>
      <c r="M822" s="257"/>
      <c r="N822" s="262"/>
      <c r="O82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704285.71428571432</v>
      </c>
      <c r="P822" s="262"/>
      <c r="Q822" s="264" t="str" cm="1">
        <f t="array" ref="Q822">IF(T[[#This Row],[نوع عملیات]]="فروش", _xlfn.XLOOKUP(T[[#This Row],[کالا]], _xlfn._xlws.FILTER(T[کالا], T[نوع عملیات]="خرید"), _xlfn._xlws.FILTER(T[فروشنده / مشتری], T[نوع عملیات]="خرید")), "")</f>
        <v>بازار پارسیان</v>
      </c>
    </row>
    <row r="823" spans="2:17" ht="16.5" hidden="1" x14ac:dyDescent="0.75">
      <c r="B823" s="227">
        <v>4</v>
      </c>
      <c r="C823" s="150">
        <v>4</v>
      </c>
      <c r="D823" s="150">
        <v>12</v>
      </c>
      <c r="E823" s="150"/>
      <c r="F823" s="151" t="s">
        <v>167</v>
      </c>
      <c r="G823" s="244" t="s">
        <v>368</v>
      </c>
      <c r="H823" s="247" t="s">
        <v>211</v>
      </c>
      <c r="I823" s="162"/>
      <c r="J823" s="251">
        <v>1</v>
      </c>
      <c r="K823" s="254">
        <v>400000</v>
      </c>
      <c r="L823" s="255">
        <f t="shared" si="54"/>
        <v>400000</v>
      </c>
      <c r="M823" s="257">
        <v>2700000</v>
      </c>
      <c r="N823" s="262" t="s">
        <v>299</v>
      </c>
      <c r="O82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823" s="262"/>
      <c r="Q823" s="264" t="str" cm="1">
        <f t="array" ref="Q823">IF(T[[#This Row],[نوع عملیات]]="فروش", _xlfn.XLOOKUP(T[[#This Row],[کالا]], _xlfn._xlws.FILTER(T[کالا], T[نوع عملیات]="خرید"), _xlfn._xlws.FILTER(T[فروشنده / مشتری], T[نوع عملیات]="خرید")), "")</f>
        <v>بازار</v>
      </c>
    </row>
    <row r="824" spans="2:17" ht="16.5" hidden="1" x14ac:dyDescent="0.75">
      <c r="B824" s="227">
        <v>4</v>
      </c>
      <c r="C824" s="150">
        <v>4</v>
      </c>
      <c r="D824" s="150">
        <v>12</v>
      </c>
      <c r="E824" s="150"/>
      <c r="F824" s="151" t="s">
        <v>167</v>
      </c>
      <c r="G824" s="244" t="s">
        <v>601</v>
      </c>
      <c r="H824" s="247" t="s">
        <v>619</v>
      </c>
      <c r="I824" s="162"/>
      <c r="J824" s="251">
        <v>1</v>
      </c>
      <c r="K824" s="254">
        <v>500000</v>
      </c>
      <c r="L824" s="255">
        <f t="shared" si="54"/>
        <v>500000</v>
      </c>
      <c r="M824" s="257"/>
      <c r="N824" s="262"/>
      <c r="O82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824" s="262"/>
      <c r="Q824" s="264" t="str" cm="1">
        <f t="array" ref="Q824">IF(T[[#This Row],[نوع عملیات]]="فروش", _xlfn.XLOOKUP(T[[#This Row],[کالا]], _xlfn._xlws.FILTER(T[کالا], T[نوع عملیات]="خرید"), _xlfn._xlws.FILTER(T[فروشنده / مشتری], T[نوع عملیات]="خرید")), "")</f>
        <v>عبدل آباد</v>
      </c>
    </row>
    <row r="825" spans="2:17" ht="16.5" hidden="1" x14ac:dyDescent="0.75">
      <c r="B825" s="227">
        <v>4</v>
      </c>
      <c r="C825" s="150">
        <v>4</v>
      </c>
      <c r="D825" s="150">
        <v>13</v>
      </c>
      <c r="E825" s="150"/>
      <c r="F825" s="151" t="s">
        <v>302</v>
      </c>
      <c r="G825" s="244"/>
      <c r="H825" s="247" t="s">
        <v>419</v>
      </c>
      <c r="I825" s="162"/>
      <c r="J825" s="251"/>
      <c r="K825" s="254"/>
      <c r="L825" s="255">
        <f t="shared" si="54"/>
        <v>0</v>
      </c>
      <c r="M825" s="257">
        <v>2000000</v>
      </c>
      <c r="N825" s="262" t="s">
        <v>611</v>
      </c>
      <c r="O82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25" s="262"/>
      <c r="Q825" s="264" t="str" cm="1">
        <f t="array" ref="Q825">IF(T[[#This Row],[نوع عملیات]]="فروش", _xlfn.XLOOKUP(T[[#This Row],[کالا]], _xlfn._xlws.FILTER(T[کالا], T[نوع عملیات]="خرید"), _xlfn._xlws.FILTER(T[فروشنده / مشتری], T[نوع عملیات]="خرید")), "")</f>
        <v/>
      </c>
    </row>
    <row r="826" spans="2:17" ht="16.5" hidden="1" x14ac:dyDescent="0.75">
      <c r="B826" s="227">
        <v>4</v>
      </c>
      <c r="C826" s="150">
        <v>4</v>
      </c>
      <c r="D826" s="150">
        <v>13</v>
      </c>
      <c r="E826" s="150"/>
      <c r="F826" s="151" t="s">
        <v>302</v>
      </c>
      <c r="G826" s="244"/>
      <c r="H826" s="247" t="s">
        <v>618</v>
      </c>
      <c r="I826" s="162"/>
      <c r="J826" s="251"/>
      <c r="K826" s="254"/>
      <c r="L826" s="255">
        <f t="shared" si="54"/>
        <v>0</v>
      </c>
      <c r="M826" s="257">
        <v>5000000</v>
      </c>
      <c r="N826" s="262" t="s">
        <v>611</v>
      </c>
      <c r="O82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26" s="262"/>
      <c r="Q826" s="264" t="str" cm="1">
        <f t="array" ref="Q826">IF(T[[#This Row],[نوع عملیات]]="فروش", _xlfn.XLOOKUP(T[[#This Row],[کالا]], _xlfn._xlws.FILTER(T[کالا], T[نوع عملیات]="خرید"), _xlfn._xlws.FILTER(T[فروشنده / مشتری], T[نوع عملیات]="خرید")), "")</f>
        <v/>
      </c>
    </row>
    <row r="827" spans="2:17" ht="16.5" hidden="1" x14ac:dyDescent="0.75">
      <c r="B827" s="227">
        <v>4</v>
      </c>
      <c r="C827" s="150">
        <v>4</v>
      </c>
      <c r="D827" s="150">
        <v>16</v>
      </c>
      <c r="E827" s="150"/>
      <c r="F827" s="151" t="s">
        <v>167</v>
      </c>
      <c r="G827" s="244" t="s">
        <v>563</v>
      </c>
      <c r="H827" s="247" t="s">
        <v>612</v>
      </c>
      <c r="I827" s="162"/>
      <c r="J827" s="251">
        <v>1</v>
      </c>
      <c r="K827" s="254">
        <v>270000</v>
      </c>
      <c r="L827" s="255">
        <f t="shared" ref="L827:L1226" si="55">J827*K827</f>
        <v>270000</v>
      </c>
      <c r="M827" s="257"/>
      <c r="N827" s="262"/>
      <c r="O82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72000</v>
      </c>
      <c r="P827" s="262"/>
      <c r="Q827" s="264" t="str" cm="1">
        <f t="array" ref="Q827">IF(T[[#This Row],[نوع عملیات]]="فروش", _xlfn.XLOOKUP(T[[#This Row],[کالا]], _xlfn._xlws.FILTER(T[کالا], T[نوع عملیات]="خرید"), _xlfn._xlws.FILTER(T[فروشنده / مشتری], T[نوع عملیات]="خرید")), "")</f>
        <v>عبدل آباد</v>
      </c>
    </row>
    <row r="828" spans="2:17" ht="16.5" hidden="1" x14ac:dyDescent="0.75">
      <c r="B828" s="227">
        <v>4</v>
      </c>
      <c r="C828" s="150">
        <v>4</v>
      </c>
      <c r="D828" s="150">
        <v>16</v>
      </c>
      <c r="E828" s="150"/>
      <c r="F828" s="151" t="s">
        <v>167</v>
      </c>
      <c r="G828" s="244" t="s">
        <v>274</v>
      </c>
      <c r="H828" s="247" t="s">
        <v>612</v>
      </c>
      <c r="I828" s="162"/>
      <c r="J828" s="251">
        <v>1</v>
      </c>
      <c r="K828" s="254">
        <v>250000</v>
      </c>
      <c r="L828" s="255">
        <f t="shared" si="55"/>
        <v>250000</v>
      </c>
      <c r="M828" s="257"/>
      <c r="N828" s="262"/>
      <c r="O82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195714.28571428571</v>
      </c>
      <c r="P828" s="262"/>
      <c r="Q828" s="264" t="str" cm="1">
        <f t="array" ref="Q828">IF(T[[#This Row],[نوع عملیات]]="فروش", _xlfn.XLOOKUP(T[[#This Row],[کالا]], _xlfn._xlws.FILTER(T[کالا], T[نوع عملیات]="خرید"), _xlfn._xlws.FILTER(T[فروشنده / مشتری], T[نوع عملیات]="خرید")), "")</f>
        <v>بازار</v>
      </c>
    </row>
    <row r="829" spans="2:17" ht="16.5" hidden="1" x14ac:dyDescent="0.75">
      <c r="B829" s="227">
        <v>4</v>
      </c>
      <c r="C829" s="150">
        <v>4</v>
      </c>
      <c r="D829" s="150">
        <v>16</v>
      </c>
      <c r="E829" s="150"/>
      <c r="F829" s="151" t="s">
        <v>167</v>
      </c>
      <c r="G829" s="244" t="s">
        <v>605</v>
      </c>
      <c r="H829" s="247" t="s">
        <v>612</v>
      </c>
      <c r="I829" s="162"/>
      <c r="J829" s="251">
        <v>1</v>
      </c>
      <c r="K829" s="254">
        <v>350000</v>
      </c>
      <c r="L829" s="255">
        <f t="shared" si="55"/>
        <v>350000</v>
      </c>
      <c r="M829" s="257"/>
      <c r="N829" s="262"/>
      <c r="O82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29" s="262"/>
      <c r="Q829" s="264" t="str" cm="1">
        <f t="array" ref="Q829">IF(T[[#This Row],[نوع عملیات]]="فروش", _xlfn.XLOOKUP(T[[#This Row],[کالا]], _xlfn._xlws.FILTER(T[کالا], T[نوع عملیات]="خرید"), _xlfn._xlws.FILTER(T[فروشنده / مشتری], T[نوع عملیات]="خرید")), "")</f>
        <v>هستی هنگامه</v>
      </c>
    </row>
    <row r="830" spans="2:17" ht="16.5" hidden="1" x14ac:dyDescent="0.75">
      <c r="B830" s="227">
        <v>4</v>
      </c>
      <c r="C830" s="150">
        <v>4</v>
      </c>
      <c r="D830" s="150">
        <v>16</v>
      </c>
      <c r="E830" s="150"/>
      <c r="F830" s="151" t="s">
        <v>302</v>
      </c>
      <c r="G830" s="244"/>
      <c r="H830" s="247" t="s">
        <v>480</v>
      </c>
      <c r="I830" s="162"/>
      <c r="J830" s="251"/>
      <c r="K830" s="254"/>
      <c r="L830" s="255">
        <f t="shared" si="55"/>
        <v>0</v>
      </c>
      <c r="M830" s="257">
        <v>4000000</v>
      </c>
      <c r="N830" s="262" t="s">
        <v>611</v>
      </c>
      <c r="O83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30" s="262"/>
      <c r="Q830" s="264" t="str" cm="1">
        <f t="array" ref="Q830">IF(T[[#This Row],[نوع عملیات]]="فروش", _xlfn.XLOOKUP(T[[#This Row],[کالا]], _xlfn._xlws.FILTER(T[کالا], T[نوع عملیات]="خرید"), _xlfn._xlws.FILTER(T[فروشنده / مشتری], T[نوع عملیات]="خرید")), "")</f>
        <v/>
      </c>
    </row>
    <row r="831" spans="2:17" ht="16.5" hidden="1" x14ac:dyDescent="0.75">
      <c r="B831" s="227">
        <v>4</v>
      </c>
      <c r="C831" s="150">
        <v>4</v>
      </c>
      <c r="D831" s="150">
        <v>16</v>
      </c>
      <c r="E831" s="150"/>
      <c r="F831" s="151" t="s">
        <v>302</v>
      </c>
      <c r="G831" s="244"/>
      <c r="H831" s="247" t="s">
        <v>604</v>
      </c>
      <c r="I831" s="162"/>
      <c r="J831" s="251"/>
      <c r="K831" s="254"/>
      <c r="L831" s="255">
        <f t="shared" si="55"/>
        <v>0</v>
      </c>
      <c r="M831" s="257">
        <v>2200000</v>
      </c>
      <c r="N831" s="262" t="s">
        <v>299</v>
      </c>
      <c r="O83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31" s="262"/>
      <c r="Q831" s="264" t="str" cm="1">
        <f t="array" ref="Q831">IF(T[[#This Row],[نوع عملیات]]="فروش", _xlfn.XLOOKUP(T[[#This Row],[کالا]], _xlfn._xlws.FILTER(T[کالا], T[نوع عملیات]="خرید"), _xlfn._xlws.FILTER(T[فروشنده / مشتری], T[نوع عملیات]="خرید")), "")</f>
        <v/>
      </c>
    </row>
    <row r="832" spans="2:17" ht="16.5" hidden="1" x14ac:dyDescent="0.75">
      <c r="B832" s="227">
        <v>4</v>
      </c>
      <c r="C832" s="150">
        <v>4</v>
      </c>
      <c r="D832" s="150">
        <v>17</v>
      </c>
      <c r="E832" s="150"/>
      <c r="F832" s="151" t="s">
        <v>302</v>
      </c>
      <c r="G832" s="244"/>
      <c r="H832" s="247" t="s">
        <v>517</v>
      </c>
      <c r="I832" s="162"/>
      <c r="J832" s="251"/>
      <c r="K832" s="254"/>
      <c r="L832" s="255">
        <f t="shared" si="55"/>
        <v>0</v>
      </c>
      <c r="M832" s="257">
        <v>5000000</v>
      </c>
      <c r="N832" s="262" t="s">
        <v>611</v>
      </c>
      <c r="O83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32" s="262"/>
      <c r="Q832" s="264" t="str" cm="1">
        <f t="array" ref="Q832">IF(T[[#This Row],[نوع عملیات]]="فروش", _xlfn.XLOOKUP(T[[#This Row],[کالا]], _xlfn._xlws.FILTER(T[کالا], T[نوع عملیات]="خرید"), _xlfn._xlws.FILTER(T[فروشنده / مشتری], T[نوع عملیات]="خرید")), "")</f>
        <v/>
      </c>
    </row>
    <row r="833" spans="2:17" ht="16.5" hidden="1" x14ac:dyDescent="0.75">
      <c r="B833" s="227">
        <v>4</v>
      </c>
      <c r="C833" s="150">
        <v>4</v>
      </c>
      <c r="D833" s="150">
        <v>17</v>
      </c>
      <c r="E833" s="150"/>
      <c r="F833" s="151" t="s">
        <v>167</v>
      </c>
      <c r="G833" s="244" t="s">
        <v>546</v>
      </c>
      <c r="H833" s="247" t="s">
        <v>624</v>
      </c>
      <c r="I833" s="162"/>
      <c r="J833" s="251">
        <v>1</v>
      </c>
      <c r="K833" s="254">
        <v>1850000</v>
      </c>
      <c r="L833" s="255">
        <f t="shared" si="55"/>
        <v>1850000</v>
      </c>
      <c r="M833" s="257"/>
      <c r="N833" s="262"/>
      <c r="O83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750000</v>
      </c>
      <c r="P833" s="262"/>
      <c r="Q833" s="264" t="str" cm="1">
        <f t="array" ref="Q833">IF(T[[#This Row],[نوع عملیات]]="فروش", _xlfn.XLOOKUP(T[[#This Row],[کالا]], _xlfn._xlws.FILTER(T[کالا], T[نوع عملیات]="خرید"), _xlfn._xlws.FILTER(T[فروشنده / مشتری], T[نوع عملیات]="خرید")), "")</f>
        <v>بازار پارسیان</v>
      </c>
    </row>
    <row r="834" spans="2:17" ht="16.5" hidden="1" x14ac:dyDescent="0.75">
      <c r="B834" s="227">
        <v>4</v>
      </c>
      <c r="C834" s="150">
        <v>4</v>
      </c>
      <c r="D834" s="150">
        <v>17</v>
      </c>
      <c r="E834" s="150"/>
      <c r="F834" s="151" t="s">
        <v>167</v>
      </c>
      <c r="G834" s="244" t="s">
        <v>544</v>
      </c>
      <c r="H834" s="247" t="s">
        <v>211</v>
      </c>
      <c r="I834" s="162"/>
      <c r="J834" s="251">
        <v>1</v>
      </c>
      <c r="K834" s="254">
        <v>2500000</v>
      </c>
      <c r="L834" s="255">
        <f t="shared" si="55"/>
        <v>2500000</v>
      </c>
      <c r="M834" s="257"/>
      <c r="N834" s="262"/>
      <c r="O83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1502500</v>
      </c>
      <c r="P834" s="262"/>
      <c r="Q834" s="264" t="str" cm="1">
        <f t="array" ref="Q834">IF(T[[#This Row],[نوع عملیات]]="فروش", _xlfn.XLOOKUP(T[[#This Row],[کالا]], _xlfn._xlws.FILTER(T[کالا], T[نوع عملیات]="خرید"), _xlfn._xlws.FILTER(T[فروشنده / مشتری], T[نوع عملیات]="خرید")), "")</f>
        <v>بازار پارسیان</v>
      </c>
    </row>
    <row r="835" spans="2:17" ht="16.5" hidden="1" x14ac:dyDescent="0.75">
      <c r="B835" s="227">
        <v>4</v>
      </c>
      <c r="C835" s="150">
        <v>4</v>
      </c>
      <c r="D835" s="150">
        <v>17</v>
      </c>
      <c r="E835" s="150"/>
      <c r="F835" s="151" t="s">
        <v>167</v>
      </c>
      <c r="G835" s="244" t="s">
        <v>549</v>
      </c>
      <c r="H835" s="247" t="s">
        <v>211</v>
      </c>
      <c r="I835" s="162"/>
      <c r="J835" s="251">
        <v>1</v>
      </c>
      <c r="K835" s="254">
        <v>1100000</v>
      </c>
      <c r="L835" s="255">
        <f t="shared" si="55"/>
        <v>1100000</v>
      </c>
      <c r="M835" s="257"/>
      <c r="N835" s="262"/>
      <c r="O83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600000</v>
      </c>
      <c r="P835" s="262"/>
      <c r="Q835" s="264" t="str" cm="1">
        <f t="array" ref="Q835">IF(T[[#This Row],[نوع عملیات]]="فروش", _xlfn.XLOOKUP(T[[#This Row],[کالا]], _xlfn._xlws.FILTER(T[کالا], T[نوع عملیات]="خرید"), _xlfn._xlws.FILTER(T[فروشنده / مشتری], T[نوع عملیات]="خرید")), "")</f>
        <v>سرای ملی</v>
      </c>
    </row>
    <row r="836" spans="2:17" ht="16.5" hidden="1" x14ac:dyDescent="0.75">
      <c r="B836" s="227">
        <v>4</v>
      </c>
      <c r="C836" s="150">
        <v>4</v>
      </c>
      <c r="D836" s="150">
        <v>17</v>
      </c>
      <c r="E836" s="150"/>
      <c r="F836" s="151" t="s">
        <v>167</v>
      </c>
      <c r="G836" s="244" t="s">
        <v>563</v>
      </c>
      <c r="H836" s="247" t="s">
        <v>211</v>
      </c>
      <c r="I836" s="162"/>
      <c r="J836" s="251">
        <v>1</v>
      </c>
      <c r="K836" s="254">
        <v>300000</v>
      </c>
      <c r="L836" s="255">
        <f t="shared" si="55"/>
        <v>300000</v>
      </c>
      <c r="M836" s="257">
        <v>3900000</v>
      </c>
      <c r="N836" s="262" t="s">
        <v>299</v>
      </c>
      <c r="O83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102000</v>
      </c>
      <c r="P836" s="262"/>
      <c r="Q836" s="264" t="str" cm="1">
        <f t="array" ref="Q836">IF(T[[#This Row],[نوع عملیات]]="فروش", _xlfn.XLOOKUP(T[[#This Row],[کالا]], _xlfn._xlws.FILTER(T[کالا], T[نوع عملیات]="خرید"), _xlfn._xlws.FILTER(T[فروشنده / مشتری], T[نوع عملیات]="خرید")), "")</f>
        <v>عبدل آباد</v>
      </c>
    </row>
    <row r="837" spans="2:17" ht="16.5" hidden="1" x14ac:dyDescent="0.75">
      <c r="B837" s="227">
        <v>4</v>
      </c>
      <c r="C837" s="150">
        <v>4</v>
      </c>
      <c r="D837" s="150">
        <v>17</v>
      </c>
      <c r="E837" s="150"/>
      <c r="F837" s="151" t="s">
        <v>302</v>
      </c>
      <c r="G837" s="244"/>
      <c r="H837" s="247" t="s">
        <v>429</v>
      </c>
      <c r="I837" s="162"/>
      <c r="J837" s="251"/>
      <c r="K837" s="254"/>
      <c r="L837" s="255">
        <f t="shared" si="55"/>
        <v>0</v>
      </c>
      <c r="M837" s="257">
        <v>1000000</v>
      </c>
      <c r="N837" s="262" t="s">
        <v>216</v>
      </c>
      <c r="O83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37" s="262"/>
      <c r="Q837" s="264" t="str" cm="1">
        <f t="array" ref="Q837">IF(T[[#This Row],[نوع عملیات]]="فروش", _xlfn.XLOOKUP(T[[#This Row],[کالا]], _xlfn._xlws.FILTER(T[کالا], T[نوع عملیات]="خرید"), _xlfn._xlws.FILTER(T[فروشنده / مشتری], T[نوع عملیات]="خرید")), "")</f>
        <v/>
      </c>
    </row>
    <row r="838" spans="2:17" ht="16.5" hidden="1" x14ac:dyDescent="0.75">
      <c r="B838" s="227">
        <v>4</v>
      </c>
      <c r="C838" s="150">
        <v>4</v>
      </c>
      <c r="D838" s="150">
        <v>19</v>
      </c>
      <c r="E838" s="150" t="str">
        <f>CHOOSE(C838, "فروردین", "اردیبهشت", "خرداد", "تیر", "مرداد", "شهریور", "مهر", "آبان", "آذر", "دی", "بهمن", "اسفند")</f>
        <v>تیر</v>
      </c>
      <c r="F838" s="151" t="s">
        <v>302</v>
      </c>
      <c r="G838" s="244"/>
      <c r="H838" s="247" t="s">
        <v>690</v>
      </c>
      <c r="I838" s="162"/>
      <c r="J838" s="251"/>
      <c r="K838" s="254"/>
      <c r="L838" s="255">
        <f>J838*K838</f>
        <v>0</v>
      </c>
      <c r="M838" s="257">
        <v>1000000</v>
      </c>
      <c r="N838" s="262" t="s">
        <v>346</v>
      </c>
      <c r="O83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38" s="262"/>
      <c r="Q838" s="264" t="str" cm="1">
        <f t="array" ref="Q838">IF(T[[#This Row],[نوع عملیات]]="فروش", _xlfn.XLOOKUP(T[[#This Row],[کالا]], _xlfn._xlws.FILTER(T[کالا], T[نوع عملیات]="خرید"), _xlfn._xlws.FILTER(T[فروشنده / مشتری], T[نوع عملیات]="خرید")), "")</f>
        <v/>
      </c>
    </row>
    <row r="839" spans="2:17" ht="16.5" hidden="1" x14ac:dyDescent="0.75">
      <c r="B839" s="227">
        <v>4</v>
      </c>
      <c r="C839" s="150">
        <v>4</v>
      </c>
      <c r="D839" s="150">
        <v>20</v>
      </c>
      <c r="E839" s="150"/>
      <c r="F839" s="151" t="s">
        <v>302</v>
      </c>
      <c r="G839" s="244"/>
      <c r="H839" s="247" t="s">
        <v>582</v>
      </c>
      <c r="I839" s="162"/>
      <c r="J839" s="251"/>
      <c r="K839" s="254"/>
      <c r="L839" s="255">
        <f t="shared" ref="L839:L924" si="56">J839*K839</f>
        <v>0</v>
      </c>
      <c r="M839" s="257">
        <v>800000</v>
      </c>
      <c r="N839" s="262" t="s">
        <v>611</v>
      </c>
      <c r="O83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39" s="262"/>
      <c r="Q839" s="264" t="str" cm="1">
        <f t="array" ref="Q839">IF(T[[#This Row],[نوع عملیات]]="فروش", _xlfn.XLOOKUP(T[[#This Row],[کالا]], _xlfn._xlws.FILTER(T[کالا], T[نوع عملیات]="خرید"), _xlfn._xlws.FILTER(T[فروشنده / مشتری], T[نوع عملیات]="خرید")), "")</f>
        <v/>
      </c>
    </row>
    <row r="840" spans="2:17" ht="16.5" hidden="1" x14ac:dyDescent="0.75">
      <c r="B840" s="227">
        <v>4</v>
      </c>
      <c r="C840" s="150">
        <v>4</v>
      </c>
      <c r="D840" s="150">
        <v>20</v>
      </c>
      <c r="E840" s="150"/>
      <c r="F840" s="151" t="s">
        <v>302</v>
      </c>
      <c r="G840" s="244"/>
      <c r="H840" s="247" t="s">
        <v>583</v>
      </c>
      <c r="I840" s="162"/>
      <c r="J840" s="251"/>
      <c r="K840" s="254"/>
      <c r="L840" s="255">
        <f t="shared" si="56"/>
        <v>0</v>
      </c>
      <c r="M840" s="257">
        <v>1400000</v>
      </c>
      <c r="N840" s="262" t="s">
        <v>611</v>
      </c>
      <c r="O8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40" s="262"/>
      <c r="Q840" s="264" t="str" cm="1">
        <f t="array" ref="Q840">IF(T[[#This Row],[نوع عملیات]]="فروش", _xlfn.XLOOKUP(T[[#This Row],[کالا]], _xlfn._xlws.FILTER(T[کالا], T[نوع عملیات]="خرید"), _xlfn._xlws.FILTER(T[فروشنده / مشتری], T[نوع عملیات]="خرید")), "")</f>
        <v/>
      </c>
    </row>
    <row r="841" spans="2:17" ht="16.5" hidden="1" x14ac:dyDescent="0.75">
      <c r="B841" s="227">
        <v>4</v>
      </c>
      <c r="C841" s="150">
        <v>4</v>
      </c>
      <c r="D841" s="150">
        <v>26</v>
      </c>
      <c r="E841" s="150"/>
      <c r="F841" s="151" t="s">
        <v>167</v>
      </c>
      <c r="G841" s="244" t="s">
        <v>486</v>
      </c>
      <c r="H841" s="247" t="s">
        <v>614</v>
      </c>
      <c r="I841" s="162"/>
      <c r="J841" s="251">
        <v>2</v>
      </c>
      <c r="K841" s="254">
        <v>2500000</v>
      </c>
      <c r="L841" s="255">
        <f t="shared" si="56"/>
        <v>5000000</v>
      </c>
      <c r="M841" s="257"/>
      <c r="N841" s="262"/>
      <c r="O84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1902500</v>
      </c>
      <c r="P841" s="262"/>
      <c r="Q841" s="264" t="str" cm="1">
        <f t="array" ref="Q841">IF(T[[#This Row],[نوع عملیات]]="فروش", _xlfn.XLOOKUP(T[[#This Row],[کالا]], _xlfn._xlws.FILTER(T[کالا], T[نوع عملیات]="خرید"), _xlfn._xlws.FILTER(T[فروشنده / مشتری], T[نوع عملیات]="خرید")), "")</f>
        <v>عبدل آباد</v>
      </c>
    </row>
    <row r="842" spans="2:17" ht="16.5" hidden="1" x14ac:dyDescent="0.75">
      <c r="B842" s="227">
        <v>4</v>
      </c>
      <c r="C842" s="150">
        <v>4</v>
      </c>
      <c r="D842" s="150">
        <v>26</v>
      </c>
      <c r="E842" s="150"/>
      <c r="F842" s="151" t="s">
        <v>167</v>
      </c>
      <c r="G842" s="244" t="s">
        <v>469</v>
      </c>
      <c r="H842" s="247" t="s">
        <v>616</v>
      </c>
      <c r="I842" s="162"/>
      <c r="J842" s="251">
        <v>1</v>
      </c>
      <c r="K842" s="254">
        <v>1200000</v>
      </c>
      <c r="L842" s="255">
        <f t="shared" si="56"/>
        <v>1200000</v>
      </c>
      <c r="M842" s="257"/>
      <c r="N842" s="262"/>
      <c r="O84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603333.33333333337</v>
      </c>
      <c r="P842" s="262"/>
      <c r="Q842" s="264" t="str" cm="1">
        <f t="array" ref="Q842">IF(T[[#This Row],[نوع عملیات]]="فروش", _xlfn.XLOOKUP(T[[#This Row],[کالا]], _xlfn._xlws.FILTER(T[کالا], T[نوع عملیات]="خرید"), _xlfn._xlws.FILTER(T[فروشنده / مشتری], T[نوع عملیات]="خرید")), "")</f>
        <v>سرای ملی</v>
      </c>
    </row>
    <row r="843" spans="2:17" ht="16.5" x14ac:dyDescent="0.75">
      <c r="B843" s="227">
        <v>4</v>
      </c>
      <c r="C843" s="150">
        <v>4</v>
      </c>
      <c r="D843" s="150">
        <v>27</v>
      </c>
      <c r="E843" s="150" t="str">
        <f t="shared" ref="E843:E850" si="57">CHOOSE(C843, "فروردین", "اردیبهشت", "خرداد", "تیر", "مرداد", "شهریور", "مهر", "آبان", "آذر", "دی", "بهمن", "اسفند")</f>
        <v>تیر</v>
      </c>
      <c r="F843" s="151" t="s">
        <v>168</v>
      </c>
      <c r="G843" s="244" t="s">
        <v>627</v>
      </c>
      <c r="H843" s="247" t="s">
        <v>390</v>
      </c>
      <c r="I843" s="162" t="s">
        <v>626</v>
      </c>
      <c r="J843" s="251">
        <v>1</v>
      </c>
      <c r="K843" s="254">
        <v>2000000</v>
      </c>
      <c r="L843" s="255">
        <f t="shared" ref="L843:L850" si="58">J843*K843</f>
        <v>2000000</v>
      </c>
      <c r="M843" s="257"/>
      <c r="N843" s="262"/>
      <c r="O84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43" s="262"/>
      <c r="Q843" s="264" t="str" cm="1">
        <f t="array" ref="Q843">IF(T[[#This Row],[نوع عملیات]]="فروش", _xlfn.XLOOKUP(T[[#This Row],[کالا]], _xlfn._xlws.FILTER(T[کالا], T[نوع عملیات]="خرید"), _xlfn._xlws.FILTER(T[فروشنده / مشتری], T[نوع عملیات]="خرید")), "")</f>
        <v/>
      </c>
    </row>
    <row r="844" spans="2:17" ht="16.5" x14ac:dyDescent="0.75">
      <c r="B844" s="227">
        <v>4</v>
      </c>
      <c r="C844" s="150">
        <v>4</v>
      </c>
      <c r="D844" s="150">
        <v>27</v>
      </c>
      <c r="E844" s="150" t="str">
        <f t="shared" si="57"/>
        <v>تیر</v>
      </c>
      <c r="F844" s="151" t="s">
        <v>168</v>
      </c>
      <c r="G844" s="244" t="s">
        <v>625</v>
      </c>
      <c r="H844" s="247" t="s">
        <v>390</v>
      </c>
      <c r="I844" s="162" t="s">
        <v>626</v>
      </c>
      <c r="J844" s="251">
        <v>1</v>
      </c>
      <c r="K844" s="254">
        <v>2600000</v>
      </c>
      <c r="L844" s="255">
        <f t="shared" si="58"/>
        <v>2600000</v>
      </c>
      <c r="M844" s="257">
        <v>41600000</v>
      </c>
      <c r="N844" s="262" t="s">
        <v>611</v>
      </c>
      <c r="O84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44" s="262"/>
      <c r="Q844" s="264" t="str" cm="1">
        <f t="array" ref="Q844">IF(T[[#This Row],[نوع عملیات]]="فروش", _xlfn.XLOOKUP(T[[#This Row],[کالا]], _xlfn._xlws.FILTER(T[کالا], T[نوع عملیات]="خرید"), _xlfn._xlws.FILTER(T[فروشنده / مشتری], T[نوع عملیات]="خرید")), "")</f>
        <v/>
      </c>
    </row>
    <row r="845" spans="2:17" ht="16.5" x14ac:dyDescent="0.75">
      <c r="B845" s="227">
        <v>4</v>
      </c>
      <c r="C845" s="150">
        <v>4</v>
      </c>
      <c r="D845" s="150">
        <v>27</v>
      </c>
      <c r="E845" s="150" t="str">
        <f t="shared" si="57"/>
        <v>تیر</v>
      </c>
      <c r="F845" s="151" t="s">
        <v>168</v>
      </c>
      <c r="G845" s="244" t="s">
        <v>620</v>
      </c>
      <c r="H845" s="247" t="s">
        <v>390</v>
      </c>
      <c r="I845" s="162" t="s">
        <v>626</v>
      </c>
      <c r="J845" s="251">
        <v>5</v>
      </c>
      <c r="K845" s="254">
        <v>722000</v>
      </c>
      <c r="L845" s="255">
        <f t="shared" si="58"/>
        <v>3610000</v>
      </c>
      <c r="M845" s="257"/>
      <c r="N845" s="262"/>
      <c r="O84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45" s="262"/>
      <c r="Q845" s="264" t="str" cm="1">
        <f t="array" ref="Q845">IF(T[[#This Row],[نوع عملیات]]="فروش", _xlfn.XLOOKUP(T[[#This Row],[کالا]], _xlfn._xlws.FILTER(T[کالا], T[نوع عملیات]="خرید"), _xlfn._xlws.FILTER(T[فروشنده / مشتری], T[نوع عملیات]="خرید")), "")</f>
        <v/>
      </c>
    </row>
    <row r="846" spans="2:17" ht="16.5" x14ac:dyDescent="0.75">
      <c r="B846" s="227">
        <v>4</v>
      </c>
      <c r="C846" s="150">
        <v>4</v>
      </c>
      <c r="D846" s="150">
        <v>27</v>
      </c>
      <c r="E846" s="150" t="str">
        <f t="shared" si="57"/>
        <v>تیر</v>
      </c>
      <c r="F846" s="151" t="s">
        <v>168</v>
      </c>
      <c r="G846" s="244" t="s">
        <v>615</v>
      </c>
      <c r="H846" s="247" t="s">
        <v>390</v>
      </c>
      <c r="I846" s="162" t="s">
        <v>626</v>
      </c>
      <c r="J846" s="251">
        <v>3</v>
      </c>
      <c r="K846" s="254">
        <v>780000</v>
      </c>
      <c r="L846" s="255">
        <f t="shared" si="58"/>
        <v>2340000</v>
      </c>
      <c r="M846" s="257">
        <v>5950000</v>
      </c>
      <c r="N846" s="262" t="s">
        <v>611</v>
      </c>
      <c r="O84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46" s="262"/>
      <c r="Q846" s="264" t="str" cm="1">
        <f t="array" ref="Q846">IF(T[[#This Row],[نوع عملیات]]="فروش", _xlfn.XLOOKUP(T[[#This Row],[کالا]], _xlfn._xlws.FILTER(T[کالا], T[نوع عملیات]="خرید"), _xlfn._xlws.FILTER(T[فروشنده / مشتری], T[نوع عملیات]="خرید")), "")</f>
        <v/>
      </c>
    </row>
    <row r="847" spans="2:17" ht="16.5" x14ac:dyDescent="0.75">
      <c r="B847" s="227">
        <v>4</v>
      </c>
      <c r="C847" s="150">
        <v>4</v>
      </c>
      <c r="D847" s="150">
        <v>27</v>
      </c>
      <c r="E847" s="150" t="str">
        <f t="shared" si="57"/>
        <v>تیر</v>
      </c>
      <c r="F847" s="151" t="s">
        <v>168</v>
      </c>
      <c r="G847" s="244" t="s">
        <v>628</v>
      </c>
      <c r="H847" s="247" t="s">
        <v>390</v>
      </c>
      <c r="I847" s="162" t="s">
        <v>626</v>
      </c>
      <c r="J847" s="251">
        <v>3</v>
      </c>
      <c r="K847" s="254">
        <v>390000</v>
      </c>
      <c r="L847" s="255">
        <f t="shared" si="58"/>
        <v>1170000</v>
      </c>
      <c r="M847" s="257">
        <v>1170000</v>
      </c>
      <c r="N847" s="262" t="s">
        <v>611</v>
      </c>
      <c r="O84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47" s="262"/>
      <c r="Q847" s="264" t="str" cm="1">
        <f t="array" ref="Q847">IF(T[[#This Row],[نوع عملیات]]="فروش", _xlfn.XLOOKUP(T[[#This Row],[کالا]], _xlfn._xlws.FILTER(T[کالا], T[نوع عملیات]="خرید"), _xlfn._xlws.FILTER(T[فروشنده / مشتری], T[نوع عملیات]="خرید")), "")</f>
        <v/>
      </c>
    </row>
    <row r="848" spans="2:17" ht="16.5" hidden="1" x14ac:dyDescent="0.75">
      <c r="B848" s="227">
        <v>4</v>
      </c>
      <c r="C848" s="150">
        <v>4</v>
      </c>
      <c r="D848" s="150">
        <v>27</v>
      </c>
      <c r="E848" s="150" t="str">
        <f t="shared" si="57"/>
        <v>تیر</v>
      </c>
      <c r="F848" s="151" t="s">
        <v>302</v>
      </c>
      <c r="G848" s="244"/>
      <c r="H848" s="247" t="s">
        <v>614</v>
      </c>
      <c r="I848" s="162"/>
      <c r="J848" s="251"/>
      <c r="K848" s="254"/>
      <c r="L848" s="255">
        <f t="shared" si="58"/>
        <v>0</v>
      </c>
      <c r="M848" s="257">
        <v>2500000</v>
      </c>
      <c r="N848" s="262" t="s">
        <v>611</v>
      </c>
      <c r="O8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48" s="262"/>
      <c r="Q848" s="264" t="str" cm="1">
        <f t="array" ref="Q848">IF(T[[#This Row],[نوع عملیات]]="فروش", _xlfn.XLOOKUP(T[[#This Row],[کالا]], _xlfn._xlws.FILTER(T[کالا], T[نوع عملیات]="خرید"), _xlfn._xlws.FILTER(T[فروشنده / مشتری], T[نوع عملیات]="خرید")), "")</f>
        <v/>
      </c>
    </row>
    <row r="849" spans="2:17" ht="16.5" hidden="1" x14ac:dyDescent="0.75">
      <c r="B849" s="227"/>
      <c r="C849" s="150"/>
      <c r="D849" s="150"/>
      <c r="E849" s="150" t="e">
        <f t="shared" si="57"/>
        <v>#VALUE!</v>
      </c>
      <c r="F849" s="151"/>
      <c r="G849" s="244"/>
      <c r="H849" s="247"/>
      <c r="I849" s="162"/>
      <c r="J849" s="251"/>
      <c r="K849" s="254"/>
      <c r="L849" s="255">
        <f t="shared" si="58"/>
        <v>0</v>
      </c>
      <c r="M849" s="257"/>
      <c r="N849" s="262"/>
      <c r="O8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49" s="262"/>
      <c r="Q849" s="264" t="str" cm="1">
        <f t="array" ref="Q849">IF(T[[#This Row],[نوع عملیات]]="فروش", _xlfn.XLOOKUP(T[[#This Row],[کالا]], _xlfn._xlws.FILTER(T[کالا], T[نوع عملیات]="خرید"), _xlfn._xlws.FILTER(T[فروشنده / مشتری], T[نوع عملیات]="خرید")), "")</f>
        <v/>
      </c>
    </row>
    <row r="850" spans="2:17" ht="16.5" hidden="1" x14ac:dyDescent="0.75">
      <c r="B850" s="227"/>
      <c r="C850" s="150"/>
      <c r="D850" s="150"/>
      <c r="E850" s="150" t="e">
        <f t="shared" si="57"/>
        <v>#VALUE!</v>
      </c>
      <c r="F850" s="151"/>
      <c r="G850" s="244"/>
      <c r="H850" s="247"/>
      <c r="I850" s="162"/>
      <c r="J850" s="251"/>
      <c r="K850" s="254"/>
      <c r="L850" s="255">
        <f t="shared" si="58"/>
        <v>0</v>
      </c>
      <c r="M850" s="257"/>
      <c r="N850" s="262"/>
      <c r="O85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50" s="262"/>
      <c r="Q850" s="264" t="str" cm="1">
        <f t="array" ref="Q850">IF(T[[#This Row],[نوع عملیات]]="فروش", _xlfn.XLOOKUP(T[[#This Row],[کالا]], _xlfn._xlws.FILTER(T[کالا], T[نوع عملیات]="خرید"), _xlfn._xlws.FILTER(T[فروشنده / مشتری], T[نوع عملیات]="خرید")), "")</f>
        <v/>
      </c>
    </row>
    <row r="851" spans="2:17" ht="16.5" hidden="1" x14ac:dyDescent="0.75">
      <c r="B851" s="227">
        <v>4</v>
      </c>
      <c r="C851" s="150">
        <v>4</v>
      </c>
      <c r="D851" s="150">
        <v>28</v>
      </c>
      <c r="E851" s="150"/>
      <c r="F851" s="151" t="s">
        <v>167</v>
      </c>
      <c r="G851" s="244" t="s">
        <v>457</v>
      </c>
      <c r="H851" s="247" t="s">
        <v>434</v>
      </c>
      <c r="I851" s="162"/>
      <c r="J851" s="251">
        <v>3</v>
      </c>
      <c r="K851" s="254">
        <v>1400000</v>
      </c>
      <c r="L851" s="255">
        <f t="shared" si="56"/>
        <v>4200000</v>
      </c>
      <c r="M851" s="257"/>
      <c r="N851" s="262"/>
      <c r="O8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1240434.7826086953</v>
      </c>
      <c r="P851" s="262"/>
      <c r="Q851" s="264" t="str" cm="1">
        <f t="array" ref="Q851">IF(T[[#This Row],[نوع عملیات]]="فروش", _xlfn.XLOOKUP(T[[#This Row],[کالا]], _xlfn._xlws.FILTER(T[کالا], T[نوع عملیات]="خرید"), _xlfn._xlws.FILTER(T[فروشنده / مشتری], T[نوع عملیات]="خرید")), "")</f>
        <v>عبدل آباد</v>
      </c>
    </row>
    <row r="852" spans="2:17" ht="16.5" hidden="1" x14ac:dyDescent="0.75">
      <c r="B852" s="227">
        <v>4</v>
      </c>
      <c r="C852" s="150">
        <v>4</v>
      </c>
      <c r="D852" s="150">
        <v>28</v>
      </c>
      <c r="E852" s="150"/>
      <c r="F852" s="151" t="s">
        <v>167</v>
      </c>
      <c r="G852" s="244" t="s">
        <v>615</v>
      </c>
      <c r="H852" s="247" t="s">
        <v>434</v>
      </c>
      <c r="I852" s="162"/>
      <c r="J852" s="251">
        <v>1</v>
      </c>
      <c r="K852" s="254">
        <v>1100000</v>
      </c>
      <c r="L852" s="255">
        <f t="shared" si="56"/>
        <v>1100000</v>
      </c>
      <c r="M852" s="257"/>
      <c r="N852" s="262"/>
      <c r="O8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320000</v>
      </c>
      <c r="P852" s="262"/>
      <c r="Q852" s="264" t="str" cm="1">
        <f t="array" ref="Q852">IF(T[[#This Row],[نوع عملیات]]="فروش", _xlfn.XLOOKUP(T[[#This Row],[کالا]], _xlfn._xlws.FILTER(T[کالا], T[نوع عملیات]="خرید"), _xlfn._xlws.FILTER(T[فروشنده / مشتری], T[نوع عملیات]="خرید")), "")</f>
        <v>عبدل آباد</v>
      </c>
    </row>
    <row r="853" spans="2:17" ht="16.5" hidden="1" x14ac:dyDescent="0.75">
      <c r="B853" s="227">
        <v>4</v>
      </c>
      <c r="C853" s="150">
        <v>4</v>
      </c>
      <c r="D853" s="150">
        <v>28</v>
      </c>
      <c r="E853" s="150"/>
      <c r="F853" s="151" t="s">
        <v>167</v>
      </c>
      <c r="G853" s="244" t="s">
        <v>615</v>
      </c>
      <c r="H853" s="247" t="s">
        <v>211</v>
      </c>
      <c r="I853" s="162"/>
      <c r="J853" s="251">
        <v>1</v>
      </c>
      <c r="K853" s="254">
        <v>1100000</v>
      </c>
      <c r="L853" s="255">
        <f t="shared" si="56"/>
        <v>1100000</v>
      </c>
      <c r="M853" s="257"/>
      <c r="N853" s="262"/>
      <c r="O85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320000</v>
      </c>
      <c r="P853" s="262"/>
      <c r="Q853" s="264" t="str" cm="1">
        <f t="array" ref="Q853">IF(T[[#This Row],[نوع عملیات]]="فروش", _xlfn.XLOOKUP(T[[#This Row],[کالا]], _xlfn._xlws.FILTER(T[کالا], T[نوع عملیات]="خرید"), _xlfn._xlws.FILTER(T[فروشنده / مشتری], T[نوع عملیات]="خرید")), "")</f>
        <v>عبدل آباد</v>
      </c>
    </row>
    <row r="854" spans="2:17" ht="16.5" hidden="1" x14ac:dyDescent="0.75">
      <c r="B854" s="227">
        <v>4</v>
      </c>
      <c r="C854" s="150">
        <v>4</v>
      </c>
      <c r="D854" s="150">
        <v>28</v>
      </c>
      <c r="E854" s="150"/>
      <c r="F854" s="151" t="s">
        <v>167</v>
      </c>
      <c r="G854" s="244" t="s">
        <v>457</v>
      </c>
      <c r="H854" s="247" t="s">
        <v>211</v>
      </c>
      <c r="I854" s="162"/>
      <c r="J854" s="251">
        <v>2</v>
      </c>
      <c r="K854" s="254">
        <v>1400000</v>
      </c>
      <c r="L854" s="255">
        <f t="shared" si="56"/>
        <v>2800000</v>
      </c>
      <c r="M854" s="257"/>
      <c r="N854" s="262"/>
      <c r="O85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826956.52173913037</v>
      </c>
      <c r="P854" s="262"/>
      <c r="Q854" s="264" t="str" cm="1">
        <f t="array" ref="Q854">IF(T[[#This Row],[نوع عملیات]]="فروش", _xlfn.XLOOKUP(T[[#This Row],[کالا]], _xlfn._xlws.FILTER(T[کالا], T[نوع عملیات]="خرید"), _xlfn._xlws.FILTER(T[فروشنده / مشتری], T[نوع عملیات]="خرید")), "")</f>
        <v>عبدل آباد</v>
      </c>
    </row>
    <row r="855" spans="2:17" ht="16.5" hidden="1" x14ac:dyDescent="0.75">
      <c r="B855" s="227">
        <v>4</v>
      </c>
      <c r="C855" s="150">
        <v>4</v>
      </c>
      <c r="D855" s="150">
        <v>28</v>
      </c>
      <c r="E855" s="150"/>
      <c r="F855" s="151" t="s">
        <v>167</v>
      </c>
      <c r="G855" s="244" t="s">
        <v>467</v>
      </c>
      <c r="H855" s="247" t="s">
        <v>211</v>
      </c>
      <c r="I855" s="162"/>
      <c r="J855" s="251">
        <v>1</v>
      </c>
      <c r="K855" s="254">
        <v>900000</v>
      </c>
      <c r="L855" s="255">
        <f t="shared" si="56"/>
        <v>900000</v>
      </c>
      <c r="M855" s="257">
        <v>4800000</v>
      </c>
      <c r="N855" s="262" t="s">
        <v>611</v>
      </c>
      <c r="O85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550000</v>
      </c>
      <c r="P855" s="262"/>
      <c r="Q855" s="264" t="str" cm="1">
        <f t="array" ref="Q855">IF(T[[#This Row],[نوع عملیات]]="فروش", _xlfn.XLOOKUP(T[[#This Row],[کالا]], _xlfn._xlws.FILTER(T[کالا], T[نوع عملیات]="خرید"), _xlfn._xlws.FILTER(T[فروشنده / مشتری], T[نوع عملیات]="خرید")), "")</f>
        <v>سرای ملی</v>
      </c>
    </row>
    <row r="856" spans="2:17" ht="16.5" hidden="1" x14ac:dyDescent="0.75">
      <c r="B856" s="227">
        <v>4</v>
      </c>
      <c r="C856" s="150">
        <v>4</v>
      </c>
      <c r="D856" s="150">
        <v>28</v>
      </c>
      <c r="E856" s="150"/>
      <c r="F856" s="151" t="s">
        <v>167</v>
      </c>
      <c r="G856" s="244" t="s">
        <v>457</v>
      </c>
      <c r="H856" s="247" t="s">
        <v>616</v>
      </c>
      <c r="I856" s="162"/>
      <c r="J856" s="251">
        <v>2</v>
      </c>
      <c r="K856" s="254">
        <v>1400000</v>
      </c>
      <c r="L856" s="255">
        <f t="shared" si="56"/>
        <v>2800000</v>
      </c>
      <c r="M856" s="257"/>
      <c r="N856" s="262"/>
      <c r="O85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826956.52173913037</v>
      </c>
      <c r="P856" s="262"/>
      <c r="Q856" s="264" t="str" cm="1">
        <f t="array" ref="Q856">IF(T[[#This Row],[نوع عملیات]]="فروش", _xlfn.XLOOKUP(T[[#This Row],[کالا]], _xlfn._xlws.FILTER(T[کالا], T[نوع عملیات]="خرید"), _xlfn._xlws.FILTER(T[فروشنده / مشتری], T[نوع عملیات]="خرید")), "")</f>
        <v>عبدل آباد</v>
      </c>
    </row>
    <row r="857" spans="2:17" ht="16.5" hidden="1" x14ac:dyDescent="0.75">
      <c r="B857" s="227">
        <v>4</v>
      </c>
      <c r="C857" s="150">
        <v>4</v>
      </c>
      <c r="D857" s="150">
        <v>28</v>
      </c>
      <c r="E857" s="150"/>
      <c r="F857" s="151" t="s">
        <v>167</v>
      </c>
      <c r="G857" s="244" t="s">
        <v>485</v>
      </c>
      <c r="H857" s="247" t="s">
        <v>616</v>
      </c>
      <c r="I857" s="162"/>
      <c r="J857" s="251">
        <v>1</v>
      </c>
      <c r="K857" s="254">
        <v>2200000</v>
      </c>
      <c r="L857" s="255">
        <f t="shared" si="56"/>
        <v>2200000</v>
      </c>
      <c r="M857" s="257"/>
      <c r="N857" s="262"/>
      <c r="O85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620000</v>
      </c>
      <c r="P857" s="262"/>
      <c r="Q857" s="264" t="str" cm="1">
        <f t="array" ref="Q857">IF(T[[#This Row],[نوع عملیات]]="فروش", _xlfn.XLOOKUP(T[[#This Row],[کالا]], _xlfn._xlws.FILTER(T[کالا], T[نوع عملیات]="خرید"), _xlfn._xlws.FILTER(T[فروشنده / مشتری], T[نوع عملیات]="خرید")), "")</f>
        <v>عبدل آباد</v>
      </c>
    </row>
    <row r="858" spans="2:17" ht="16.5" hidden="1" x14ac:dyDescent="0.75">
      <c r="B858" s="227">
        <v>4</v>
      </c>
      <c r="C858" s="150">
        <v>4</v>
      </c>
      <c r="D858" s="150">
        <v>28</v>
      </c>
      <c r="E858" s="150"/>
      <c r="F858" s="151" t="s">
        <v>167</v>
      </c>
      <c r="G858" s="244" t="s">
        <v>468</v>
      </c>
      <c r="H858" s="247" t="s">
        <v>616</v>
      </c>
      <c r="I858" s="162"/>
      <c r="J858" s="251">
        <v>1</v>
      </c>
      <c r="K858" s="254">
        <v>300000</v>
      </c>
      <c r="L858" s="255">
        <f t="shared" si="56"/>
        <v>300000</v>
      </c>
      <c r="M858" s="257"/>
      <c r="N858" s="262"/>
      <c r="O85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858" s="262"/>
      <c r="Q858" s="264" t="str" cm="1">
        <f t="array" ref="Q858">IF(T[[#This Row],[نوع عملیات]]="فروش", _xlfn.XLOOKUP(T[[#This Row],[کالا]], _xlfn._xlws.FILTER(T[کالا], T[نوع عملیات]="خرید"), _xlfn._xlws.FILTER(T[فروشنده / مشتری], T[نوع عملیات]="خرید")), "")</f>
        <v>سرای ملی</v>
      </c>
    </row>
    <row r="859" spans="2:17" ht="16.5" hidden="1" x14ac:dyDescent="0.75">
      <c r="B859" s="227">
        <v>4</v>
      </c>
      <c r="C859" s="150">
        <v>4</v>
      </c>
      <c r="D859" s="150">
        <v>28</v>
      </c>
      <c r="E859" s="150"/>
      <c r="F859" s="151" t="s">
        <v>167</v>
      </c>
      <c r="G859" s="244" t="s">
        <v>468</v>
      </c>
      <c r="H859" s="247" t="s">
        <v>618</v>
      </c>
      <c r="I859" s="162"/>
      <c r="J859" s="251">
        <v>1</v>
      </c>
      <c r="K859" s="254">
        <v>300000</v>
      </c>
      <c r="L859" s="255">
        <f t="shared" si="56"/>
        <v>300000</v>
      </c>
      <c r="M859" s="257"/>
      <c r="N859" s="262"/>
      <c r="O85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859" s="262"/>
      <c r="Q859" s="264" t="str" cm="1">
        <f t="array" ref="Q859">IF(T[[#This Row],[نوع عملیات]]="فروش", _xlfn.XLOOKUP(T[[#This Row],[کالا]], _xlfn._xlws.FILTER(T[کالا], T[نوع عملیات]="خرید"), _xlfn._xlws.FILTER(T[فروشنده / مشتری], T[نوع عملیات]="خرید")), "")</f>
        <v>سرای ملی</v>
      </c>
    </row>
    <row r="860" spans="2:17" ht="16.5" hidden="1" x14ac:dyDescent="0.75">
      <c r="B860" s="227">
        <v>4</v>
      </c>
      <c r="C860" s="150">
        <v>4</v>
      </c>
      <c r="D860" s="150">
        <v>28</v>
      </c>
      <c r="E860" s="150"/>
      <c r="F860" s="151" t="s">
        <v>167</v>
      </c>
      <c r="G860" s="244" t="s">
        <v>468</v>
      </c>
      <c r="H860" s="247" t="s">
        <v>604</v>
      </c>
      <c r="I860" s="162"/>
      <c r="J860" s="251">
        <v>2</v>
      </c>
      <c r="K860" s="254">
        <v>250000</v>
      </c>
      <c r="L860" s="255">
        <f t="shared" si="56"/>
        <v>500000</v>
      </c>
      <c r="M860" s="257"/>
      <c r="N860" s="262"/>
      <c r="O86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204000</v>
      </c>
      <c r="P860" s="262"/>
      <c r="Q860" s="264" t="str" cm="1">
        <f t="array" ref="Q860">IF(T[[#This Row],[نوع عملیات]]="فروش", _xlfn.XLOOKUP(T[[#This Row],[کالا]], _xlfn._xlws.FILTER(T[کالا], T[نوع عملیات]="خرید"), _xlfn._xlws.FILTER(T[فروشنده / مشتری], T[نوع عملیات]="خرید")), "")</f>
        <v>سرای ملی</v>
      </c>
    </row>
    <row r="861" spans="2:17" ht="16.5" hidden="1" x14ac:dyDescent="0.75">
      <c r="B861" s="227">
        <v>4</v>
      </c>
      <c r="C861" s="150">
        <v>4</v>
      </c>
      <c r="D861" s="150">
        <v>28</v>
      </c>
      <c r="E861" s="150"/>
      <c r="F861" s="151" t="s">
        <v>167</v>
      </c>
      <c r="G861" s="244" t="s">
        <v>457</v>
      </c>
      <c r="H861" s="247" t="s">
        <v>604</v>
      </c>
      <c r="I861" s="162"/>
      <c r="J861" s="251">
        <v>1</v>
      </c>
      <c r="K861" s="254">
        <v>1400000</v>
      </c>
      <c r="L861" s="255">
        <f t="shared" ref="L861:L865" si="59">J861*K861</f>
        <v>1400000</v>
      </c>
      <c r="M861" s="257"/>
      <c r="N861" s="262"/>
      <c r="O86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861" s="262"/>
      <c r="Q861" s="264" t="str" cm="1">
        <f t="array" ref="Q861">IF(T[[#This Row],[نوع عملیات]]="فروش", _xlfn.XLOOKUP(T[[#This Row],[کالا]], _xlfn._xlws.FILTER(T[کالا], T[نوع عملیات]="خرید"), _xlfn._xlws.FILTER(T[فروشنده / مشتری], T[نوع عملیات]="خرید")), "")</f>
        <v>عبدل آباد</v>
      </c>
    </row>
    <row r="862" spans="2:17" ht="16.5" hidden="1" x14ac:dyDescent="0.75">
      <c r="B862" s="227">
        <v>4</v>
      </c>
      <c r="C862" s="150">
        <v>4</v>
      </c>
      <c r="D862" s="150">
        <v>28</v>
      </c>
      <c r="E862" s="150"/>
      <c r="F862" s="151" t="s">
        <v>167</v>
      </c>
      <c r="G862" s="244" t="s">
        <v>248</v>
      </c>
      <c r="H862" s="247" t="s">
        <v>604</v>
      </c>
      <c r="I862" s="162"/>
      <c r="J862" s="251">
        <v>1</v>
      </c>
      <c r="K862" s="254">
        <v>400000</v>
      </c>
      <c r="L862" s="255">
        <f t="shared" si="59"/>
        <v>400000</v>
      </c>
      <c r="M862" s="257"/>
      <c r="N862" s="262"/>
      <c r="O86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862" s="262"/>
      <c r="Q862" s="264" t="str" cm="1">
        <f t="array" ref="Q862">IF(T[[#This Row],[نوع عملیات]]="فروش", _xlfn.XLOOKUP(T[[#This Row],[کالا]], _xlfn._xlws.FILTER(T[کالا], T[نوع عملیات]="خرید"), _xlfn._xlws.FILTER(T[فروشنده / مشتری], T[نوع عملیات]="خرید")), "")</f>
        <v>دلگشا</v>
      </c>
    </row>
    <row r="863" spans="2:17" ht="16.5" hidden="1" x14ac:dyDescent="0.75">
      <c r="B863" s="227">
        <v>4</v>
      </c>
      <c r="C863" s="150">
        <v>4</v>
      </c>
      <c r="D863" s="150">
        <v>28</v>
      </c>
      <c r="E863" s="150"/>
      <c r="F863" s="151" t="s">
        <v>325</v>
      </c>
      <c r="G863" s="244" t="s">
        <v>248</v>
      </c>
      <c r="H863" s="247" t="s">
        <v>451</v>
      </c>
      <c r="I863" s="162"/>
      <c r="J863" s="251">
        <v>1</v>
      </c>
      <c r="K863" s="254">
        <v>0</v>
      </c>
      <c r="L863" s="255">
        <f t="shared" si="59"/>
        <v>0</v>
      </c>
      <c r="M863" s="257"/>
      <c r="N863" s="262"/>
      <c r="O86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863" s="262"/>
      <c r="Q863" s="264" t="str" cm="1">
        <f t="array" ref="Q863">IF(T[[#This Row],[نوع عملیات]]="فروش", _xlfn.XLOOKUP(T[[#This Row],[کالا]], _xlfn._xlws.FILTER(T[کالا], T[نوع عملیات]="خرید"), _xlfn._xlws.FILTER(T[فروشنده / مشتری], T[نوع عملیات]="خرید")), "")</f>
        <v/>
      </c>
    </row>
    <row r="864" spans="2:17" ht="16.5" hidden="1" x14ac:dyDescent="0.75">
      <c r="B864" s="227">
        <v>4</v>
      </c>
      <c r="C864" s="150">
        <v>4</v>
      </c>
      <c r="D864" s="150">
        <v>29</v>
      </c>
      <c r="E864" s="150"/>
      <c r="F864" s="151" t="s">
        <v>167</v>
      </c>
      <c r="G864" s="244" t="s">
        <v>471</v>
      </c>
      <c r="H864" s="247" t="s">
        <v>476</v>
      </c>
      <c r="I864" s="162"/>
      <c r="J864" s="251">
        <v>1</v>
      </c>
      <c r="K864" s="254">
        <v>1100000</v>
      </c>
      <c r="L864" s="255">
        <f t="shared" si="59"/>
        <v>1100000</v>
      </c>
      <c r="M864" s="257"/>
      <c r="N864" s="262"/>
      <c r="O86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360000</v>
      </c>
      <c r="P864" s="262"/>
      <c r="Q864" s="264" t="str" cm="1">
        <f t="array" ref="Q864">IF(T[[#This Row],[نوع عملیات]]="فروش", _xlfn.XLOOKUP(T[[#This Row],[کالا]], _xlfn._xlws.FILTER(T[کالا], T[نوع عملیات]="خرید"), _xlfn._xlws.FILTER(T[فروشنده / مشتری], T[نوع عملیات]="خرید")), "")</f>
        <v>سرای ملی</v>
      </c>
    </row>
    <row r="865" spans="2:17" ht="16.5" hidden="1" x14ac:dyDescent="0.75">
      <c r="B865" s="227">
        <v>4</v>
      </c>
      <c r="C865" s="150">
        <v>4</v>
      </c>
      <c r="D865" s="150">
        <v>29</v>
      </c>
      <c r="E865" s="150"/>
      <c r="F865" s="151" t="s">
        <v>167</v>
      </c>
      <c r="G865" s="244" t="s">
        <v>460</v>
      </c>
      <c r="H865" s="247" t="s">
        <v>476</v>
      </c>
      <c r="I865" s="162"/>
      <c r="J865" s="251">
        <v>1</v>
      </c>
      <c r="K865" s="254">
        <v>700000</v>
      </c>
      <c r="L865" s="255">
        <f t="shared" si="59"/>
        <v>700000</v>
      </c>
      <c r="M865" s="257"/>
      <c r="N865" s="262"/>
      <c r="O86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262000</v>
      </c>
      <c r="P865" s="262"/>
      <c r="Q865" s="264" t="str" cm="1">
        <f t="array" ref="Q865">IF(T[[#This Row],[نوع عملیات]]="فروش", _xlfn.XLOOKUP(T[[#This Row],[کالا]], _xlfn._xlws.FILTER(T[کالا], T[نوع عملیات]="خرید"), _xlfn._xlws.FILTER(T[فروشنده / مشتری], T[نوع عملیات]="خرید")), "")</f>
        <v>سرای ملی</v>
      </c>
    </row>
    <row r="866" spans="2:17" ht="16.5" hidden="1" x14ac:dyDescent="0.75">
      <c r="B866" s="227">
        <v>4</v>
      </c>
      <c r="C866" s="150">
        <v>4</v>
      </c>
      <c r="D866" s="150">
        <v>29</v>
      </c>
      <c r="E866" s="150"/>
      <c r="F866" s="151" t="s">
        <v>167</v>
      </c>
      <c r="G866" s="244" t="s">
        <v>563</v>
      </c>
      <c r="H866" s="247" t="s">
        <v>476</v>
      </c>
      <c r="I866" s="162"/>
      <c r="J866" s="251">
        <v>2</v>
      </c>
      <c r="K866" s="254">
        <v>250000</v>
      </c>
      <c r="L866" s="255">
        <f t="shared" ref="L866:L874" si="60">J866*K866</f>
        <v>500000</v>
      </c>
      <c r="M866" s="257"/>
      <c r="N866" s="262"/>
      <c r="O86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104000</v>
      </c>
      <c r="P866" s="262"/>
      <c r="Q866" s="264" t="str" cm="1">
        <f t="array" ref="Q866">IF(T[[#This Row],[نوع عملیات]]="فروش", _xlfn.XLOOKUP(T[[#This Row],[کالا]], _xlfn._xlws.FILTER(T[کالا], T[نوع عملیات]="خرید"), _xlfn._xlws.FILTER(T[فروشنده / مشتری], T[نوع عملیات]="خرید")), "")</f>
        <v>عبدل آباد</v>
      </c>
    </row>
    <row r="867" spans="2:17" ht="16.5" hidden="1" x14ac:dyDescent="0.75">
      <c r="B867" s="227">
        <v>4</v>
      </c>
      <c r="C867" s="150">
        <v>4</v>
      </c>
      <c r="D867" s="150">
        <v>29</v>
      </c>
      <c r="E867" s="150"/>
      <c r="F867" s="151" t="s">
        <v>167</v>
      </c>
      <c r="G867" s="244" t="s">
        <v>472</v>
      </c>
      <c r="H867" s="247" t="s">
        <v>434</v>
      </c>
      <c r="I867" s="162"/>
      <c r="J867" s="251">
        <v>1</v>
      </c>
      <c r="K867" s="254">
        <v>1200000</v>
      </c>
      <c r="L867" s="255">
        <f t="shared" si="60"/>
        <v>1200000</v>
      </c>
      <c r="M867" s="257"/>
      <c r="N867" s="262"/>
      <c r="O86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460000</v>
      </c>
      <c r="P867" s="262"/>
      <c r="Q867" s="264" t="str" cm="1">
        <f t="array" ref="Q867">IF(T[[#This Row],[نوع عملیات]]="فروش", _xlfn.XLOOKUP(T[[#This Row],[کالا]], _xlfn._xlws.FILTER(T[کالا], T[نوع عملیات]="خرید"), _xlfn._xlws.FILTER(T[فروشنده / مشتری], T[نوع عملیات]="خرید")), "")</f>
        <v>سرای ملی</v>
      </c>
    </row>
    <row r="868" spans="2:17" ht="16.5" hidden="1" x14ac:dyDescent="0.75">
      <c r="B868" s="227">
        <v>4</v>
      </c>
      <c r="C868" s="150">
        <v>4</v>
      </c>
      <c r="D868" s="150">
        <v>29</v>
      </c>
      <c r="E868" s="150"/>
      <c r="F868" s="151" t="s">
        <v>167</v>
      </c>
      <c r="G868" s="244" t="s">
        <v>468</v>
      </c>
      <c r="H868" s="247" t="s">
        <v>478</v>
      </c>
      <c r="I868" s="162"/>
      <c r="J868" s="251">
        <v>1</v>
      </c>
      <c r="K868" s="254">
        <v>300000</v>
      </c>
      <c r="L868" s="255">
        <f t="shared" si="60"/>
        <v>300000</v>
      </c>
      <c r="M868" s="257"/>
      <c r="N868" s="262"/>
      <c r="O86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868" s="262"/>
      <c r="Q868" s="264" t="str" cm="1">
        <f t="array" ref="Q868">IF(T[[#This Row],[نوع عملیات]]="فروش", _xlfn.XLOOKUP(T[[#This Row],[کالا]], _xlfn._xlws.FILTER(T[کالا], T[نوع عملیات]="خرید"), _xlfn._xlws.FILTER(T[فروشنده / مشتری], T[نوع عملیات]="خرید")), "")</f>
        <v>سرای ملی</v>
      </c>
    </row>
    <row r="869" spans="2:17" ht="16.5" hidden="1" x14ac:dyDescent="0.75">
      <c r="B869" s="227">
        <v>4</v>
      </c>
      <c r="C869" s="150">
        <v>4</v>
      </c>
      <c r="D869" s="150">
        <v>29</v>
      </c>
      <c r="E869" s="150"/>
      <c r="F869" s="151" t="s">
        <v>167</v>
      </c>
      <c r="G869" s="244" t="s">
        <v>562</v>
      </c>
      <c r="H869" s="247" t="s">
        <v>478</v>
      </c>
      <c r="I869" s="162"/>
      <c r="J869" s="251">
        <v>1</v>
      </c>
      <c r="K869" s="254">
        <v>1100000</v>
      </c>
      <c r="L869" s="255">
        <f t="shared" si="60"/>
        <v>1100000</v>
      </c>
      <c r="M869" s="257"/>
      <c r="N869" s="262"/>
      <c r="O86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604285.71428571432</v>
      </c>
      <c r="P869" s="262"/>
      <c r="Q869" s="264" t="str" cm="1">
        <f t="array" ref="Q869">IF(T[[#This Row],[نوع عملیات]]="فروش", _xlfn.XLOOKUP(T[[#This Row],[کالا]], _xlfn._xlws.FILTER(T[کالا], T[نوع عملیات]="خرید"), _xlfn._xlws.FILTER(T[فروشنده / مشتری], T[نوع عملیات]="خرید")), "")</f>
        <v>بازار پارسیان</v>
      </c>
    </row>
    <row r="870" spans="2:17" ht="16.5" hidden="1" x14ac:dyDescent="0.75">
      <c r="B870" s="227">
        <v>4</v>
      </c>
      <c r="C870" s="150">
        <v>4</v>
      </c>
      <c r="D870" s="150">
        <v>29</v>
      </c>
      <c r="E870" s="150"/>
      <c r="F870" s="151" t="s">
        <v>167</v>
      </c>
      <c r="G870" s="244" t="s">
        <v>620</v>
      </c>
      <c r="H870" s="247" t="s">
        <v>478</v>
      </c>
      <c r="I870" s="162"/>
      <c r="J870" s="251">
        <v>1</v>
      </c>
      <c r="K870" s="254">
        <v>900000</v>
      </c>
      <c r="L870" s="255">
        <f t="shared" si="60"/>
        <v>900000</v>
      </c>
      <c r="M870" s="257"/>
      <c r="N870" s="262"/>
      <c r="O87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178000</v>
      </c>
      <c r="P870" s="262"/>
      <c r="Q870" s="264" t="str" cm="1">
        <f t="array" ref="Q870">IF(T[[#This Row],[نوع عملیات]]="فروش", _xlfn.XLOOKUP(T[[#This Row],[کالا]], _xlfn._xlws.FILTER(T[کالا], T[نوع عملیات]="خرید"), _xlfn._xlws.FILTER(T[فروشنده / مشتری], T[نوع عملیات]="خرید")), "")</f>
        <v>عبدل آباد</v>
      </c>
    </row>
    <row r="871" spans="2:17" ht="16.5" hidden="1" x14ac:dyDescent="0.75">
      <c r="B871" s="227">
        <v>4</v>
      </c>
      <c r="C871" s="150">
        <v>4</v>
      </c>
      <c r="D871" s="150">
        <v>29</v>
      </c>
      <c r="E871" s="150"/>
      <c r="F871" s="151" t="s">
        <v>167</v>
      </c>
      <c r="G871" s="244" t="s">
        <v>468</v>
      </c>
      <c r="H871" s="247" t="s">
        <v>211</v>
      </c>
      <c r="I871" s="162"/>
      <c r="J871" s="251">
        <v>1</v>
      </c>
      <c r="K871" s="254">
        <v>300000</v>
      </c>
      <c r="L871" s="255">
        <f t="shared" si="60"/>
        <v>300000</v>
      </c>
      <c r="M871" s="257"/>
      <c r="N871" s="262"/>
      <c r="O87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871" s="262"/>
      <c r="Q871" s="264" t="str" cm="1">
        <f t="array" ref="Q871">IF(T[[#This Row],[نوع عملیات]]="فروش", _xlfn.XLOOKUP(T[[#This Row],[کالا]], _xlfn._xlws.FILTER(T[کالا], T[نوع عملیات]="خرید"), _xlfn._xlws.FILTER(T[فروشنده / مشتری], T[نوع عملیات]="خرید")), "")</f>
        <v>سرای ملی</v>
      </c>
    </row>
    <row r="872" spans="2:17" ht="16.5" hidden="1" x14ac:dyDescent="0.75">
      <c r="B872" s="227">
        <v>4</v>
      </c>
      <c r="C872" s="150">
        <v>4</v>
      </c>
      <c r="D872" s="150">
        <v>29</v>
      </c>
      <c r="E872" s="150"/>
      <c r="F872" s="151" t="s">
        <v>167</v>
      </c>
      <c r="G872" s="244" t="s">
        <v>353</v>
      </c>
      <c r="H872" s="247" t="s">
        <v>211</v>
      </c>
      <c r="I872" s="162"/>
      <c r="J872" s="251">
        <v>1</v>
      </c>
      <c r="K872" s="254">
        <v>500000</v>
      </c>
      <c r="L872" s="255">
        <f t="shared" si="60"/>
        <v>500000</v>
      </c>
      <c r="M872" s="257"/>
      <c r="N872" s="262"/>
      <c r="O87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152941.17647058825</v>
      </c>
      <c r="P872" s="262"/>
      <c r="Q872" s="264" t="str" cm="1">
        <f t="array" ref="Q872">IF(T[[#This Row],[نوع عملیات]]="فروش", _xlfn.XLOOKUP(T[[#This Row],[کالا]], _xlfn._xlws.FILTER(T[کالا], T[نوع عملیات]="خرید"), _xlfn._xlws.FILTER(T[فروشنده / مشتری], T[نوع عملیات]="خرید")), "")</f>
        <v>بازار</v>
      </c>
    </row>
    <row r="873" spans="2:17" ht="16.5" hidden="1" x14ac:dyDescent="0.75">
      <c r="B873" s="227">
        <v>4</v>
      </c>
      <c r="C873" s="150">
        <v>4</v>
      </c>
      <c r="D873" s="150">
        <v>29</v>
      </c>
      <c r="E873" s="150"/>
      <c r="F873" s="151" t="s">
        <v>167</v>
      </c>
      <c r="G873" s="244" t="s">
        <v>486</v>
      </c>
      <c r="H873" s="247" t="s">
        <v>211</v>
      </c>
      <c r="I873" s="162"/>
      <c r="J873" s="251">
        <v>1</v>
      </c>
      <c r="K873" s="254">
        <v>2500000</v>
      </c>
      <c r="L873" s="255">
        <f t="shared" si="60"/>
        <v>2500000</v>
      </c>
      <c r="M873" s="257">
        <v>3300000</v>
      </c>
      <c r="N873" s="262" t="s">
        <v>611</v>
      </c>
      <c r="O87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873" s="262"/>
      <c r="Q873" s="264" t="str" cm="1">
        <f t="array" ref="Q873">IF(T[[#This Row],[نوع عملیات]]="فروش", _xlfn.XLOOKUP(T[[#This Row],[کالا]], _xlfn._xlws.FILTER(T[کالا], T[نوع عملیات]="خرید"), _xlfn._xlws.FILTER(T[فروشنده / مشتری], T[نوع عملیات]="خرید")), "")</f>
        <v>عبدل آباد</v>
      </c>
    </row>
    <row r="874" spans="2:17" ht="16.5" hidden="1" x14ac:dyDescent="0.75">
      <c r="B874" s="227">
        <v>4</v>
      </c>
      <c r="C874" s="150">
        <v>4</v>
      </c>
      <c r="D874" s="150">
        <v>29</v>
      </c>
      <c r="E874" s="150"/>
      <c r="F874" s="151" t="s">
        <v>167</v>
      </c>
      <c r="G874" s="244" t="s">
        <v>457</v>
      </c>
      <c r="H874" s="247" t="s">
        <v>621</v>
      </c>
      <c r="I874" s="162"/>
      <c r="J874" s="251">
        <v>2</v>
      </c>
      <c r="K874" s="254">
        <v>1400000</v>
      </c>
      <c r="L874" s="255">
        <f t="shared" si="60"/>
        <v>2800000</v>
      </c>
      <c r="M874" s="257"/>
      <c r="N874" s="262"/>
      <c r="O87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826956.52173913037</v>
      </c>
      <c r="P874" s="262"/>
      <c r="Q874" s="264" t="str" cm="1">
        <f t="array" ref="Q874">IF(T[[#This Row],[نوع عملیات]]="فروش", _xlfn.XLOOKUP(T[[#This Row],[کالا]], _xlfn._xlws.FILTER(T[کالا], T[نوع عملیات]="خرید"), _xlfn._xlws.FILTER(T[فروشنده / مشتری], T[نوع عملیات]="خرید")), "")</f>
        <v>عبدل آباد</v>
      </c>
    </row>
    <row r="875" spans="2:17" ht="16.5" hidden="1" x14ac:dyDescent="0.75">
      <c r="B875" s="227">
        <v>4</v>
      </c>
      <c r="C875" s="150">
        <v>4</v>
      </c>
      <c r="D875" s="150">
        <v>29</v>
      </c>
      <c r="E875" s="150"/>
      <c r="F875" s="151" t="s">
        <v>167</v>
      </c>
      <c r="G875" s="244" t="s">
        <v>570</v>
      </c>
      <c r="H875" s="247" t="s">
        <v>618</v>
      </c>
      <c r="I875" s="162"/>
      <c r="J875" s="251">
        <v>1</v>
      </c>
      <c r="K875" s="254">
        <v>500000</v>
      </c>
      <c r="L875" s="255">
        <f t="shared" si="56"/>
        <v>500000</v>
      </c>
      <c r="M875" s="257"/>
      <c r="N875" s="262"/>
      <c r="O87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272000</v>
      </c>
      <c r="P875" s="262"/>
      <c r="Q875" s="264" t="str" cm="1">
        <f t="array" ref="Q875">IF(T[[#This Row],[نوع عملیات]]="فروش", _xlfn.XLOOKUP(T[[#This Row],[کالا]], _xlfn._xlws.FILTER(T[کالا], T[نوع عملیات]="خرید"), _xlfn._xlws.FILTER(T[فروشنده / مشتری], T[نوع عملیات]="خرید")), "")</f>
        <v>عبدل آباد</v>
      </c>
    </row>
    <row r="876" spans="2:17" ht="16.5" hidden="1" x14ac:dyDescent="0.75">
      <c r="B876" s="227">
        <v>4</v>
      </c>
      <c r="C876" s="150">
        <v>4</v>
      </c>
      <c r="D876" s="150">
        <v>29</v>
      </c>
      <c r="E876" s="150"/>
      <c r="F876" s="151" t="s">
        <v>167</v>
      </c>
      <c r="G876" s="244" t="s">
        <v>411</v>
      </c>
      <c r="H876" s="247" t="s">
        <v>618</v>
      </c>
      <c r="I876" s="162"/>
      <c r="J876" s="251">
        <v>1</v>
      </c>
      <c r="K876" s="254">
        <v>1000000</v>
      </c>
      <c r="L876" s="255">
        <f t="shared" si="56"/>
        <v>1000000</v>
      </c>
      <c r="M876" s="257"/>
      <c r="N876" s="262"/>
      <c r="O87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150000</v>
      </c>
      <c r="P876" s="262"/>
      <c r="Q876" s="264" t="str" cm="1">
        <f t="array" ref="Q876">IF(T[[#This Row],[نوع عملیات]]="فروش", _xlfn.XLOOKUP(T[[#This Row],[کالا]], _xlfn._xlws.FILTER(T[کالا], T[نوع عملیات]="خرید"), _xlfn._xlws.FILTER(T[فروشنده / مشتری], T[نوع عملیات]="خرید")), "")</f>
        <v>عبدل آباد</v>
      </c>
    </row>
    <row r="877" spans="2:17" ht="16.5" hidden="1" x14ac:dyDescent="0.75">
      <c r="B877" s="227">
        <v>4</v>
      </c>
      <c r="C877" s="150">
        <v>4</v>
      </c>
      <c r="D877" s="150">
        <v>29</v>
      </c>
      <c r="E877" s="150"/>
      <c r="F877" s="151" t="s">
        <v>167</v>
      </c>
      <c r="G877" s="244" t="s">
        <v>590</v>
      </c>
      <c r="H877" s="247" t="s">
        <v>608</v>
      </c>
      <c r="I877" s="162"/>
      <c r="J877" s="251">
        <v>1</v>
      </c>
      <c r="K877" s="254">
        <v>2000000</v>
      </c>
      <c r="L877" s="255">
        <f t="shared" ref="L877:L895" si="61">J877*K877</f>
        <v>2000000</v>
      </c>
      <c r="M877" s="257"/>
      <c r="N877" s="262"/>
      <c r="O87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877" s="262"/>
      <c r="Q877" s="264" t="str" cm="1">
        <f t="array" ref="Q877">IF(T[[#This Row],[نوع عملیات]]="فروش", _xlfn.XLOOKUP(T[[#This Row],[کالا]], _xlfn._xlws.FILTER(T[کالا], T[نوع عملیات]="خرید"), _xlfn._xlws.FILTER(T[فروشنده / مشتری], T[نوع عملیات]="خرید")), "")</f>
        <v>عبدل آباد</v>
      </c>
    </row>
    <row r="878" spans="2:17" ht="16.5" hidden="1" x14ac:dyDescent="0.75">
      <c r="B878" s="227">
        <v>4</v>
      </c>
      <c r="C878" s="150">
        <v>4</v>
      </c>
      <c r="D878" s="150">
        <v>29</v>
      </c>
      <c r="E878" s="150"/>
      <c r="F878" s="151" t="s">
        <v>167</v>
      </c>
      <c r="G878" s="244" t="s">
        <v>615</v>
      </c>
      <c r="H878" s="247" t="s">
        <v>608</v>
      </c>
      <c r="I878" s="162"/>
      <c r="J878" s="251">
        <v>1</v>
      </c>
      <c r="K878" s="254">
        <v>800000</v>
      </c>
      <c r="L878" s="255">
        <f t="shared" si="61"/>
        <v>800000</v>
      </c>
      <c r="M878" s="257"/>
      <c r="N878" s="262"/>
      <c r="O87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v>
      </c>
      <c r="P878" s="262"/>
      <c r="Q878" s="264" t="str" cm="1">
        <f t="array" ref="Q878">IF(T[[#This Row],[نوع عملیات]]="فروش", _xlfn.XLOOKUP(T[[#This Row],[کالا]], _xlfn._xlws.FILTER(T[کالا], T[نوع عملیات]="خرید"), _xlfn._xlws.FILTER(T[فروشنده / مشتری], T[نوع عملیات]="خرید")), "")</f>
        <v>عبدل آباد</v>
      </c>
    </row>
    <row r="879" spans="2:17" ht="16.5" hidden="1" x14ac:dyDescent="0.75">
      <c r="B879" s="227">
        <v>4</v>
      </c>
      <c r="C879" s="150">
        <v>4</v>
      </c>
      <c r="D879" s="150">
        <v>29</v>
      </c>
      <c r="E879" s="150"/>
      <c r="F879" s="151" t="s">
        <v>167</v>
      </c>
      <c r="G879" s="244" t="s">
        <v>620</v>
      </c>
      <c r="H879" s="247" t="s">
        <v>608</v>
      </c>
      <c r="I879" s="162"/>
      <c r="J879" s="251">
        <v>1</v>
      </c>
      <c r="K879" s="254">
        <v>800000</v>
      </c>
      <c r="L879" s="255">
        <f t="shared" si="61"/>
        <v>800000</v>
      </c>
      <c r="M879" s="257"/>
      <c r="N879" s="262"/>
      <c r="O87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78000</v>
      </c>
      <c r="P879" s="262"/>
      <c r="Q879" s="264" t="str" cm="1">
        <f t="array" ref="Q879">IF(T[[#This Row],[نوع عملیات]]="فروش", _xlfn.XLOOKUP(T[[#This Row],[کالا]], _xlfn._xlws.FILTER(T[کالا], T[نوع عملیات]="خرید"), _xlfn._xlws.FILTER(T[فروشنده / مشتری], T[نوع عملیات]="خرید")), "")</f>
        <v>عبدل آباد</v>
      </c>
    </row>
    <row r="880" spans="2:17" ht="16.5" hidden="1" x14ac:dyDescent="0.75">
      <c r="B880" s="227">
        <v>4</v>
      </c>
      <c r="C880" s="150">
        <v>4</v>
      </c>
      <c r="D880" s="150">
        <v>29</v>
      </c>
      <c r="E880" s="150" t="str">
        <f t="shared" ref="E880:E887" si="62">CHOOSE(C880, "فروردین", "اردیبهشت", "خرداد", "تیر", "مرداد", "شهریور", "مهر", "آبان", "آذر", "دی", "بهمن", "اسفند")</f>
        <v>تیر</v>
      </c>
      <c r="F880" s="151" t="s">
        <v>167</v>
      </c>
      <c r="G880" s="244" t="s">
        <v>347</v>
      </c>
      <c r="H880" s="247" t="s">
        <v>211</v>
      </c>
      <c r="I880" s="162"/>
      <c r="J880" s="251">
        <v>1</v>
      </c>
      <c r="K880" s="254">
        <v>0</v>
      </c>
      <c r="L880" s="255">
        <f>J880*K880</f>
        <v>0</v>
      </c>
      <c r="M880" s="257"/>
      <c r="N880" s="262"/>
      <c r="O88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-850000</v>
      </c>
      <c r="P880" s="262"/>
      <c r="Q880" s="264" t="str" cm="1">
        <f t="array" ref="Q880">IF(T[[#This Row],[نوع عملیات]]="فروش", _xlfn.XLOOKUP(T[[#This Row],[کالا]], _xlfn._xlws.FILTER(T[کالا], T[نوع عملیات]="خرید"), _xlfn._xlws.FILTER(T[فروشنده / مشتری], T[نوع عملیات]="خرید")), "")</f>
        <v>دلگشا</v>
      </c>
    </row>
    <row r="881" spans="2:17" ht="16.5" x14ac:dyDescent="0.75">
      <c r="B881" s="227">
        <v>4</v>
      </c>
      <c r="C881" s="150">
        <v>4</v>
      </c>
      <c r="D881" s="150">
        <v>30</v>
      </c>
      <c r="E881" s="150" t="str">
        <f t="shared" si="62"/>
        <v>تیر</v>
      </c>
      <c r="F881" s="151" t="s">
        <v>168</v>
      </c>
      <c r="G881" s="244" t="s">
        <v>563</v>
      </c>
      <c r="H881" s="247" t="s">
        <v>390</v>
      </c>
      <c r="I881" s="162" t="s">
        <v>626</v>
      </c>
      <c r="J881" s="251">
        <v>8</v>
      </c>
      <c r="K881" s="254">
        <v>198000</v>
      </c>
      <c r="L881" s="255">
        <f>J881*K881</f>
        <v>1584000</v>
      </c>
      <c r="M881" s="257">
        <v>1584000</v>
      </c>
      <c r="N881" s="262" t="s">
        <v>611</v>
      </c>
      <c r="O88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81" s="262"/>
      <c r="Q881" s="264" t="str" cm="1">
        <f t="array" ref="Q881">IF(T[[#This Row],[نوع عملیات]]="فروش", _xlfn.XLOOKUP(T[[#This Row],[کالا]], _xlfn._xlws.FILTER(T[کالا], T[نوع عملیات]="خرید"), _xlfn._xlws.FILTER(T[فروشنده / مشتری], T[نوع عملیات]="خرید")), "")</f>
        <v/>
      </c>
    </row>
    <row r="882" spans="2:17" ht="16.5" x14ac:dyDescent="0.75">
      <c r="B882" s="227">
        <v>4</v>
      </c>
      <c r="C882" s="150">
        <v>4</v>
      </c>
      <c r="D882" s="150">
        <v>30</v>
      </c>
      <c r="E882" s="150" t="str">
        <f t="shared" si="62"/>
        <v>تیر</v>
      </c>
      <c r="F882" s="151" t="s">
        <v>168</v>
      </c>
      <c r="G882" s="244" t="s">
        <v>457</v>
      </c>
      <c r="H882" s="247" t="s">
        <v>390</v>
      </c>
      <c r="I882" s="162" t="s">
        <v>626</v>
      </c>
      <c r="J882" s="251">
        <v>4</v>
      </c>
      <c r="K882" s="254">
        <v>1000000</v>
      </c>
      <c r="L882" s="255">
        <f>J882*K882</f>
        <v>4000000</v>
      </c>
      <c r="M882" s="257">
        <v>4000000</v>
      </c>
      <c r="N882" s="262" t="s">
        <v>611</v>
      </c>
      <c r="O88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82" s="262"/>
      <c r="Q882" s="264" t="str" cm="1">
        <f t="array" ref="Q882">IF(T[[#This Row],[نوع عملیات]]="فروش", _xlfn.XLOOKUP(T[[#This Row],[کالا]], _xlfn._xlws.FILTER(T[کالا], T[نوع عملیات]="خرید"), _xlfn._xlws.FILTER(T[فروشنده / مشتری], T[نوع عملیات]="خرید")), "")</f>
        <v/>
      </c>
    </row>
    <row r="883" spans="2:17" ht="16.5" x14ac:dyDescent="0.75">
      <c r="B883" s="227">
        <v>4</v>
      </c>
      <c r="C883" s="150">
        <v>4</v>
      </c>
      <c r="D883" s="150">
        <v>30</v>
      </c>
      <c r="E883" s="150" t="str">
        <f t="shared" si="62"/>
        <v>تیر</v>
      </c>
      <c r="F883" s="151" t="s">
        <v>168</v>
      </c>
      <c r="G883" s="244" t="s">
        <v>629</v>
      </c>
      <c r="H883" s="247" t="s">
        <v>390</v>
      </c>
      <c r="I883" s="162" t="s">
        <v>626</v>
      </c>
      <c r="J883" s="251">
        <v>2</v>
      </c>
      <c r="K883" s="254">
        <v>200000</v>
      </c>
      <c r="L883" s="255">
        <f>J883*K883</f>
        <v>400000</v>
      </c>
      <c r="M883" s="257">
        <v>400000</v>
      </c>
      <c r="N883" s="262" t="s">
        <v>518</v>
      </c>
      <c r="O88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83" s="262"/>
      <c r="Q883" s="264" t="str" cm="1">
        <f t="array" ref="Q883">IF(T[[#This Row],[نوع عملیات]]="فروش", _xlfn.XLOOKUP(T[[#This Row],[کالا]], _xlfn._xlws.FILTER(T[کالا], T[نوع عملیات]="خرید"), _xlfn._xlws.FILTER(T[فروشنده / مشتری], T[نوع عملیات]="خرید")), "")</f>
        <v/>
      </c>
    </row>
    <row r="884" spans="2:17" ht="16.5" hidden="1" x14ac:dyDescent="0.75">
      <c r="B884" s="227">
        <v>4</v>
      </c>
      <c r="C884" s="150">
        <v>4</v>
      </c>
      <c r="D884" s="150">
        <v>30</v>
      </c>
      <c r="E884" s="150" t="str">
        <f t="shared" si="62"/>
        <v>تیر</v>
      </c>
      <c r="F884" s="151" t="s">
        <v>168</v>
      </c>
      <c r="G884" s="244" t="s">
        <v>630</v>
      </c>
      <c r="H884" s="247" t="s">
        <v>631</v>
      </c>
      <c r="I884" s="162" t="s">
        <v>632</v>
      </c>
      <c r="J884" s="251">
        <v>4</v>
      </c>
      <c r="K884" s="254">
        <f>T[[#This Row],[قیمت کل]]/T[[#This Row],[تعداد]]</f>
        <v>521250</v>
      </c>
      <c r="L884" s="255">
        <v>2085000</v>
      </c>
      <c r="M884" s="257">
        <v>2085000</v>
      </c>
      <c r="N884" s="262" t="s">
        <v>611</v>
      </c>
      <c r="O88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84" s="262"/>
      <c r="Q884" s="264" t="str" cm="1">
        <f t="array" ref="Q884">IF(T[[#This Row],[نوع عملیات]]="فروش", _xlfn.XLOOKUP(T[[#This Row],[کالا]], _xlfn._xlws.FILTER(T[کالا], T[نوع عملیات]="خرید"), _xlfn._xlws.FILTER(T[فروشنده / مشتری], T[نوع عملیات]="خرید")), "")</f>
        <v/>
      </c>
    </row>
    <row r="885" spans="2:17" ht="16.5" hidden="1" x14ac:dyDescent="0.75">
      <c r="B885" s="347">
        <v>4</v>
      </c>
      <c r="C885" s="348">
        <v>4</v>
      </c>
      <c r="D885" s="348">
        <v>30</v>
      </c>
      <c r="E885" s="348" t="str">
        <f t="shared" si="62"/>
        <v>تیر</v>
      </c>
      <c r="F885" s="349" t="s">
        <v>168</v>
      </c>
      <c r="G885" s="350" t="s">
        <v>623</v>
      </c>
      <c r="H885" s="351" t="s">
        <v>608</v>
      </c>
      <c r="I885" s="352"/>
      <c r="J885" s="353">
        <v>8</v>
      </c>
      <c r="K885" s="354">
        <v>250000</v>
      </c>
      <c r="L885" s="355">
        <f>J885*K885</f>
        <v>2000000</v>
      </c>
      <c r="M885" s="356"/>
      <c r="N885" s="357"/>
      <c r="O885" s="358">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85" s="357"/>
      <c r="Q885" s="359" t="str" cm="1">
        <f t="array" ref="Q885">IF(T[[#This Row],[نوع عملیات]]="فروش", _xlfn.XLOOKUP(T[[#This Row],[کالا]], _xlfn._xlws.FILTER(T[کالا], T[نوع عملیات]="خرید"), _xlfn._xlws.FILTER(T[فروشنده / مشتری], T[نوع عملیات]="خرید")), "")</f>
        <v/>
      </c>
    </row>
    <row r="886" spans="2:17" ht="16.5" hidden="1" x14ac:dyDescent="0.75">
      <c r="B886" s="347">
        <v>4</v>
      </c>
      <c r="C886" s="348">
        <v>4</v>
      </c>
      <c r="D886" s="348">
        <v>30</v>
      </c>
      <c r="E886" s="348" t="str">
        <f t="shared" si="62"/>
        <v>تیر</v>
      </c>
      <c r="F886" s="349" t="s">
        <v>168</v>
      </c>
      <c r="G886" s="350" t="s">
        <v>622</v>
      </c>
      <c r="H886" s="351" t="s">
        <v>608</v>
      </c>
      <c r="I886" s="352"/>
      <c r="J886" s="353">
        <v>20</v>
      </c>
      <c r="K886" s="354">
        <v>650000</v>
      </c>
      <c r="L886" s="355">
        <f>J886*K886</f>
        <v>13000000</v>
      </c>
      <c r="M886" s="356"/>
      <c r="N886" s="357"/>
      <c r="O886" s="358">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86" s="357"/>
      <c r="Q886" s="359" t="str" cm="1">
        <f t="array" ref="Q886">IF(T[[#This Row],[نوع عملیات]]="فروش", _xlfn.XLOOKUP(T[[#This Row],[کالا]], _xlfn._xlws.FILTER(T[کالا], T[نوع عملیات]="خرید"), _xlfn._xlws.FILTER(T[فروشنده / مشتری], T[نوع عملیات]="خرید")), "")</f>
        <v/>
      </c>
    </row>
    <row r="887" spans="2:17" ht="16.5" hidden="1" x14ac:dyDescent="0.75">
      <c r="B887" s="347">
        <v>4</v>
      </c>
      <c r="C887" s="348">
        <v>4</v>
      </c>
      <c r="D887" s="348">
        <v>30</v>
      </c>
      <c r="E887" s="150" t="str">
        <f t="shared" si="62"/>
        <v>تیر</v>
      </c>
      <c r="F887" s="349" t="s">
        <v>167</v>
      </c>
      <c r="G887" s="350" t="s">
        <v>623</v>
      </c>
      <c r="H887" s="351" t="s">
        <v>585</v>
      </c>
      <c r="I887" s="352"/>
      <c r="J887" s="353">
        <v>2</v>
      </c>
      <c r="K887" s="354">
        <v>250000</v>
      </c>
      <c r="L887" s="355">
        <f>J887*K887</f>
        <v>500000</v>
      </c>
      <c r="M887" s="356">
        <v>500000</v>
      </c>
      <c r="N887" s="357" t="s">
        <v>518</v>
      </c>
      <c r="O887" s="358">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87" s="357"/>
      <c r="Q887" s="359" t="str" cm="1">
        <f t="array" ref="Q887">IF(T[[#This Row],[نوع عملیات]]="فروش", _xlfn.XLOOKUP(T[[#This Row],[کالا]], _xlfn._xlws.FILTER(T[کالا], T[نوع عملیات]="خرید"), _xlfn._xlws.FILTER(T[فروشنده / مشتری], T[نوع عملیات]="خرید")), "")</f>
        <v>هستی هنگامه</v>
      </c>
    </row>
    <row r="888" spans="2:17" ht="16.5" hidden="1" x14ac:dyDescent="0.75">
      <c r="B888" s="227">
        <v>4</v>
      </c>
      <c r="C888" s="150">
        <v>4</v>
      </c>
      <c r="D888" s="150">
        <v>30</v>
      </c>
      <c r="E888" s="150"/>
      <c r="F888" s="151" t="s">
        <v>167</v>
      </c>
      <c r="G888" s="244" t="s">
        <v>271</v>
      </c>
      <c r="H888" s="247" t="s">
        <v>617</v>
      </c>
      <c r="I888" s="162"/>
      <c r="J888" s="251">
        <v>1</v>
      </c>
      <c r="K888" s="254">
        <v>800000</v>
      </c>
      <c r="L888" s="255">
        <f t="shared" si="61"/>
        <v>800000</v>
      </c>
      <c r="M888" s="257"/>
      <c r="N888" s="262"/>
      <c r="O88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222000</v>
      </c>
      <c r="P888" s="262"/>
      <c r="Q888" s="264" t="str" cm="1">
        <f t="array" ref="Q888">IF(T[[#This Row],[نوع عملیات]]="فروش", _xlfn.XLOOKUP(T[[#This Row],[کالا]], _xlfn._xlws.FILTER(T[کالا], T[نوع عملیات]="خرید"), _xlfn._xlws.FILTER(T[فروشنده / مشتری], T[نوع عملیات]="خرید")), "")</f>
        <v>بازار</v>
      </c>
    </row>
    <row r="889" spans="2:17" ht="16.5" hidden="1" x14ac:dyDescent="0.75">
      <c r="B889" s="227">
        <v>4</v>
      </c>
      <c r="C889" s="150">
        <v>4</v>
      </c>
      <c r="D889" s="150">
        <v>30</v>
      </c>
      <c r="E889" s="150"/>
      <c r="F889" s="151" t="s">
        <v>167</v>
      </c>
      <c r="G889" s="244" t="s">
        <v>622</v>
      </c>
      <c r="H889" s="247" t="s">
        <v>434</v>
      </c>
      <c r="I889" s="162"/>
      <c r="J889" s="251">
        <v>1</v>
      </c>
      <c r="K889" s="254">
        <v>650000</v>
      </c>
      <c r="L889" s="255">
        <f t="shared" si="61"/>
        <v>650000</v>
      </c>
      <c r="M889" s="257"/>
      <c r="N889" s="262"/>
      <c r="O88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89" s="262"/>
      <c r="Q889" s="264" t="str" cm="1">
        <f t="array" ref="Q889">IF(T[[#This Row],[نوع عملیات]]="فروش", _xlfn.XLOOKUP(T[[#This Row],[کالا]], _xlfn._xlws.FILTER(T[کالا], T[نوع عملیات]="خرید"), _xlfn._xlws.FILTER(T[فروشنده / مشتری], T[نوع عملیات]="خرید")), "")</f>
        <v>هستی هنگامه</v>
      </c>
    </row>
    <row r="890" spans="2:17" ht="16.5" hidden="1" x14ac:dyDescent="0.75">
      <c r="B890" s="227">
        <v>4</v>
      </c>
      <c r="C890" s="150">
        <v>4</v>
      </c>
      <c r="D890" s="150">
        <v>30</v>
      </c>
      <c r="E890" s="150"/>
      <c r="F890" s="151" t="s">
        <v>167</v>
      </c>
      <c r="G890" s="244" t="s">
        <v>622</v>
      </c>
      <c r="H890" s="247" t="s">
        <v>616</v>
      </c>
      <c r="I890" s="162"/>
      <c r="J890" s="251">
        <v>1</v>
      </c>
      <c r="K890" s="254">
        <v>650000</v>
      </c>
      <c r="L890" s="255">
        <f t="shared" si="61"/>
        <v>650000</v>
      </c>
      <c r="M890" s="257"/>
      <c r="N890" s="262"/>
      <c r="O89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890" s="262"/>
      <c r="Q890" s="264" t="str" cm="1">
        <f t="array" ref="Q890">IF(T[[#This Row],[نوع عملیات]]="فروش", _xlfn.XLOOKUP(T[[#This Row],[کالا]], _xlfn._xlws.FILTER(T[کالا], T[نوع عملیات]="خرید"), _xlfn._xlws.FILTER(T[فروشنده / مشتری], T[نوع عملیات]="خرید")), "")</f>
        <v>هستی هنگامه</v>
      </c>
    </row>
    <row r="891" spans="2:17" ht="16.5" hidden="1" x14ac:dyDescent="0.75">
      <c r="B891" s="227">
        <v>4</v>
      </c>
      <c r="C891" s="150">
        <v>4</v>
      </c>
      <c r="D891" s="150">
        <v>30</v>
      </c>
      <c r="E891" s="150"/>
      <c r="F891" s="151" t="s">
        <v>167</v>
      </c>
      <c r="G891" s="244" t="s">
        <v>485</v>
      </c>
      <c r="H891" s="247" t="s">
        <v>430</v>
      </c>
      <c r="I891" s="162"/>
      <c r="J891" s="251">
        <v>1</v>
      </c>
      <c r="K891" s="254">
        <v>2200000</v>
      </c>
      <c r="L891" s="255">
        <f t="shared" si="61"/>
        <v>2200000</v>
      </c>
      <c r="M891" s="257"/>
      <c r="N891" s="262"/>
      <c r="O89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620000</v>
      </c>
      <c r="P891" s="262"/>
      <c r="Q891" s="264" t="str" cm="1">
        <f t="array" ref="Q891">IF(T[[#This Row],[نوع عملیات]]="فروش", _xlfn.XLOOKUP(T[[#This Row],[کالا]], _xlfn._xlws.FILTER(T[کالا], T[نوع عملیات]="خرید"), _xlfn._xlws.FILTER(T[فروشنده / مشتری], T[نوع عملیات]="خرید")), "")</f>
        <v>عبدل آباد</v>
      </c>
    </row>
    <row r="892" spans="2:17" ht="16.5" hidden="1" x14ac:dyDescent="0.75">
      <c r="B892" s="227">
        <v>4</v>
      </c>
      <c r="C892" s="150">
        <v>4</v>
      </c>
      <c r="D892" s="150">
        <v>30</v>
      </c>
      <c r="E892" s="150"/>
      <c r="F892" s="151" t="s">
        <v>167</v>
      </c>
      <c r="G892" s="244" t="s">
        <v>486</v>
      </c>
      <c r="H892" s="247" t="s">
        <v>612</v>
      </c>
      <c r="I892" s="162"/>
      <c r="J892" s="251">
        <v>1</v>
      </c>
      <c r="K892" s="254">
        <v>2500000</v>
      </c>
      <c r="L892" s="255">
        <f t="shared" si="61"/>
        <v>2500000</v>
      </c>
      <c r="M892" s="257"/>
      <c r="N892" s="262"/>
      <c r="O89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892" s="262"/>
      <c r="Q892" s="264" t="str" cm="1">
        <f t="array" ref="Q892">IF(T[[#This Row],[نوع عملیات]]="فروش", _xlfn.XLOOKUP(T[[#This Row],[کالا]], _xlfn._xlws.FILTER(T[کالا], T[نوع عملیات]="خرید"), _xlfn._xlws.FILTER(T[فروشنده / مشتری], T[نوع عملیات]="خرید")), "")</f>
        <v>عبدل آباد</v>
      </c>
    </row>
    <row r="893" spans="2:17" ht="16.5" hidden="1" x14ac:dyDescent="0.75">
      <c r="B893" s="227">
        <v>4</v>
      </c>
      <c r="C893" s="150">
        <v>4</v>
      </c>
      <c r="D893" s="150">
        <v>30</v>
      </c>
      <c r="E893" s="150"/>
      <c r="F893" s="151" t="s">
        <v>167</v>
      </c>
      <c r="G893" s="244" t="s">
        <v>457</v>
      </c>
      <c r="H893" s="247" t="s">
        <v>476</v>
      </c>
      <c r="I893" s="162"/>
      <c r="J893" s="251">
        <v>2</v>
      </c>
      <c r="K893" s="254">
        <v>1400000</v>
      </c>
      <c r="L893" s="255">
        <f t="shared" si="61"/>
        <v>2800000</v>
      </c>
      <c r="M893" s="257"/>
      <c r="N893" s="262"/>
      <c r="O89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826956.52173913037</v>
      </c>
      <c r="P893" s="262"/>
      <c r="Q893" s="264" t="str" cm="1">
        <f t="array" ref="Q893">IF(T[[#This Row],[نوع عملیات]]="فروش", _xlfn.XLOOKUP(T[[#This Row],[کالا]], _xlfn._xlws.FILTER(T[کالا], T[نوع عملیات]="خرید"), _xlfn._xlws.FILTER(T[فروشنده / مشتری], T[نوع عملیات]="خرید")), "")</f>
        <v>عبدل آباد</v>
      </c>
    </row>
    <row r="894" spans="2:17" ht="16.5" hidden="1" x14ac:dyDescent="0.75">
      <c r="B894" s="227">
        <v>4</v>
      </c>
      <c r="C894" s="150">
        <v>4</v>
      </c>
      <c r="D894" s="150">
        <v>30</v>
      </c>
      <c r="E894" s="150"/>
      <c r="F894" s="151" t="s">
        <v>167</v>
      </c>
      <c r="G894" s="244" t="s">
        <v>357</v>
      </c>
      <c r="H894" s="247" t="s">
        <v>211</v>
      </c>
      <c r="I894" s="162"/>
      <c r="J894" s="251">
        <v>1</v>
      </c>
      <c r="K894" s="254">
        <v>850000</v>
      </c>
      <c r="L894" s="255">
        <f t="shared" si="61"/>
        <v>850000</v>
      </c>
      <c r="M894" s="257">
        <v>850000</v>
      </c>
      <c r="N894" s="262" t="s">
        <v>299</v>
      </c>
      <c r="O89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560000</v>
      </c>
      <c r="P894" s="262"/>
      <c r="Q894" s="264" t="str" cm="1">
        <f t="array" ref="Q894">IF(T[[#This Row],[نوع عملیات]]="فروش", _xlfn.XLOOKUP(T[[#This Row],[کالا]], _xlfn._xlws.FILTER(T[کالا], T[نوع عملیات]="خرید"), _xlfn._xlws.FILTER(T[فروشنده / مشتری], T[نوع عملیات]="خرید")), "")</f>
        <v>بازار</v>
      </c>
    </row>
    <row r="895" spans="2:17" ht="16.5" hidden="1" x14ac:dyDescent="0.75">
      <c r="B895" s="227">
        <v>4</v>
      </c>
      <c r="C895" s="150">
        <v>4</v>
      </c>
      <c r="D895" s="150">
        <v>30</v>
      </c>
      <c r="E895" s="150"/>
      <c r="F895" s="151" t="s">
        <v>167</v>
      </c>
      <c r="G895" s="244" t="s">
        <v>356</v>
      </c>
      <c r="H895" s="247" t="s">
        <v>211</v>
      </c>
      <c r="I895" s="162"/>
      <c r="J895" s="251">
        <v>1</v>
      </c>
      <c r="K895" s="254">
        <v>850000</v>
      </c>
      <c r="L895" s="255">
        <f t="shared" si="61"/>
        <v>850000</v>
      </c>
      <c r="M895" s="257">
        <v>850000</v>
      </c>
      <c r="N895" s="262" t="s">
        <v>299</v>
      </c>
      <c r="O89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530000</v>
      </c>
      <c r="P895" s="262"/>
      <c r="Q895" s="264" t="str" cm="1">
        <f t="array" ref="Q895">IF(T[[#This Row],[نوع عملیات]]="فروش", _xlfn.XLOOKUP(T[[#This Row],[کالا]], _xlfn._xlws.FILTER(T[کالا], T[نوع عملیات]="خرید"), _xlfn._xlws.FILTER(T[فروشنده / مشتری], T[نوع عملیات]="خرید")), "")</f>
        <v>بازار</v>
      </c>
    </row>
    <row r="896" spans="2:17" ht="16.5" hidden="1" x14ac:dyDescent="0.75">
      <c r="B896" s="227">
        <v>4</v>
      </c>
      <c r="C896" s="150">
        <v>4</v>
      </c>
      <c r="D896" s="150">
        <v>31</v>
      </c>
      <c r="E896" s="150"/>
      <c r="F896" s="151" t="s">
        <v>167</v>
      </c>
      <c r="G896" s="244" t="s">
        <v>486</v>
      </c>
      <c r="H896" s="247" t="s">
        <v>416</v>
      </c>
      <c r="I896" s="162"/>
      <c r="J896" s="251">
        <v>1</v>
      </c>
      <c r="K896" s="254">
        <v>2000000</v>
      </c>
      <c r="L896" s="255">
        <f t="shared" si="56"/>
        <v>2000000</v>
      </c>
      <c r="M896" s="257"/>
      <c r="N896" s="262"/>
      <c r="O89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451250</v>
      </c>
      <c r="P896" s="262"/>
      <c r="Q896" s="264" t="str" cm="1">
        <f t="array" ref="Q896">IF(T[[#This Row],[نوع عملیات]]="فروش", _xlfn.XLOOKUP(T[[#This Row],[کالا]], _xlfn._xlws.FILTER(T[کالا], T[نوع عملیات]="خرید"), _xlfn._xlws.FILTER(T[فروشنده / مشتری], T[نوع عملیات]="خرید")), "")</f>
        <v>عبدل آباد</v>
      </c>
    </row>
    <row r="897" spans="2:17" ht="16.5" hidden="1" x14ac:dyDescent="0.75">
      <c r="B897" s="227">
        <v>4</v>
      </c>
      <c r="C897" s="150">
        <v>4</v>
      </c>
      <c r="D897" s="150">
        <v>31</v>
      </c>
      <c r="E897" s="150"/>
      <c r="F897" s="151" t="s">
        <v>167</v>
      </c>
      <c r="G897" s="244" t="s">
        <v>557</v>
      </c>
      <c r="H897" s="247" t="s">
        <v>618</v>
      </c>
      <c r="I897" s="162"/>
      <c r="J897" s="251">
        <v>1</v>
      </c>
      <c r="K897" s="254">
        <v>1500000</v>
      </c>
      <c r="L897" s="255">
        <f t="shared" si="56"/>
        <v>1500000</v>
      </c>
      <c r="M897" s="257"/>
      <c r="N897" s="262"/>
      <c r="O89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908333.33333333337</v>
      </c>
      <c r="P897" s="262"/>
      <c r="Q897" s="264" t="str" cm="1">
        <f t="array" ref="Q897">IF(T[[#This Row],[نوع عملیات]]="فروش", _xlfn.XLOOKUP(T[[#This Row],[کالا]], _xlfn._xlws.FILTER(T[کالا], T[نوع عملیات]="خرید"), _xlfn._xlws.FILTER(T[فروشنده / مشتری], T[نوع عملیات]="خرید")), "")</f>
        <v>بازار پارسیان</v>
      </c>
    </row>
    <row r="898" spans="2:17" ht="16.5" hidden="1" x14ac:dyDescent="0.75">
      <c r="B898" s="227">
        <v>4</v>
      </c>
      <c r="C898" s="150">
        <v>4</v>
      </c>
      <c r="D898" s="150">
        <v>31</v>
      </c>
      <c r="E898" s="150"/>
      <c r="F898" s="151" t="s">
        <v>167</v>
      </c>
      <c r="G898" s="244" t="s">
        <v>457</v>
      </c>
      <c r="H898" s="247" t="s">
        <v>618</v>
      </c>
      <c r="I898" s="162"/>
      <c r="J898" s="251">
        <v>1</v>
      </c>
      <c r="K898" s="254">
        <v>1400000</v>
      </c>
      <c r="L898" s="255">
        <f t="shared" ref="L898" si="63">J898*K898</f>
        <v>1400000</v>
      </c>
      <c r="M898" s="257"/>
      <c r="N898" s="262"/>
      <c r="O89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898" s="262"/>
      <c r="Q898" s="264" t="str" cm="1">
        <f t="array" ref="Q898">IF(T[[#This Row],[نوع عملیات]]="فروش", _xlfn.XLOOKUP(T[[#This Row],[کالا]], _xlfn._xlws.FILTER(T[کالا], T[نوع عملیات]="خرید"), _xlfn._xlws.FILTER(T[فروشنده / مشتری], T[نوع عملیات]="خرید")), "")</f>
        <v>عبدل آباد</v>
      </c>
    </row>
    <row r="899" spans="2:17" ht="16.5" hidden="1" x14ac:dyDescent="0.75">
      <c r="B899" s="227">
        <v>4</v>
      </c>
      <c r="C899" s="150">
        <v>4</v>
      </c>
      <c r="D899" s="150">
        <v>31</v>
      </c>
      <c r="E899" s="150"/>
      <c r="F899" s="151" t="s">
        <v>325</v>
      </c>
      <c r="G899" s="244" t="s">
        <v>557</v>
      </c>
      <c r="H899" s="247" t="s">
        <v>451</v>
      </c>
      <c r="I899" s="162"/>
      <c r="J899" s="251">
        <v>1</v>
      </c>
      <c r="K899" s="254">
        <v>0</v>
      </c>
      <c r="L899" s="255">
        <f t="shared" si="56"/>
        <v>0</v>
      </c>
      <c r="M899" s="257"/>
      <c r="N899" s="262"/>
      <c r="O89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-591666.66666666663</v>
      </c>
      <c r="P899" s="262"/>
      <c r="Q899" s="264" t="str" cm="1">
        <f t="array" ref="Q899">IF(T[[#This Row],[نوع عملیات]]="فروش", _xlfn.XLOOKUP(T[[#This Row],[کالا]], _xlfn._xlws.FILTER(T[کالا], T[نوع عملیات]="خرید"), _xlfn._xlws.FILTER(T[فروشنده / مشتری], T[نوع عملیات]="خرید")), "")</f>
        <v/>
      </c>
    </row>
    <row r="900" spans="2:17" ht="16.5" hidden="1" x14ac:dyDescent="0.75">
      <c r="B900" s="227">
        <v>4</v>
      </c>
      <c r="C900" s="150">
        <v>4</v>
      </c>
      <c r="D900" s="150">
        <v>31</v>
      </c>
      <c r="E900" s="150"/>
      <c r="F900" s="151" t="s">
        <v>167</v>
      </c>
      <c r="G900" s="244" t="s">
        <v>457</v>
      </c>
      <c r="H900" s="247" t="s">
        <v>510</v>
      </c>
      <c r="I900" s="162"/>
      <c r="J900" s="251">
        <v>1</v>
      </c>
      <c r="K900" s="254">
        <v>1400000</v>
      </c>
      <c r="L900" s="255">
        <f t="shared" si="56"/>
        <v>1400000</v>
      </c>
      <c r="M900" s="257"/>
      <c r="N900" s="262"/>
      <c r="O9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900" s="262"/>
      <c r="Q900" s="264" t="str" cm="1">
        <f t="array" ref="Q900">IF(T[[#This Row],[نوع عملیات]]="فروش", _xlfn.XLOOKUP(T[[#This Row],[کالا]], _xlfn._xlws.FILTER(T[کالا], T[نوع عملیات]="خرید"), _xlfn._xlws.FILTER(T[فروشنده / مشتری], T[نوع عملیات]="خرید")), "")</f>
        <v>عبدل آباد</v>
      </c>
    </row>
    <row r="901" spans="2:17" ht="16.5" hidden="1" x14ac:dyDescent="0.75">
      <c r="B901" s="227">
        <v>4</v>
      </c>
      <c r="C901" s="150">
        <v>4</v>
      </c>
      <c r="D901" s="150">
        <v>31</v>
      </c>
      <c r="E901" s="150"/>
      <c r="F901" s="151" t="s">
        <v>167</v>
      </c>
      <c r="G901" s="244" t="s">
        <v>457</v>
      </c>
      <c r="H901" s="247" t="s">
        <v>211</v>
      </c>
      <c r="I901" s="162"/>
      <c r="J901" s="251">
        <v>1</v>
      </c>
      <c r="K901" s="254">
        <v>1400000</v>
      </c>
      <c r="L901" s="255">
        <f t="shared" si="56"/>
        <v>1400000</v>
      </c>
      <c r="M901" s="257">
        <v>1400000</v>
      </c>
      <c r="N901" s="262" t="s">
        <v>611</v>
      </c>
      <c r="O9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901" s="262"/>
      <c r="Q901" s="264" t="str" cm="1">
        <f t="array" ref="Q901">IF(T[[#This Row],[نوع عملیات]]="فروش", _xlfn.XLOOKUP(T[[#This Row],[کالا]], _xlfn._xlws.FILTER(T[کالا], T[نوع عملیات]="خرید"), _xlfn._xlws.FILTER(T[فروشنده / مشتری], T[نوع عملیات]="خرید")), "")</f>
        <v>عبدل آباد</v>
      </c>
    </row>
    <row r="902" spans="2:17" ht="16.5" hidden="1" x14ac:dyDescent="0.75">
      <c r="B902" s="227">
        <v>4</v>
      </c>
      <c r="C902" s="150">
        <v>4</v>
      </c>
      <c r="D902" s="150">
        <v>31</v>
      </c>
      <c r="E902" s="150"/>
      <c r="F902" s="151" t="s">
        <v>167</v>
      </c>
      <c r="G902" s="244" t="s">
        <v>570</v>
      </c>
      <c r="H902" s="247" t="s">
        <v>211</v>
      </c>
      <c r="I902" s="162"/>
      <c r="J902" s="251">
        <v>1</v>
      </c>
      <c r="K902" s="254">
        <v>500000</v>
      </c>
      <c r="L902" s="255">
        <f t="shared" si="56"/>
        <v>500000</v>
      </c>
      <c r="M902" s="257"/>
      <c r="N902" s="262"/>
      <c r="O9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272000</v>
      </c>
      <c r="P902" s="262"/>
      <c r="Q902" s="264" t="str" cm="1">
        <f t="array" ref="Q902">IF(T[[#This Row],[نوع عملیات]]="فروش", _xlfn.XLOOKUP(T[[#This Row],[کالا]], _xlfn._xlws.FILTER(T[کالا], T[نوع عملیات]="خرید"), _xlfn._xlws.FILTER(T[فروشنده / مشتری], T[نوع عملیات]="خرید")), "")</f>
        <v>عبدل آباد</v>
      </c>
    </row>
    <row r="903" spans="2:17" ht="16.5" hidden="1" x14ac:dyDescent="0.75">
      <c r="B903" s="227">
        <v>4</v>
      </c>
      <c r="C903" s="150">
        <v>4</v>
      </c>
      <c r="D903" s="150">
        <v>31</v>
      </c>
      <c r="E903" s="150"/>
      <c r="F903" s="151" t="s">
        <v>167</v>
      </c>
      <c r="G903" s="244" t="s">
        <v>568</v>
      </c>
      <c r="H903" s="247" t="s">
        <v>211</v>
      </c>
      <c r="I903" s="162"/>
      <c r="J903" s="251">
        <v>1</v>
      </c>
      <c r="K903" s="254">
        <v>600000</v>
      </c>
      <c r="L903" s="255">
        <f t="shared" si="56"/>
        <v>600000</v>
      </c>
      <c r="M903" s="257">
        <v>1100000</v>
      </c>
      <c r="N903" s="262" t="s">
        <v>299</v>
      </c>
      <c r="O9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212000</v>
      </c>
      <c r="P903" s="262"/>
      <c r="Q903" s="264" t="str" cm="1">
        <f t="array" ref="Q903">IF(T[[#This Row],[نوع عملیات]]="فروش", _xlfn.XLOOKUP(T[[#This Row],[کالا]], _xlfn._xlws.FILTER(T[کالا], T[نوع عملیات]="خرید"), _xlfn._xlws.FILTER(T[فروشنده / مشتری], T[نوع عملیات]="خرید")), "")</f>
        <v>عبدل آباد</v>
      </c>
    </row>
    <row r="904" spans="2:17" ht="16.5" hidden="1" x14ac:dyDescent="0.75">
      <c r="B904" s="227">
        <v>4</v>
      </c>
      <c r="C904" s="150">
        <v>4</v>
      </c>
      <c r="D904" s="150">
        <v>31</v>
      </c>
      <c r="E904" s="150"/>
      <c r="F904" s="151" t="s">
        <v>167</v>
      </c>
      <c r="G904" s="244" t="s">
        <v>623</v>
      </c>
      <c r="H904" s="247" t="s">
        <v>211</v>
      </c>
      <c r="I904" s="162"/>
      <c r="J904" s="251">
        <v>1</v>
      </c>
      <c r="K904" s="254">
        <v>250000</v>
      </c>
      <c r="L904" s="255">
        <f t="shared" si="56"/>
        <v>250000</v>
      </c>
      <c r="M904" s="257">
        <v>250000</v>
      </c>
      <c r="N904" s="262" t="s">
        <v>299</v>
      </c>
      <c r="O9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04" s="262"/>
      <c r="Q904" s="264" t="str" cm="1">
        <f t="array" ref="Q904">IF(T[[#This Row],[نوع عملیات]]="فروش", _xlfn.XLOOKUP(T[[#This Row],[کالا]], _xlfn._xlws.FILTER(T[کالا], T[نوع عملیات]="خرید"), _xlfn._xlws.FILTER(T[فروشنده / مشتری], T[نوع عملیات]="خرید")), "")</f>
        <v>هستی هنگامه</v>
      </c>
    </row>
    <row r="905" spans="2:17" ht="16.5" hidden="1" x14ac:dyDescent="0.75">
      <c r="B905" s="227">
        <v>4</v>
      </c>
      <c r="C905" s="150">
        <v>4</v>
      </c>
      <c r="D905" s="150">
        <v>31</v>
      </c>
      <c r="E905" s="150"/>
      <c r="F905" s="151" t="s">
        <v>167</v>
      </c>
      <c r="G905" s="244" t="s">
        <v>623</v>
      </c>
      <c r="H905" s="247" t="s">
        <v>480</v>
      </c>
      <c r="I905" s="162"/>
      <c r="J905" s="251">
        <v>1</v>
      </c>
      <c r="K905" s="254">
        <v>250000</v>
      </c>
      <c r="L905" s="255">
        <f t="shared" si="56"/>
        <v>250000</v>
      </c>
      <c r="M905" s="257"/>
      <c r="N905" s="262"/>
      <c r="O9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05" s="262"/>
      <c r="Q905" s="264" t="str" cm="1">
        <f t="array" ref="Q905">IF(T[[#This Row],[نوع عملیات]]="فروش", _xlfn.XLOOKUP(T[[#This Row],[کالا]], _xlfn._xlws.FILTER(T[کالا], T[نوع عملیات]="خرید"), _xlfn._xlws.FILTER(T[فروشنده / مشتری], T[نوع عملیات]="خرید")), "")</f>
        <v>هستی هنگامه</v>
      </c>
    </row>
    <row r="906" spans="2:17" ht="16.5" hidden="1" x14ac:dyDescent="0.75">
      <c r="B906" s="227">
        <v>4</v>
      </c>
      <c r="C906" s="150">
        <v>4</v>
      </c>
      <c r="D906" s="150">
        <v>31</v>
      </c>
      <c r="E906" s="150"/>
      <c r="F906" s="151" t="s">
        <v>167</v>
      </c>
      <c r="G906" s="244" t="s">
        <v>574</v>
      </c>
      <c r="H906" s="247" t="s">
        <v>430</v>
      </c>
      <c r="I906" s="162"/>
      <c r="J906" s="251">
        <v>2</v>
      </c>
      <c r="K906" s="254">
        <v>300000</v>
      </c>
      <c r="L906" s="255">
        <f t="shared" si="56"/>
        <v>600000</v>
      </c>
      <c r="M906" s="257"/>
      <c r="N906" s="262"/>
      <c r="O9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364000</v>
      </c>
      <c r="P906" s="262"/>
      <c r="Q906" s="264" t="str" cm="1">
        <f t="array" ref="Q906">IF(T[[#This Row],[نوع عملیات]]="فروش", _xlfn.XLOOKUP(T[[#This Row],[کالا]], _xlfn._xlws.FILTER(T[کالا], T[نوع عملیات]="خرید"), _xlfn._xlws.FILTER(T[فروشنده / مشتری], T[نوع عملیات]="خرید")), "")</f>
        <v>عبدل آباد</v>
      </c>
    </row>
    <row r="907" spans="2:17" ht="16.5" hidden="1" x14ac:dyDescent="0.75">
      <c r="B907" s="227">
        <v>4</v>
      </c>
      <c r="C907" s="150">
        <v>4</v>
      </c>
      <c r="D907" s="150">
        <v>31</v>
      </c>
      <c r="E907" s="150"/>
      <c r="F907" s="151" t="s">
        <v>167</v>
      </c>
      <c r="G907" s="244" t="s">
        <v>457</v>
      </c>
      <c r="H907" s="247" t="s">
        <v>211</v>
      </c>
      <c r="I907" s="162"/>
      <c r="J907" s="251">
        <v>1</v>
      </c>
      <c r="K907" s="254">
        <v>1400000</v>
      </c>
      <c r="L907" s="255">
        <f t="shared" si="56"/>
        <v>1400000</v>
      </c>
      <c r="M907" s="257">
        <v>1400000</v>
      </c>
      <c r="N907" s="262" t="s">
        <v>611</v>
      </c>
      <c r="O9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907" s="262"/>
      <c r="Q907" s="264" t="str" cm="1">
        <f t="array" ref="Q907">IF(T[[#This Row],[نوع عملیات]]="فروش", _xlfn.XLOOKUP(T[[#This Row],[کالا]], _xlfn._xlws.FILTER(T[کالا], T[نوع عملیات]="خرید"), _xlfn._xlws.FILTER(T[فروشنده / مشتری], T[نوع عملیات]="خرید")), "")</f>
        <v>عبدل آباد</v>
      </c>
    </row>
    <row r="908" spans="2:17" ht="16.5" hidden="1" x14ac:dyDescent="0.75">
      <c r="B908" s="227">
        <v>4</v>
      </c>
      <c r="C908" s="150">
        <v>4</v>
      </c>
      <c r="D908" s="150">
        <v>31</v>
      </c>
      <c r="E908" s="150" t="str">
        <f t="shared" ref="E908:E913" si="64">CHOOSE(C908, "فروردین", "اردیبهشت", "خرداد", "تیر", "مرداد", "شهریور", "مهر", "آبان", "آذر", "دی", "بهمن", "اسفند")</f>
        <v>تیر</v>
      </c>
      <c r="F908" s="151" t="s">
        <v>325</v>
      </c>
      <c r="G908" s="244" t="s">
        <v>485</v>
      </c>
      <c r="H908" s="247" t="s">
        <v>451</v>
      </c>
      <c r="I908" s="162"/>
      <c r="J908" s="251">
        <v>2</v>
      </c>
      <c r="K908" s="254">
        <v>0</v>
      </c>
      <c r="L908" s="255">
        <f t="shared" ref="L908:L913" si="65">J908*K908</f>
        <v>0</v>
      </c>
      <c r="M908" s="257"/>
      <c r="N908" s="262"/>
      <c r="O9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-3160000</v>
      </c>
      <c r="P908" s="262"/>
      <c r="Q908" s="264" t="str" cm="1">
        <f t="array" ref="Q908">IF(T[[#This Row],[نوع عملیات]]="فروش", _xlfn.XLOOKUP(T[[#This Row],[کالا]], _xlfn._xlws.FILTER(T[کالا], T[نوع عملیات]="خرید"), _xlfn._xlws.FILTER(T[فروشنده / مشتری], T[نوع عملیات]="خرید")), "")</f>
        <v/>
      </c>
    </row>
    <row r="909" spans="2:17" ht="16.5" hidden="1" x14ac:dyDescent="0.75">
      <c r="B909" s="227">
        <v>4</v>
      </c>
      <c r="C909" s="150">
        <v>4</v>
      </c>
      <c r="D909" s="150">
        <v>31</v>
      </c>
      <c r="E909" s="150" t="str">
        <f t="shared" si="64"/>
        <v>تیر</v>
      </c>
      <c r="F909" s="151" t="s">
        <v>325</v>
      </c>
      <c r="G909" s="244" t="s">
        <v>620</v>
      </c>
      <c r="H909" s="247" t="s">
        <v>451</v>
      </c>
      <c r="I909" s="162"/>
      <c r="J909" s="251">
        <v>1</v>
      </c>
      <c r="K909" s="254">
        <v>0</v>
      </c>
      <c r="L909" s="255">
        <f t="shared" si="65"/>
        <v>0</v>
      </c>
      <c r="M909" s="257"/>
      <c r="N909" s="262"/>
      <c r="O9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-722000</v>
      </c>
      <c r="P909" s="262"/>
      <c r="Q909" s="264" t="str" cm="1">
        <f t="array" ref="Q909">IF(T[[#This Row],[نوع عملیات]]="فروش", _xlfn.XLOOKUP(T[[#This Row],[کالا]], _xlfn._xlws.FILTER(T[کالا], T[نوع عملیات]="خرید"), _xlfn._xlws.FILTER(T[فروشنده / مشتری], T[نوع عملیات]="خرید")), "")</f>
        <v/>
      </c>
    </row>
    <row r="910" spans="2:17" ht="16.5" hidden="1" x14ac:dyDescent="0.75">
      <c r="B910" s="227">
        <v>4</v>
      </c>
      <c r="C910" s="150">
        <v>4</v>
      </c>
      <c r="D910" s="150">
        <v>31</v>
      </c>
      <c r="E910" s="150" t="str">
        <f t="shared" si="64"/>
        <v>تیر</v>
      </c>
      <c r="F910" s="151" t="s">
        <v>325</v>
      </c>
      <c r="G910" s="244" t="s">
        <v>274</v>
      </c>
      <c r="H910" s="247" t="s">
        <v>451</v>
      </c>
      <c r="I910" s="162"/>
      <c r="J910" s="251">
        <v>2</v>
      </c>
      <c r="K910" s="254">
        <v>0</v>
      </c>
      <c r="L910" s="255">
        <f t="shared" si="65"/>
        <v>0</v>
      </c>
      <c r="M910" s="257"/>
      <c r="N910" s="262"/>
      <c r="O9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-108571.42857142857</v>
      </c>
      <c r="P910" s="262"/>
      <c r="Q910" s="264" t="str" cm="1">
        <f t="array" ref="Q910">IF(T[[#This Row],[نوع عملیات]]="فروش", _xlfn.XLOOKUP(T[[#This Row],[کالا]], _xlfn._xlws.FILTER(T[کالا], T[نوع عملیات]="خرید"), _xlfn._xlws.FILTER(T[فروشنده / مشتری], T[نوع عملیات]="خرید")), "")</f>
        <v/>
      </c>
    </row>
    <row r="911" spans="2:17" ht="16.5" hidden="1" x14ac:dyDescent="0.75">
      <c r="B911" s="227">
        <v>4</v>
      </c>
      <c r="C911" s="150">
        <v>4</v>
      </c>
      <c r="D911" s="150">
        <v>31</v>
      </c>
      <c r="E911" s="150" t="str">
        <f t="shared" si="64"/>
        <v>تیر</v>
      </c>
      <c r="F911" s="151" t="s">
        <v>325</v>
      </c>
      <c r="G911" s="244" t="s">
        <v>355</v>
      </c>
      <c r="H911" s="247" t="s">
        <v>451</v>
      </c>
      <c r="I911" s="162"/>
      <c r="J911" s="251">
        <v>2</v>
      </c>
      <c r="K911" s="254">
        <v>0</v>
      </c>
      <c r="L911" s="255">
        <f t="shared" si="65"/>
        <v>0</v>
      </c>
      <c r="M911" s="257"/>
      <c r="N911" s="262"/>
      <c r="O9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-222000</v>
      </c>
      <c r="P911" s="262"/>
      <c r="Q911" s="264" t="str" cm="1">
        <f t="array" ref="Q911">IF(T[[#This Row],[نوع عملیات]]="فروش", _xlfn.XLOOKUP(T[[#This Row],[کالا]], _xlfn._xlws.FILTER(T[کالا], T[نوع عملیات]="خرید"), _xlfn._xlws.FILTER(T[فروشنده / مشتری], T[نوع عملیات]="خرید")), "")</f>
        <v/>
      </c>
    </row>
    <row r="912" spans="2:17" ht="16.5" hidden="1" x14ac:dyDescent="0.75">
      <c r="B912" s="227">
        <v>4</v>
      </c>
      <c r="C912" s="150">
        <v>4</v>
      </c>
      <c r="D912" s="150">
        <v>31</v>
      </c>
      <c r="E912" s="150" t="str">
        <f t="shared" si="64"/>
        <v>تیر</v>
      </c>
      <c r="F912" s="151" t="s">
        <v>325</v>
      </c>
      <c r="G912" s="244" t="s">
        <v>247</v>
      </c>
      <c r="H912" s="247" t="s">
        <v>451</v>
      </c>
      <c r="I912" s="162"/>
      <c r="J912" s="251">
        <v>1</v>
      </c>
      <c r="K912" s="254">
        <v>0</v>
      </c>
      <c r="L912" s="255">
        <f t="shared" si="65"/>
        <v>0</v>
      </c>
      <c r="M912" s="257"/>
      <c r="N912" s="262"/>
      <c r="O9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-198000</v>
      </c>
      <c r="P912" s="262"/>
      <c r="Q912" s="264" t="str" cm="1">
        <f t="array" ref="Q912">IF(T[[#This Row],[نوع عملیات]]="فروش", _xlfn.XLOOKUP(T[[#This Row],[کالا]], _xlfn._xlws.FILTER(T[کالا], T[نوع عملیات]="خرید"), _xlfn._xlws.FILTER(T[فروشنده / مشتری], T[نوع عملیات]="خرید")), "")</f>
        <v/>
      </c>
    </row>
    <row r="913" spans="2:17" ht="16.5" hidden="1" x14ac:dyDescent="0.75">
      <c r="B913" s="227">
        <v>4</v>
      </c>
      <c r="C913" s="150">
        <v>4</v>
      </c>
      <c r="D913" s="150">
        <v>31</v>
      </c>
      <c r="E913" s="150" t="str">
        <f t="shared" si="64"/>
        <v>تیر</v>
      </c>
      <c r="F913" s="151" t="s">
        <v>325</v>
      </c>
      <c r="G913" s="244" t="s">
        <v>356</v>
      </c>
      <c r="H913" s="247" t="s">
        <v>451</v>
      </c>
      <c r="I913" s="162"/>
      <c r="J913" s="251">
        <v>1</v>
      </c>
      <c r="K913" s="254"/>
      <c r="L913" s="255">
        <f t="shared" si="65"/>
        <v>0</v>
      </c>
      <c r="M913" s="257"/>
      <c r="N913" s="262"/>
      <c r="O91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-320000</v>
      </c>
      <c r="P913" s="262"/>
      <c r="Q913" s="264" t="str" cm="1">
        <f t="array" ref="Q913">IF(T[[#This Row],[نوع عملیات]]="فروش", _xlfn.XLOOKUP(T[[#This Row],[کالا]], _xlfn._xlws.FILTER(T[کالا], T[نوع عملیات]="خرید"), _xlfn._xlws.FILTER(T[فروشنده / مشتری], T[نوع عملیات]="خرید")), "")</f>
        <v/>
      </c>
    </row>
    <row r="914" spans="2:17" ht="16.5" hidden="1" x14ac:dyDescent="0.75">
      <c r="B914" s="227">
        <v>4</v>
      </c>
      <c r="C914" s="150">
        <v>5</v>
      </c>
      <c r="D914" s="150">
        <v>1</v>
      </c>
      <c r="E914" s="150"/>
      <c r="F914" s="151" t="s">
        <v>325</v>
      </c>
      <c r="G914" s="244" t="s">
        <v>354</v>
      </c>
      <c r="H914" s="247" t="s">
        <v>451</v>
      </c>
      <c r="I914" s="162"/>
      <c r="J914" s="251">
        <v>1</v>
      </c>
      <c r="K914" s="254">
        <v>0</v>
      </c>
      <c r="L914" s="255">
        <f t="shared" si="56"/>
        <v>0</v>
      </c>
      <c r="M914" s="257"/>
      <c r="N914" s="262"/>
      <c r="O9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914" s="262"/>
      <c r="Q914" s="264" t="str" cm="1">
        <f t="array" ref="Q914">IF(T[[#This Row],[نوع عملیات]]="فروش", _xlfn.XLOOKUP(T[[#This Row],[کالا]], _xlfn._xlws.FILTER(T[کالا], T[نوع عملیات]="خرید"), _xlfn._xlws.FILTER(T[فروشنده / مشتری], T[نوع عملیات]="خرید")), "")</f>
        <v/>
      </c>
    </row>
    <row r="915" spans="2:17" ht="16.5" hidden="1" x14ac:dyDescent="0.75">
      <c r="B915" s="227">
        <v>4</v>
      </c>
      <c r="C915" s="150">
        <v>5</v>
      </c>
      <c r="D915" s="150">
        <v>1</v>
      </c>
      <c r="E915" s="150"/>
      <c r="F915" s="151" t="s">
        <v>167</v>
      </c>
      <c r="G915" s="244" t="s">
        <v>354</v>
      </c>
      <c r="H915" s="247" t="s">
        <v>211</v>
      </c>
      <c r="I915" s="162"/>
      <c r="J915" s="251">
        <v>1</v>
      </c>
      <c r="K915" s="254">
        <v>450000</v>
      </c>
      <c r="L915" s="255">
        <f t="shared" si="56"/>
        <v>450000</v>
      </c>
      <c r="M915" s="257"/>
      <c r="N915" s="262"/>
      <c r="O91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915" s="262"/>
      <c r="Q915" s="264" t="str" cm="1">
        <f t="array" ref="Q915">IF(T[[#This Row],[نوع عملیات]]="فروش", _xlfn.XLOOKUP(T[[#This Row],[کالا]], _xlfn._xlws.FILTER(T[کالا], T[نوع عملیات]="خرید"), _xlfn._xlws.FILTER(T[فروشنده / مشتری], T[نوع عملیات]="خرید")), "")</f>
        <v>بازار</v>
      </c>
    </row>
    <row r="916" spans="2:17" ht="16.5" hidden="1" x14ac:dyDescent="0.75">
      <c r="B916" s="227">
        <v>4</v>
      </c>
      <c r="C916" s="150">
        <v>5</v>
      </c>
      <c r="D916" s="150">
        <v>1</v>
      </c>
      <c r="E916" s="150"/>
      <c r="F916" s="151" t="s">
        <v>167</v>
      </c>
      <c r="G916" s="244" t="s">
        <v>561</v>
      </c>
      <c r="H916" s="247" t="s">
        <v>211</v>
      </c>
      <c r="I916" s="162"/>
      <c r="J916" s="251">
        <v>1</v>
      </c>
      <c r="K916" s="254">
        <v>420000</v>
      </c>
      <c r="L916" s="255">
        <f t="shared" si="56"/>
        <v>420000</v>
      </c>
      <c r="M916" s="257">
        <v>870000</v>
      </c>
      <c r="N916" s="262" t="s">
        <v>299</v>
      </c>
      <c r="O91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192000</v>
      </c>
      <c r="P916" s="262"/>
      <c r="Q916" s="264" t="str" cm="1">
        <f t="array" ref="Q916">IF(T[[#This Row],[نوع عملیات]]="فروش", _xlfn.XLOOKUP(T[[#This Row],[کالا]], _xlfn._xlws.FILTER(T[کالا], T[نوع عملیات]="خرید"), _xlfn._xlws.FILTER(T[فروشنده / مشتری], T[نوع عملیات]="خرید")), "")</f>
        <v>عبدل آباد</v>
      </c>
    </row>
    <row r="917" spans="2:17" ht="16.5" hidden="1" x14ac:dyDescent="0.75">
      <c r="B917" s="227">
        <v>4</v>
      </c>
      <c r="C917" s="150">
        <v>5</v>
      </c>
      <c r="D917" s="150">
        <v>1</v>
      </c>
      <c r="E917" s="150"/>
      <c r="F917" s="151" t="s">
        <v>167</v>
      </c>
      <c r="G917" s="244" t="s">
        <v>485</v>
      </c>
      <c r="H917" s="247" t="s">
        <v>211</v>
      </c>
      <c r="I917" s="162"/>
      <c r="J917" s="251">
        <v>1</v>
      </c>
      <c r="K917" s="254">
        <v>2200000</v>
      </c>
      <c r="L917" s="255">
        <f t="shared" si="56"/>
        <v>2200000</v>
      </c>
      <c r="M917" s="257">
        <v>2200000</v>
      </c>
      <c r="N917" s="262" t="s">
        <v>299</v>
      </c>
      <c r="O91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620000</v>
      </c>
      <c r="P917" s="262"/>
      <c r="Q917" s="264" t="str" cm="1">
        <f t="array" ref="Q917">IF(T[[#This Row],[نوع عملیات]]="فروش", _xlfn.XLOOKUP(T[[#This Row],[کالا]], _xlfn._xlws.FILTER(T[کالا], T[نوع عملیات]="خرید"), _xlfn._xlws.FILTER(T[فروشنده / مشتری], T[نوع عملیات]="خرید")), "")</f>
        <v>عبدل آباد</v>
      </c>
    </row>
    <row r="918" spans="2:17" ht="16.5" hidden="1" x14ac:dyDescent="0.75">
      <c r="B918" s="227">
        <v>4</v>
      </c>
      <c r="C918" s="150">
        <v>5</v>
      </c>
      <c r="D918" s="150">
        <v>1</v>
      </c>
      <c r="E918" s="150"/>
      <c r="F918" s="151" t="s">
        <v>167</v>
      </c>
      <c r="G918" s="244" t="s">
        <v>574</v>
      </c>
      <c r="H918" s="247" t="s">
        <v>624</v>
      </c>
      <c r="I918" s="162"/>
      <c r="J918" s="251">
        <v>2</v>
      </c>
      <c r="K918" s="254">
        <v>350000</v>
      </c>
      <c r="L918" s="255">
        <f t="shared" si="56"/>
        <v>700000</v>
      </c>
      <c r="M918" s="257"/>
      <c r="N918" s="262"/>
      <c r="O91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464000</v>
      </c>
      <c r="P918" s="262"/>
      <c r="Q918" s="264" t="str" cm="1">
        <f t="array" ref="Q918">IF(T[[#This Row],[نوع عملیات]]="فروش", _xlfn.XLOOKUP(T[[#This Row],[کالا]], _xlfn._xlws.FILTER(T[کالا], T[نوع عملیات]="خرید"), _xlfn._xlws.FILTER(T[فروشنده / مشتری], T[نوع عملیات]="خرید")), "")</f>
        <v>عبدل آباد</v>
      </c>
    </row>
    <row r="919" spans="2:17" ht="16.5" hidden="1" x14ac:dyDescent="0.75">
      <c r="B919" s="227">
        <v>4</v>
      </c>
      <c r="C919" s="150">
        <v>5</v>
      </c>
      <c r="D919" s="150">
        <v>2</v>
      </c>
      <c r="E919" s="150"/>
      <c r="F919" s="151" t="s">
        <v>167</v>
      </c>
      <c r="G919" s="244" t="s">
        <v>486</v>
      </c>
      <c r="H919" s="247" t="s">
        <v>211</v>
      </c>
      <c r="I919" s="162"/>
      <c r="J919" s="251">
        <v>1</v>
      </c>
      <c r="K919" s="254">
        <v>2500000</v>
      </c>
      <c r="L919" s="255">
        <f t="shared" si="56"/>
        <v>2500000</v>
      </c>
      <c r="M919" s="257">
        <v>2500000</v>
      </c>
      <c r="N919" s="262" t="s">
        <v>299</v>
      </c>
      <c r="O91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919" s="262"/>
      <c r="Q919" s="264" t="str" cm="1">
        <f t="array" ref="Q919">IF(T[[#This Row],[نوع عملیات]]="فروش", _xlfn.XLOOKUP(T[[#This Row],[کالا]], _xlfn._xlws.FILTER(T[کالا], T[نوع عملیات]="خرید"), _xlfn._xlws.FILTER(T[فروشنده / مشتری], T[نوع عملیات]="خرید")), "")</f>
        <v>عبدل آباد</v>
      </c>
    </row>
    <row r="920" spans="2:17" ht="16.5" hidden="1" x14ac:dyDescent="0.75">
      <c r="B920" s="227">
        <v>4</v>
      </c>
      <c r="C920" s="150">
        <v>5</v>
      </c>
      <c r="D920" s="150">
        <v>2</v>
      </c>
      <c r="E920" s="150"/>
      <c r="F920" s="151" t="s">
        <v>167</v>
      </c>
      <c r="G920" s="244" t="s">
        <v>468</v>
      </c>
      <c r="H920" s="247" t="s">
        <v>211</v>
      </c>
      <c r="I920" s="162"/>
      <c r="J920" s="251">
        <v>1</v>
      </c>
      <c r="K920" s="254">
        <v>300000</v>
      </c>
      <c r="L920" s="255">
        <f t="shared" si="56"/>
        <v>300000</v>
      </c>
      <c r="M920" s="257">
        <v>300000</v>
      </c>
      <c r="N920" s="262" t="s">
        <v>299</v>
      </c>
      <c r="O92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920" s="262"/>
      <c r="Q920" s="264" t="str" cm="1">
        <f t="array" ref="Q920">IF(T[[#This Row],[نوع عملیات]]="فروش", _xlfn.XLOOKUP(T[[#This Row],[کالا]], _xlfn._xlws.FILTER(T[کالا], T[نوع عملیات]="خرید"), _xlfn._xlws.FILTER(T[فروشنده / مشتری], T[نوع عملیات]="خرید")), "")</f>
        <v>سرای ملی</v>
      </c>
    </row>
    <row r="921" spans="2:17" ht="16.5" hidden="1" x14ac:dyDescent="0.75">
      <c r="B921" s="227">
        <v>4</v>
      </c>
      <c r="C921" s="150">
        <v>5</v>
      </c>
      <c r="D921" s="150">
        <v>2</v>
      </c>
      <c r="E921" s="150"/>
      <c r="F921" s="151" t="s">
        <v>167</v>
      </c>
      <c r="G921" s="244" t="s">
        <v>468</v>
      </c>
      <c r="H921" s="247" t="s">
        <v>523</v>
      </c>
      <c r="I921" s="162"/>
      <c r="J921" s="251">
        <v>1</v>
      </c>
      <c r="K921" s="254">
        <v>300000</v>
      </c>
      <c r="L921" s="255">
        <f t="shared" si="56"/>
        <v>300000</v>
      </c>
      <c r="M921" s="257"/>
      <c r="N921" s="262"/>
      <c r="O92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921" s="262"/>
      <c r="Q921" s="264" t="str" cm="1">
        <f t="array" ref="Q921">IF(T[[#This Row],[نوع عملیات]]="فروش", _xlfn.XLOOKUP(T[[#This Row],[کالا]], _xlfn._xlws.FILTER(T[کالا], T[نوع عملیات]="خرید"), _xlfn._xlws.FILTER(T[فروشنده / مشتری], T[نوع عملیات]="خرید")), "")</f>
        <v>سرای ملی</v>
      </c>
    </row>
    <row r="922" spans="2:17" ht="16.5" hidden="1" x14ac:dyDescent="0.75">
      <c r="B922" s="227">
        <v>4</v>
      </c>
      <c r="C922" s="150">
        <v>5</v>
      </c>
      <c r="D922" s="150">
        <v>2</v>
      </c>
      <c r="E922" s="150"/>
      <c r="F922" s="151" t="s">
        <v>167</v>
      </c>
      <c r="G922" s="244" t="s">
        <v>568</v>
      </c>
      <c r="H922" s="247" t="s">
        <v>211</v>
      </c>
      <c r="I922" s="162"/>
      <c r="J922" s="251">
        <v>1</v>
      </c>
      <c r="K922" s="254">
        <v>600000</v>
      </c>
      <c r="L922" s="255">
        <f t="shared" si="56"/>
        <v>600000</v>
      </c>
      <c r="M922" s="257"/>
      <c r="N922" s="262"/>
      <c r="O92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212000</v>
      </c>
      <c r="P922" s="262"/>
      <c r="Q922" s="264" t="str" cm="1">
        <f t="array" ref="Q922">IF(T[[#This Row],[نوع عملیات]]="فروش", _xlfn.XLOOKUP(T[[#This Row],[کالا]], _xlfn._xlws.FILTER(T[کالا], T[نوع عملیات]="خرید"), _xlfn._xlws.FILTER(T[فروشنده / مشتری], T[نوع عملیات]="خرید")), "")</f>
        <v>عبدل آباد</v>
      </c>
    </row>
    <row r="923" spans="2:17" ht="16.5" hidden="1" x14ac:dyDescent="0.75">
      <c r="B923" s="227">
        <v>4</v>
      </c>
      <c r="C923" s="150">
        <v>5</v>
      </c>
      <c r="D923" s="150">
        <v>2</v>
      </c>
      <c r="E923" s="150"/>
      <c r="F923" s="151" t="s">
        <v>167</v>
      </c>
      <c r="G923" s="244" t="s">
        <v>486</v>
      </c>
      <c r="H923" s="247" t="s">
        <v>211</v>
      </c>
      <c r="I923" s="162"/>
      <c r="J923" s="251">
        <v>1</v>
      </c>
      <c r="K923" s="254">
        <v>2500000</v>
      </c>
      <c r="L923" s="255">
        <f t="shared" si="56"/>
        <v>2500000</v>
      </c>
      <c r="M923" s="257"/>
      <c r="N923" s="262"/>
      <c r="O92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923" s="262"/>
      <c r="Q923" s="264" t="str" cm="1">
        <f t="array" ref="Q923">IF(T[[#This Row],[نوع عملیات]]="فروش", _xlfn.XLOOKUP(T[[#This Row],[کالا]], _xlfn._xlws.FILTER(T[کالا], T[نوع عملیات]="خرید"), _xlfn._xlws.FILTER(T[فروشنده / مشتری], T[نوع عملیات]="خرید")), "")</f>
        <v>عبدل آباد</v>
      </c>
    </row>
    <row r="924" spans="2:17" ht="16.5" hidden="1" x14ac:dyDescent="0.75">
      <c r="B924" s="227">
        <v>4</v>
      </c>
      <c r="C924" s="150">
        <v>5</v>
      </c>
      <c r="D924" s="150">
        <v>2</v>
      </c>
      <c r="E924" s="150"/>
      <c r="F924" s="151" t="s">
        <v>167</v>
      </c>
      <c r="G924" s="244" t="s">
        <v>247</v>
      </c>
      <c r="H924" s="247" t="s">
        <v>211</v>
      </c>
      <c r="I924" s="162"/>
      <c r="J924" s="251">
        <v>1</v>
      </c>
      <c r="K924" s="254">
        <v>500000</v>
      </c>
      <c r="L924" s="255">
        <f t="shared" si="56"/>
        <v>500000</v>
      </c>
      <c r="M924" s="257">
        <v>3100000</v>
      </c>
      <c r="N924" s="262" t="s">
        <v>299</v>
      </c>
      <c r="O92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302000</v>
      </c>
      <c r="P924" s="262"/>
      <c r="Q924" s="264" t="str" cm="1">
        <f t="array" ref="Q924">IF(T[[#This Row],[نوع عملیات]]="فروش", _xlfn.XLOOKUP(T[[#This Row],[کالا]], _xlfn._xlws.FILTER(T[کالا], T[نوع عملیات]="خرید"), _xlfn._xlws.FILTER(T[فروشنده / مشتری], T[نوع عملیات]="خرید")), "")</f>
        <v>تولیدی پوشاک تین استایل</v>
      </c>
    </row>
    <row r="925" spans="2:17" ht="16.5" hidden="1" x14ac:dyDescent="0.75">
      <c r="B925" s="227">
        <v>4</v>
      </c>
      <c r="C925" s="150">
        <v>5</v>
      </c>
      <c r="D925" s="150">
        <v>2</v>
      </c>
      <c r="E925" s="150"/>
      <c r="F925" s="151" t="s">
        <v>167</v>
      </c>
      <c r="G925" s="244" t="s">
        <v>630</v>
      </c>
      <c r="H925" s="247" t="s">
        <v>618</v>
      </c>
      <c r="I925" s="162"/>
      <c r="J925" s="251">
        <v>1</v>
      </c>
      <c r="K925" s="254">
        <v>500000</v>
      </c>
      <c r="L925" s="255">
        <f t="shared" ref="L925:L960" si="66">J925*K925</f>
        <v>500000</v>
      </c>
      <c r="M925" s="257"/>
      <c r="N925" s="262"/>
      <c r="O92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-21250</v>
      </c>
      <c r="P925" s="262"/>
      <c r="Q925" s="264" t="str" cm="1">
        <f t="array" ref="Q925">IF(T[[#This Row],[نوع عملیات]]="فروش", _xlfn.XLOOKUP(T[[#This Row],[کالا]], _xlfn._xlws.FILTER(T[کالا], T[نوع عملیات]="خرید"), _xlfn._xlws.FILTER(T[فروشنده / مشتری], T[نوع عملیات]="خرید")), "")</f>
        <v>مزون دانتل</v>
      </c>
    </row>
    <row r="926" spans="2:17" ht="16.5" x14ac:dyDescent="0.75">
      <c r="B926" s="227">
        <v>4</v>
      </c>
      <c r="C926" s="150">
        <v>5</v>
      </c>
      <c r="D926" s="150">
        <v>3</v>
      </c>
      <c r="E926" s="150"/>
      <c r="F926" s="151" t="s">
        <v>168</v>
      </c>
      <c r="G926" s="244" t="s">
        <v>643</v>
      </c>
      <c r="H926" s="247" t="s">
        <v>390</v>
      </c>
      <c r="I926" s="162" t="s">
        <v>662</v>
      </c>
      <c r="J926" s="251">
        <v>4</v>
      </c>
      <c r="K926" s="254">
        <v>98000</v>
      </c>
      <c r="L926" s="255">
        <f t="shared" ref="L926:L931" si="67">J926*K926</f>
        <v>392000</v>
      </c>
      <c r="M926" s="257"/>
      <c r="N926" s="262"/>
      <c r="O92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26" s="262"/>
      <c r="Q926" s="264" t="str" cm="1">
        <f t="array" ref="Q926">IF(T[[#This Row],[نوع عملیات]]="فروش", _xlfn.XLOOKUP(T[[#This Row],[کالا]], _xlfn._xlws.FILTER(T[کالا], T[نوع عملیات]="خرید"), _xlfn._xlws.FILTER(T[فروشنده / مشتری], T[نوع عملیات]="خرید")), "")</f>
        <v/>
      </c>
    </row>
    <row r="927" spans="2:17" ht="16.5" x14ac:dyDescent="0.75">
      <c r="B927" s="227">
        <v>4</v>
      </c>
      <c r="C927" s="150">
        <v>5</v>
      </c>
      <c r="D927" s="150">
        <v>3</v>
      </c>
      <c r="E927" s="150"/>
      <c r="F927" s="151" t="s">
        <v>168</v>
      </c>
      <c r="G927" s="244" t="s">
        <v>663</v>
      </c>
      <c r="H927" s="247" t="s">
        <v>390</v>
      </c>
      <c r="I927" s="162" t="s">
        <v>662</v>
      </c>
      <c r="J927" s="251">
        <v>4</v>
      </c>
      <c r="K927" s="254">
        <v>187000</v>
      </c>
      <c r="L927" s="255">
        <f t="shared" si="67"/>
        <v>748000</v>
      </c>
      <c r="M927" s="257"/>
      <c r="N927" s="262"/>
      <c r="O92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27" s="262"/>
      <c r="Q927" s="264" t="str" cm="1">
        <f t="array" ref="Q927">IF(T[[#This Row],[نوع عملیات]]="فروش", _xlfn.XLOOKUP(T[[#This Row],[کالا]], _xlfn._xlws.FILTER(T[کالا], T[نوع عملیات]="خرید"), _xlfn._xlws.FILTER(T[فروشنده / مشتری], T[نوع عملیات]="خرید")), "")</f>
        <v/>
      </c>
    </row>
    <row r="928" spans="2:17" ht="16.5" x14ac:dyDescent="0.75">
      <c r="B928" s="227">
        <v>4</v>
      </c>
      <c r="C928" s="150">
        <v>5</v>
      </c>
      <c r="D928" s="150">
        <v>3</v>
      </c>
      <c r="E928" s="150"/>
      <c r="F928" s="151" t="s">
        <v>168</v>
      </c>
      <c r="G928" s="244" t="s">
        <v>642</v>
      </c>
      <c r="H928" s="247" t="s">
        <v>390</v>
      </c>
      <c r="I928" s="162" t="s">
        <v>662</v>
      </c>
      <c r="J928" s="251">
        <v>4</v>
      </c>
      <c r="K928" s="254">
        <v>128000</v>
      </c>
      <c r="L928" s="255">
        <f t="shared" si="67"/>
        <v>512000</v>
      </c>
      <c r="M928" s="257"/>
      <c r="N928" s="262"/>
      <c r="O92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28" s="262"/>
      <c r="Q928" s="264" t="str" cm="1">
        <f t="array" ref="Q928">IF(T[[#This Row],[نوع عملیات]]="فروش", _xlfn.XLOOKUP(T[[#This Row],[کالا]], _xlfn._xlws.FILTER(T[کالا], T[نوع عملیات]="خرید"), _xlfn._xlws.FILTER(T[فروشنده / مشتری], T[نوع عملیات]="خرید")), "")</f>
        <v/>
      </c>
    </row>
    <row r="929" spans="2:17" ht="16.5" x14ac:dyDescent="0.75">
      <c r="B929" s="227">
        <v>4</v>
      </c>
      <c r="C929" s="150">
        <v>5</v>
      </c>
      <c r="D929" s="150">
        <v>3</v>
      </c>
      <c r="E929" s="150"/>
      <c r="F929" s="151" t="s">
        <v>168</v>
      </c>
      <c r="G929" s="244" t="s">
        <v>664</v>
      </c>
      <c r="H929" s="247" t="s">
        <v>390</v>
      </c>
      <c r="I929" s="162" t="s">
        <v>662</v>
      </c>
      <c r="J929" s="251">
        <v>11</v>
      </c>
      <c r="K929" s="254">
        <v>168000</v>
      </c>
      <c r="L929" s="255">
        <f t="shared" si="67"/>
        <v>1848000</v>
      </c>
      <c r="M929" s="257"/>
      <c r="N929" s="262"/>
      <c r="O92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29" s="262"/>
      <c r="Q929" s="264" t="str" cm="1">
        <f t="array" ref="Q929">IF(T[[#This Row],[نوع عملیات]]="فروش", _xlfn.XLOOKUP(T[[#This Row],[کالا]], _xlfn._xlws.FILTER(T[کالا], T[نوع عملیات]="خرید"), _xlfn._xlws.FILTER(T[فروشنده / مشتری], T[نوع عملیات]="خرید")), "")</f>
        <v/>
      </c>
    </row>
    <row r="930" spans="2:17" ht="16.5" x14ac:dyDescent="0.75">
      <c r="B930" s="227">
        <v>4</v>
      </c>
      <c r="C930" s="150">
        <v>5</v>
      </c>
      <c r="D930" s="150">
        <v>3</v>
      </c>
      <c r="E930" s="150"/>
      <c r="F930" s="151" t="s">
        <v>168</v>
      </c>
      <c r="G930" s="244" t="s">
        <v>665</v>
      </c>
      <c r="H930" s="247" t="s">
        <v>390</v>
      </c>
      <c r="I930" s="162" t="s">
        <v>662</v>
      </c>
      <c r="J930" s="251">
        <v>10</v>
      </c>
      <c r="K930" s="254">
        <v>148000</v>
      </c>
      <c r="L930" s="255">
        <f t="shared" si="67"/>
        <v>1480000</v>
      </c>
      <c r="M930" s="257">
        <v>4980000</v>
      </c>
      <c r="N930" s="262" t="s">
        <v>346</v>
      </c>
      <c r="O93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30" s="262"/>
      <c r="Q930" s="264" t="str" cm="1">
        <f t="array" ref="Q930">IF(T[[#This Row],[نوع عملیات]]="فروش", _xlfn.XLOOKUP(T[[#This Row],[کالا]], _xlfn._xlws.FILTER(T[کالا], T[نوع عملیات]="خرید"), _xlfn._xlws.FILTER(T[فروشنده / مشتری], T[نوع عملیات]="خرید")), "")</f>
        <v/>
      </c>
    </row>
    <row r="931" spans="2:17" ht="16.5" x14ac:dyDescent="0.75">
      <c r="B931" s="227">
        <v>4</v>
      </c>
      <c r="C931" s="150">
        <v>5</v>
      </c>
      <c r="D931" s="150">
        <v>3</v>
      </c>
      <c r="E931" s="150"/>
      <c r="F931" s="151" t="s">
        <v>168</v>
      </c>
      <c r="G931" s="244" t="s">
        <v>666</v>
      </c>
      <c r="H931" s="247" t="s">
        <v>390</v>
      </c>
      <c r="I931" s="162" t="s">
        <v>662</v>
      </c>
      <c r="J931" s="251">
        <v>8</v>
      </c>
      <c r="K931" s="254">
        <v>225000</v>
      </c>
      <c r="L931" s="255">
        <f t="shared" si="67"/>
        <v>1800000</v>
      </c>
      <c r="M931" s="257">
        <v>1800000</v>
      </c>
      <c r="N931" s="262" t="s">
        <v>611</v>
      </c>
      <c r="O93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31" s="262"/>
      <c r="Q931" s="264" t="str" cm="1">
        <f t="array" ref="Q931">IF(T[[#This Row],[نوع عملیات]]="فروش", _xlfn.XLOOKUP(T[[#This Row],[کالا]], _xlfn._xlws.FILTER(T[کالا], T[نوع عملیات]="خرید"), _xlfn._xlws.FILTER(T[فروشنده / مشتری], T[نوع عملیات]="خرید")), "")</f>
        <v/>
      </c>
    </row>
    <row r="932" spans="2:17" ht="16.5" x14ac:dyDescent="0.75">
      <c r="B932" s="227">
        <v>4</v>
      </c>
      <c r="C932" s="150">
        <v>5</v>
      </c>
      <c r="D932" s="150">
        <v>3</v>
      </c>
      <c r="E932" s="150"/>
      <c r="F932" s="151" t="s">
        <v>168</v>
      </c>
      <c r="G932" s="244" t="s">
        <v>673</v>
      </c>
      <c r="H932" s="247" t="s">
        <v>390</v>
      </c>
      <c r="I932" s="162" t="s">
        <v>662</v>
      </c>
      <c r="J932" s="251">
        <v>4</v>
      </c>
      <c r="K932" s="254">
        <v>1050000</v>
      </c>
      <c r="L932" s="255">
        <f>J932*K932</f>
        <v>4200000</v>
      </c>
      <c r="M932" s="257"/>
      <c r="N932" s="262"/>
      <c r="O93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32" s="262"/>
      <c r="Q932" s="264" t="str" cm="1">
        <f t="array" ref="Q932">IF(T[[#This Row],[نوع عملیات]]="فروش", _xlfn.XLOOKUP(T[[#This Row],[کالا]], _xlfn._xlws.FILTER(T[کالا], T[نوع عملیات]="خرید"), _xlfn._xlws.FILTER(T[فروشنده / مشتری], T[نوع عملیات]="خرید")), "")</f>
        <v/>
      </c>
    </row>
    <row r="933" spans="2:17" ht="16.5" x14ac:dyDescent="0.75">
      <c r="B933" s="227">
        <v>4</v>
      </c>
      <c r="C933" s="150">
        <v>5</v>
      </c>
      <c r="D933" s="150">
        <v>3</v>
      </c>
      <c r="E933" s="150"/>
      <c r="F933" s="151" t="s">
        <v>168</v>
      </c>
      <c r="G933" s="244" t="s">
        <v>674</v>
      </c>
      <c r="H933" s="247" t="s">
        <v>390</v>
      </c>
      <c r="I933" s="162" t="s">
        <v>662</v>
      </c>
      <c r="J933" s="251">
        <v>11</v>
      </c>
      <c r="K933" s="254">
        <v>1050000</v>
      </c>
      <c r="L933" s="255">
        <f>J933*K933</f>
        <v>11550000</v>
      </c>
      <c r="M933" s="257"/>
      <c r="N933" s="262"/>
      <c r="O93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33" s="262"/>
      <c r="Q933" s="264" t="str" cm="1">
        <f t="array" ref="Q933">IF(T[[#This Row],[نوع عملیات]]="فروش", _xlfn.XLOOKUP(T[[#This Row],[کالا]], _xlfn._xlws.FILTER(T[کالا], T[نوع عملیات]="خرید"), _xlfn._xlws.FILTER(T[فروشنده / مشتری], T[نوع عملیات]="خرید")), "")</f>
        <v/>
      </c>
    </row>
    <row r="934" spans="2:17" ht="16.5" x14ac:dyDescent="0.75">
      <c r="B934" s="227">
        <v>4</v>
      </c>
      <c r="C934" s="150">
        <v>5</v>
      </c>
      <c r="D934" s="150">
        <v>3</v>
      </c>
      <c r="E934" s="150"/>
      <c r="F934" s="151" t="s">
        <v>168</v>
      </c>
      <c r="G934" s="244" t="s">
        <v>638</v>
      </c>
      <c r="H934" s="247" t="s">
        <v>390</v>
      </c>
      <c r="I934" s="162" t="s">
        <v>662</v>
      </c>
      <c r="J934" s="251">
        <v>5</v>
      </c>
      <c r="K934" s="254">
        <v>1190000</v>
      </c>
      <c r="L934" s="255">
        <f>J934*K934</f>
        <v>5950000</v>
      </c>
      <c r="M934" s="257">
        <v>21700000</v>
      </c>
      <c r="N934" s="262" t="s">
        <v>611</v>
      </c>
      <c r="O93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34" s="262"/>
      <c r="Q934" s="264" t="str" cm="1">
        <f t="array" ref="Q934">IF(T[[#This Row],[نوع عملیات]]="فروش", _xlfn.XLOOKUP(T[[#This Row],[کالا]], _xlfn._xlws.FILTER(T[کالا], T[نوع عملیات]="خرید"), _xlfn._xlws.FILTER(T[فروشنده / مشتری], T[نوع عملیات]="خرید")), "")</f>
        <v/>
      </c>
    </row>
    <row r="935" spans="2:17" ht="16.5" x14ac:dyDescent="0.75">
      <c r="B935" s="227">
        <v>4</v>
      </c>
      <c r="C935" s="150">
        <v>5</v>
      </c>
      <c r="D935" s="150">
        <v>3</v>
      </c>
      <c r="E935" s="150" t="str">
        <f>CHOOSE(C935, "فروردین", "اردیبهشت", "خرداد", "تیر", "مرداد", "شهریور", "مهر", "آبان", "آذر", "دی", "بهمن", "اسفند")</f>
        <v>مرداد</v>
      </c>
      <c r="F935" s="151" t="s">
        <v>168</v>
      </c>
      <c r="G935" s="244" t="s">
        <v>633</v>
      </c>
      <c r="H935" s="247" t="s">
        <v>390</v>
      </c>
      <c r="I935" s="162" t="s">
        <v>662</v>
      </c>
      <c r="J935" s="251">
        <v>2</v>
      </c>
      <c r="K935" s="254">
        <v>1150000</v>
      </c>
      <c r="L935" s="255">
        <f>J935*K935</f>
        <v>2300000</v>
      </c>
      <c r="M935" s="257">
        <v>2300000</v>
      </c>
      <c r="N935" s="262" t="s">
        <v>611</v>
      </c>
      <c r="O93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35" s="262"/>
      <c r="Q935" s="264" t="str" cm="1">
        <f t="array" ref="Q935">IF(T[[#This Row],[نوع عملیات]]="فروش", _xlfn.XLOOKUP(T[[#This Row],[کالا]], _xlfn._xlws.FILTER(T[کالا], T[نوع عملیات]="خرید"), _xlfn._xlws.FILTER(T[فروشنده / مشتری], T[نوع عملیات]="خرید")), "")</f>
        <v/>
      </c>
    </row>
    <row r="936" spans="2:17" ht="16.5" x14ac:dyDescent="0.75">
      <c r="B936" s="227">
        <v>4</v>
      </c>
      <c r="C936" s="150">
        <v>5</v>
      </c>
      <c r="D936" s="150">
        <v>3</v>
      </c>
      <c r="E936" s="150" t="str">
        <f>CHOOSE(C936, "فروردین", "اردیبهشت", "خرداد", "تیر", "مرداد", "شهریور", "مهر", "آبان", "آذر", "دی", "بهمن", "اسفند")</f>
        <v>مرداد</v>
      </c>
      <c r="F936" s="151" t="s">
        <v>168</v>
      </c>
      <c r="G936" s="244" t="s">
        <v>634</v>
      </c>
      <c r="H936" s="247" t="s">
        <v>390</v>
      </c>
      <c r="I936" s="162" t="s">
        <v>662</v>
      </c>
      <c r="J936" s="251">
        <v>4</v>
      </c>
      <c r="K936" s="254">
        <v>1150000</v>
      </c>
      <c r="L936" s="255">
        <f>J936*K936</f>
        <v>4600000</v>
      </c>
      <c r="M936" s="257">
        <v>4600000</v>
      </c>
      <c r="N936" s="262" t="s">
        <v>611</v>
      </c>
      <c r="O93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36" s="262"/>
      <c r="Q936" s="264" t="str" cm="1">
        <f t="array" ref="Q936">IF(T[[#This Row],[نوع عملیات]]="فروش", _xlfn.XLOOKUP(T[[#This Row],[کالا]], _xlfn._xlws.FILTER(T[کالا], T[نوع عملیات]="خرید"), _xlfn._xlws.FILTER(T[فروشنده / مشتری], T[نوع عملیات]="خرید")), "")</f>
        <v/>
      </c>
    </row>
    <row r="937" spans="2:17" ht="16.5" hidden="1" x14ac:dyDescent="0.75">
      <c r="B937" s="227">
        <v>4</v>
      </c>
      <c r="C937" s="150">
        <v>5</v>
      </c>
      <c r="D937" s="150">
        <v>4</v>
      </c>
      <c r="E937" s="150"/>
      <c r="F937" s="151" t="s">
        <v>167</v>
      </c>
      <c r="G937" s="244" t="s">
        <v>551</v>
      </c>
      <c r="H937" s="247" t="s">
        <v>618</v>
      </c>
      <c r="I937" s="162"/>
      <c r="J937" s="251">
        <v>1</v>
      </c>
      <c r="K937" s="254">
        <v>850000</v>
      </c>
      <c r="L937" s="255">
        <f t="shared" ref="L937:L949" si="68">J937*K937</f>
        <v>850000</v>
      </c>
      <c r="M937" s="257"/>
      <c r="N937" s="262"/>
      <c r="O93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494000</v>
      </c>
      <c r="P937" s="262"/>
      <c r="Q937" s="264" t="str" cm="1">
        <f t="array" ref="Q937">IF(T[[#This Row],[نوع عملیات]]="فروش", _xlfn.XLOOKUP(T[[#This Row],[کالا]], _xlfn._xlws.FILTER(T[کالا], T[نوع عملیات]="خرید"), _xlfn._xlws.FILTER(T[فروشنده / مشتری], T[نوع عملیات]="خرید")), "")</f>
        <v>سرای ملی</v>
      </c>
    </row>
    <row r="938" spans="2:17" ht="16.5" hidden="1" x14ac:dyDescent="0.75">
      <c r="B938" s="227">
        <v>4</v>
      </c>
      <c r="C938" s="150">
        <v>5</v>
      </c>
      <c r="D938" s="150">
        <v>4</v>
      </c>
      <c r="E938" s="150"/>
      <c r="F938" s="151" t="s">
        <v>167</v>
      </c>
      <c r="G938" s="244" t="s">
        <v>563</v>
      </c>
      <c r="H938" s="247" t="s">
        <v>211</v>
      </c>
      <c r="I938" s="162"/>
      <c r="J938" s="251">
        <v>1</v>
      </c>
      <c r="K938" s="254">
        <v>350000</v>
      </c>
      <c r="L938" s="255">
        <f t="shared" si="68"/>
        <v>350000</v>
      </c>
      <c r="M938" s="257">
        <v>350000</v>
      </c>
      <c r="N938" s="262" t="s">
        <v>346</v>
      </c>
      <c r="O93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938" s="262"/>
      <c r="Q938" s="264" t="str" cm="1">
        <f t="array" ref="Q938">IF(T[[#This Row],[نوع عملیات]]="فروش", _xlfn.XLOOKUP(T[[#This Row],[کالا]], _xlfn._xlws.FILTER(T[کالا], T[نوع عملیات]="خرید"), _xlfn._xlws.FILTER(T[فروشنده / مشتری], T[نوع عملیات]="خرید")), "")</f>
        <v>عبدل آباد</v>
      </c>
    </row>
    <row r="939" spans="2:17" ht="16.5" hidden="1" x14ac:dyDescent="0.75">
      <c r="B939" s="227">
        <v>4</v>
      </c>
      <c r="C939" s="150">
        <v>5</v>
      </c>
      <c r="D939" s="150">
        <v>4</v>
      </c>
      <c r="E939" s="150"/>
      <c r="F939" s="151" t="s">
        <v>167</v>
      </c>
      <c r="G939" s="244" t="s">
        <v>633</v>
      </c>
      <c r="H939" s="247" t="s">
        <v>434</v>
      </c>
      <c r="I939" s="162"/>
      <c r="J939" s="251">
        <v>1</v>
      </c>
      <c r="K939" s="254">
        <v>1800000</v>
      </c>
      <c r="L939" s="255">
        <f t="shared" si="68"/>
        <v>1800000</v>
      </c>
      <c r="M939" s="257"/>
      <c r="N939" s="262"/>
      <c r="O93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939" s="262"/>
      <c r="Q939" s="264" t="str" cm="1">
        <f t="array" ref="Q939">IF(T[[#This Row],[نوع عملیات]]="فروش", _xlfn.XLOOKUP(T[[#This Row],[کالا]], _xlfn._xlws.FILTER(T[کالا], T[نوع عملیات]="خرید"), _xlfn._xlws.FILTER(T[فروشنده / مشتری], T[نوع عملیات]="خرید")), "")</f>
        <v>عبدل آباد</v>
      </c>
    </row>
    <row r="940" spans="2:17" ht="16.5" hidden="1" x14ac:dyDescent="0.75">
      <c r="B940" s="227">
        <v>4</v>
      </c>
      <c r="C940" s="150">
        <v>5</v>
      </c>
      <c r="D940" s="150">
        <v>4</v>
      </c>
      <c r="E940" s="150"/>
      <c r="F940" s="151" t="s">
        <v>167</v>
      </c>
      <c r="G940" s="244" t="s">
        <v>485</v>
      </c>
      <c r="H940" s="247" t="s">
        <v>604</v>
      </c>
      <c r="I940" s="162"/>
      <c r="J940" s="251">
        <v>1</v>
      </c>
      <c r="K940" s="254">
        <v>2000000</v>
      </c>
      <c r="L940" s="255">
        <f t="shared" si="68"/>
        <v>2000000</v>
      </c>
      <c r="M940" s="257"/>
      <c r="N940" s="262"/>
      <c r="O9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940" s="262"/>
      <c r="Q940" s="264" t="str" cm="1">
        <f t="array" ref="Q940">IF(T[[#This Row],[نوع عملیات]]="فروش", _xlfn.XLOOKUP(T[[#This Row],[کالا]], _xlfn._xlws.FILTER(T[کالا], T[نوع عملیات]="خرید"), _xlfn._xlws.FILTER(T[فروشنده / مشتری], T[نوع عملیات]="خرید")), "")</f>
        <v>عبدل آباد</v>
      </c>
    </row>
    <row r="941" spans="2:17" ht="16.5" hidden="1" x14ac:dyDescent="0.75">
      <c r="B941" s="227">
        <v>4</v>
      </c>
      <c r="C941" s="150">
        <v>5</v>
      </c>
      <c r="D941" s="150">
        <v>4</v>
      </c>
      <c r="E941" s="150"/>
      <c r="F941" s="151" t="s">
        <v>167</v>
      </c>
      <c r="G941" s="244" t="s">
        <v>353</v>
      </c>
      <c r="H941" s="247" t="s">
        <v>604</v>
      </c>
      <c r="I941" s="162"/>
      <c r="J941" s="251">
        <v>1</v>
      </c>
      <c r="K941" s="254">
        <v>400000</v>
      </c>
      <c r="L941" s="255">
        <f t="shared" si="68"/>
        <v>400000</v>
      </c>
      <c r="M941" s="257"/>
      <c r="N941" s="262"/>
      <c r="O94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52941.176470588252</v>
      </c>
      <c r="P941" s="262"/>
      <c r="Q941" s="264" t="str" cm="1">
        <f t="array" ref="Q941">IF(T[[#This Row],[نوع عملیات]]="فروش", _xlfn.XLOOKUP(T[[#This Row],[کالا]], _xlfn._xlws.FILTER(T[کالا], T[نوع عملیات]="خرید"), _xlfn._xlws.FILTER(T[فروشنده / مشتری], T[نوع عملیات]="خرید")), "")</f>
        <v>بازار</v>
      </c>
    </row>
    <row r="942" spans="2:17" ht="16.5" hidden="1" x14ac:dyDescent="0.75">
      <c r="B942" s="227">
        <v>4</v>
      </c>
      <c r="C942" s="150">
        <v>5</v>
      </c>
      <c r="D942" s="150">
        <v>4</v>
      </c>
      <c r="E942" s="150"/>
      <c r="F942" s="151" t="s">
        <v>167</v>
      </c>
      <c r="G942" s="244" t="s">
        <v>560</v>
      </c>
      <c r="H942" s="247" t="s">
        <v>211</v>
      </c>
      <c r="I942" s="162"/>
      <c r="J942" s="251">
        <v>1</v>
      </c>
      <c r="K942" s="254">
        <v>350000</v>
      </c>
      <c r="L942" s="255">
        <f t="shared" si="68"/>
        <v>350000</v>
      </c>
      <c r="M942" s="257">
        <v>350000</v>
      </c>
      <c r="N942" s="262" t="s">
        <v>299</v>
      </c>
      <c r="O94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942" s="262"/>
      <c r="Q942" s="264" t="str" cm="1">
        <f t="array" ref="Q942">IF(T[[#This Row],[نوع عملیات]]="فروش", _xlfn.XLOOKUP(T[[#This Row],[کالا]], _xlfn._xlws.FILTER(T[کالا], T[نوع عملیات]="خرید"), _xlfn._xlws.FILTER(T[فروشنده / مشتری], T[نوع عملیات]="خرید")), "")</f>
        <v>عبدل آباد</v>
      </c>
    </row>
    <row r="943" spans="2:17" ht="16.5" hidden="1" x14ac:dyDescent="0.75">
      <c r="B943" s="227">
        <v>4</v>
      </c>
      <c r="C943" s="150">
        <v>5</v>
      </c>
      <c r="D943" s="150">
        <v>4</v>
      </c>
      <c r="E943" s="150"/>
      <c r="F943" s="151" t="s">
        <v>167</v>
      </c>
      <c r="G943" s="244" t="s">
        <v>634</v>
      </c>
      <c r="H943" s="247" t="s">
        <v>521</v>
      </c>
      <c r="I943" s="162"/>
      <c r="J943" s="251">
        <v>1</v>
      </c>
      <c r="K943" s="254">
        <v>1900000</v>
      </c>
      <c r="L943" s="255">
        <f t="shared" si="68"/>
        <v>1900000</v>
      </c>
      <c r="M943" s="257"/>
      <c r="N943" s="262"/>
      <c r="O94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750000</v>
      </c>
      <c r="P943" s="262"/>
      <c r="Q943" s="264" t="str" cm="1">
        <f t="array" ref="Q943">IF(T[[#This Row],[نوع عملیات]]="فروش", _xlfn.XLOOKUP(T[[#This Row],[کالا]], _xlfn._xlws.FILTER(T[کالا], T[نوع عملیات]="خرید"), _xlfn._xlws.FILTER(T[فروشنده / مشتری], T[نوع عملیات]="خرید")), "")</f>
        <v>عبدل آباد</v>
      </c>
    </row>
    <row r="944" spans="2:17" ht="16.5" hidden="1" x14ac:dyDescent="0.75">
      <c r="B944" s="227">
        <v>4</v>
      </c>
      <c r="C944" s="150">
        <v>5</v>
      </c>
      <c r="D944" s="150">
        <v>4</v>
      </c>
      <c r="E944" s="150" t="str">
        <f>CHOOSE(C944, "فروردین", "اردیبهشت", "خرداد", "تیر", "مرداد", "شهریور", "مهر", "آبان", "آذر", "دی", "بهمن", "اسفند")</f>
        <v>مرداد</v>
      </c>
      <c r="F944" s="151" t="s">
        <v>297</v>
      </c>
      <c r="G944" s="244"/>
      <c r="H944" s="247" t="s">
        <v>521</v>
      </c>
      <c r="I944" s="162"/>
      <c r="J944" s="251"/>
      <c r="K944" s="254"/>
      <c r="L944" s="255">
        <f>J944*K944</f>
        <v>0</v>
      </c>
      <c r="M944" s="257">
        <v>400000</v>
      </c>
      <c r="N944" s="376" t="s">
        <v>611</v>
      </c>
      <c r="O94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44" s="262"/>
      <c r="Q944" s="264" t="str" cm="1">
        <f t="array" ref="Q944">IF(T[[#This Row],[نوع عملیات]]="فروش", _xlfn.XLOOKUP(T[[#This Row],[کالا]], _xlfn._xlws.FILTER(T[کالا], T[نوع عملیات]="خرید"), _xlfn._xlws.FILTER(T[فروشنده / مشتری], T[نوع عملیات]="خرید")), "")</f>
        <v/>
      </c>
    </row>
    <row r="945" spans="2:17" ht="16.5" hidden="1" x14ac:dyDescent="0.75">
      <c r="B945" s="227">
        <v>4</v>
      </c>
      <c r="C945" s="150">
        <v>5</v>
      </c>
      <c r="D945" s="150">
        <v>5</v>
      </c>
      <c r="E945" s="150"/>
      <c r="F945" s="151" t="s">
        <v>167</v>
      </c>
      <c r="G945" s="244" t="s">
        <v>623</v>
      </c>
      <c r="H945" s="247" t="s">
        <v>430</v>
      </c>
      <c r="I945" s="162"/>
      <c r="J945" s="251">
        <v>1</v>
      </c>
      <c r="K945" s="254">
        <v>250000</v>
      </c>
      <c r="L945" s="255">
        <f t="shared" si="68"/>
        <v>250000</v>
      </c>
      <c r="M945" s="257"/>
      <c r="N945" s="262"/>
      <c r="O94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45" s="262"/>
      <c r="Q945" s="264" t="str" cm="1">
        <f t="array" ref="Q945">IF(T[[#This Row],[نوع عملیات]]="فروش", _xlfn.XLOOKUP(T[[#This Row],[کالا]], _xlfn._xlws.FILTER(T[کالا], T[نوع عملیات]="خرید"), _xlfn._xlws.FILTER(T[فروشنده / مشتری], T[نوع عملیات]="خرید")), "")</f>
        <v>هستی هنگامه</v>
      </c>
    </row>
    <row r="946" spans="2:17" ht="16.5" hidden="1" x14ac:dyDescent="0.75">
      <c r="B946" s="227">
        <v>4</v>
      </c>
      <c r="C946" s="150">
        <v>5</v>
      </c>
      <c r="D946" s="150">
        <v>5</v>
      </c>
      <c r="E946" s="150"/>
      <c r="F946" s="151" t="s">
        <v>167</v>
      </c>
      <c r="G946" s="244" t="s">
        <v>615</v>
      </c>
      <c r="H946" s="247" t="s">
        <v>430</v>
      </c>
      <c r="I946" s="162"/>
      <c r="J946" s="251">
        <v>1</v>
      </c>
      <c r="K946" s="254">
        <v>1900000</v>
      </c>
      <c r="L946" s="255">
        <f t="shared" si="68"/>
        <v>1900000</v>
      </c>
      <c r="M946" s="257"/>
      <c r="N946" s="262"/>
      <c r="O94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1120000</v>
      </c>
      <c r="P946" s="262"/>
      <c r="Q946" s="264" t="str" cm="1">
        <f t="array" ref="Q946">IF(T[[#This Row],[نوع عملیات]]="فروش", _xlfn.XLOOKUP(T[[#This Row],[کالا]], _xlfn._xlws.FILTER(T[کالا], T[نوع عملیات]="خرید"), _xlfn._xlws.FILTER(T[فروشنده / مشتری], T[نوع عملیات]="خرید")), "")</f>
        <v>عبدل آباد</v>
      </c>
    </row>
    <row r="947" spans="2:17" ht="16.5" hidden="1" x14ac:dyDescent="0.75">
      <c r="B947" s="227">
        <v>4</v>
      </c>
      <c r="C947" s="150">
        <v>5</v>
      </c>
      <c r="D947" s="150">
        <v>5</v>
      </c>
      <c r="E947" s="150"/>
      <c r="F947" s="151" t="s">
        <v>167</v>
      </c>
      <c r="G947" s="244" t="s">
        <v>590</v>
      </c>
      <c r="H947" s="247" t="s">
        <v>430</v>
      </c>
      <c r="I947" s="162"/>
      <c r="J947" s="251">
        <v>1</v>
      </c>
      <c r="K947" s="254">
        <v>2150000</v>
      </c>
      <c r="L947" s="255">
        <f t="shared" si="68"/>
        <v>2150000</v>
      </c>
      <c r="M947" s="257"/>
      <c r="N947" s="262"/>
      <c r="O94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800000</v>
      </c>
      <c r="P947" s="262"/>
      <c r="Q947" s="264" t="str" cm="1">
        <f t="array" ref="Q947">IF(T[[#This Row],[نوع عملیات]]="فروش", _xlfn.XLOOKUP(T[[#This Row],[کالا]], _xlfn._xlws.FILTER(T[کالا], T[نوع عملیات]="خرید"), _xlfn._xlws.FILTER(T[فروشنده / مشتری], T[نوع عملیات]="خرید")), "")</f>
        <v>عبدل آباد</v>
      </c>
    </row>
    <row r="948" spans="2:17" ht="16.5" hidden="1" x14ac:dyDescent="0.75">
      <c r="B948" s="227">
        <v>4</v>
      </c>
      <c r="C948" s="150">
        <v>5</v>
      </c>
      <c r="D948" s="150">
        <v>5</v>
      </c>
      <c r="E948" s="150"/>
      <c r="F948" s="151" t="s">
        <v>167</v>
      </c>
      <c r="G948" s="243" t="s">
        <v>674</v>
      </c>
      <c r="H948" s="247" t="s">
        <v>430</v>
      </c>
      <c r="I948" s="162"/>
      <c r="J948" s="251">
        <v>1</v>
      </c>
      <c r="K948" s="254">
        <v>1400000</v>
      </c>
      <c r="L948" s="255">
        <f t="shared" si="68"/>
        <v>1400000</v>
      </c>
      <c r="M948" s="257">
        <v>500000</v>
      </c>
      <c r="N948" s="262" t="s">
        <v>216</v>
      </c>
      <c r="O9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948" s="262"/>
      <c r="Q948" s="264" t="str" cm="1">
        <f t="array" ref="Q948">IF(T[[#This Row],[نوع عملیات]]="فروش", _xlfn.XLOOKUP(T[[#This Row],[کالا]], _xlfn._xlws.FILTER(T[کالا], T[نوع عملیات]="خرید"), _xlfn._xlws.FILTER(T[فروشنده / مشتری], T[نوع عملیات]="خرید")), "")</f>
        <v>عبدل آباد</v>
      </c>
    </row>
    <row r="949" spans="2:17" ht="16.5" hidden="1" x14ac:dyDescent="0.75">
      <c r="B949" s="227">
        <v>4</v>
      </c>
      <c r="C949" s="150">
        <v>5</v>
      </c>
      <c r="D949" s="150">
        <v>5</v>
      </c>
      <c r="E949" s="150"/>
      <c r="F949" s="151" t="s">
        <v>167</v>
      </c>
      <c r="G949" s="244" t="s">
        <v>635</v>
      </c>
      <c r="H949" s="247" t="s">
        <v>521</v>
      </c>
      <c r="I949" s="162"/>
      <c r="J949" s="251">
        <v>1</v>
      </c>
      <c r="K949" s="254">
        <v>600000</v>
      </c>
      <c r="L949" s="255">
        <f t="shared" si="68"/>
        <v>600000</v>
      </c>
      <c r="M949" s="257">
        <v>500000</v>
      </c>
      <c r="N949" s="262" t="s">
        <v>299</v>
      </c>
      <c r="O9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280000</v>
      </c>
      <c r="P949" s="262"/>
      <c r="Q949" s="264" t="str" cm="1">
        <f t="array" ref="Q949">IF(T[[#This Row],[نوع عملیات]]="فروش", _xlfn.XLOOKUP(T[[#This Row],[کالا]], _xlfn._xlws.FILTER(T[کالا], T[نوع عملیات]="خرید"), _xlfn._xlws.FILTER(T[فروشنده / مشتری], T[نوع عملیات]="خرید")), "")</f>
        <v>عبدل آباد</v>
      </c>
    </row>
    <row r="950" spans="2:17" ht="16.5" hidden="1" x14ac:dyDescent="0.75">
      <c r="B950" s="227">
        <v>4</v>
      </c>
      <c r="C950" s="150">
        <v>5</v>
      </c>
      <c r="D950" s="150">
        <v>5</v>
      </c>
      <c r="E950" s="150"/>
      <c r="F950" s="151" t="s">
        <v>167</v>
      </c>
      <c r="G950" s="244" t="s">
        <v>274</v>
      </c>
      <c r="H950" s="247" t="s">
        <v>211</v>
      </c>
      <c r="I950" s="162"/>
      <c r="J950" s="251">
        <v>1</v>
      </c>
      <c r="K950" s="254">
        <v>350000</v>
      </c>
      <c r="L950" s="255">
        <f t="shared" si="66"/>
        <v>350000</v>
      </c>
      <c r="M950" s="257">
        <v>350000</v>
      </c>
      <c r="N950" s="262" t="s">
        <v>299</v>
      </c>
      <c r="O95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295714.28571428574</v>
      </c>
      <c r="P950" s="262"/>
      <c r="Q950" s="264" t="str" cm="1">
        <f t="array" ref="Q950">IF(T[[#This Row],[نوع عملیات]]="فروش", _xlfn.XLOOKUP(T[[#This Row],[کالا]], _xlfn._xlws.FILTER(T[کالا], T[نوع عملیات]="خرید"), _xlfn._xlws.FILTER(T[فروشنده / مشتری], T[نوع عملیات]="خرید")), "")</f>
        <v>بازار</v>
      </c>
    </row>
    <row r="951" spans="2:17" ht="16.5" hidden="1" x14ac:dyDescent="0.75">
      <c r="B951" s="227">
        <v>4</v>
      </c>
      <c r="C951" s="150">
        <v>5</v>
      </c>
      <c r="D951" s="150">
        <v>5</v>
      </c>
      <c r="E951" s="150"/>
      <c r="F951" s="151" t="s">
        <v>167</v>
      </c>
      <c r="G951" s="244" t="s">
        <v>459</v>
      </c>
      <c r="H951" s="247" t="s">
        <v>435</v>
      </c>
      <c r="I951" s="162"/>
      <c r="J951" s="251">
        <v>1</v>
      </c>
      <c r="K951" s="254">
        <v>750000</v>
      </c>
      <c r="L951" s="255">
        <f t="shared" si="66"/>
        <v>750000</v>
      </c>
      <c r="M951" s="257"/>
      <c r="N951" s="262"/>
      <c r="O9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382800</v>
      </c>
      <c r="P951" s="262"/>
      <c r="Q951" s="264" t="str" cm="1">
        <f t="array" ref="Q951">IF(T[[#This Row],[نوع عملیات]]="فروش", _xlfn.XLOOKUP(T[[#This Row],[کالا]], _xlfn._xlws.FILTER(T[کالا], T[نوع عملیات]="خرید"), _xlfn._xlws.FILTER(T[فروشنده / مشتری], T[نوع عملیات]="خرید")), "")</f>
        <v>سرای ملی</v>
      </c>
    </row>
    <row r="952" spans="2:17" ht="16.5" hidden="1" x14ac:dyDescent="0.75">
      <c r="B952" s="227">
        <v>4</v>
      </c>
      <c r="C952" s="150">
        <v>5</v>
      </c>
      <c r="D952" s="150">
        <v>5</v>
      </c>
      <c r="E952" s="150"/>
      <c r="F952" s="151" t="s">
        <v>167</v>
      </c>
      <c r="G952" s="244" t="s">
        <v>597</v>
      </c>
      <c r="H952" s="247" t="s">
        <v>480</v>
      </c>
      <c r="I952" s="162"/>
      <c r="J952" s="251">
        <v>1</v>
      </c>
      <c r="K952" s="254">
        <v>2200000</v>
      </c>
      <c r="L952" s="255">
        <f t="shared" ref="L952:L959" si="69">J952*K952</f>
        <v>2200000</v>
      </c>
      <c r="M952" s="257"/>
      <c r="N952" s="262"/>
      <c r="O9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952" s="262"/>
      <c r="Q952" s="264" t="str" cm="1">
        <f t="array" ref="Q952">IF(T[[#This Row],[نوع عملیات]]="فروش", _xlfn.XLOOKUP(T[[#This Row],[کالا]], _xlfn._xlws.FILTER(T[کالا], T[نوع عملیات]="خرید"), _xlfn._xlws.FILTER(T[فروشنده / مشتری], T[نوع عملیات]="خرید")), "")</f>
        <v>عبدل آباد</v>
      </c>
    </row>
    <row r="953" spans="2:17" ht="16.5" hidden="1" x14ac:dyDescent="0.75">
      <c r="B953" s="227">
        <v>4</v>
      </c>
      <c r="C953" s="150">
        <v>5</v>
      </c>
      <c r="D953" s="150">
        <v>5</v>
      </c>
      <c r="E953" s="150"/>
      <c r="F953" s="151" t="s">
        <v>167</v>
      </c>
      <c r="G953" s="244" t="s">
        <v>561</v>
      </c>
      <c r="H953" s="247" t="s">
        <v>480</v>
      </c>
      <c r="I953" s="162"/>
      <c r="J953" s="251">
        <v>1</v>
      </c>
      <c r="K953" s="254">
        <v>420000</v>
      </c>
      <c r="L953" s="255">
        <f t="shared" si="69"/>
        <v>420000</v>
      </c>
      <c r="M953" s="257"/>
      <c r="N953" s="262"/>
      <c r="O95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192000</v>
      </c>
      <c r="P953" s="262"/>
      <c r="Q953" s="264" t="str" cm="1">
        <f t="array" ref="Q953">IF(T[[#This Row],[نوع عملیات]]="فروش", _xlfn.XLOOKUP(T[[#This Row],[کالا]], _xlfn._xlws.FILTER(T[کالا], T[نوع عملیات]="خرید"), _xlfn._xlws.FILTER(T[فروشنده / مشتری], T[نوع عملیات]="خرید")), "")</f>
        <v>عبدل آباد</v>
      </c>
    </row>
    <row r="954" spans="2:17" ht="16.5" hidden="1" x14ac:dyDescent="0.75">
      <c r="B954" s="227">
        <v>4</v>
      </c>
      <c r="C954" s="150">
        <v>5</v>
      </c>
      <c r="D954" s="150">
        <v>5</v>
      </c>
      <c r="E954" s="150"/>
      <c r="F954" s="151" t="s">
        <v>167</v>
      </c>
      <c r="G954" s="244" t="s">
        <v>563</v>
      </c>
      <c r="H954" s="247" t="s">
        <v>211</v>
      </c>
      <c r="I954" s="162"/>
      <c r="J954" s="251">
        <v>1</v>
      </c>
      <c r="K954" s="254">
        <v>300000</v>
      </c>
      <c r="L954" s="255">
        <f t="shared" si="69"/>
        <v>300000</v>
      </c>
      <c r="M954" s="257"/>
      <c r="N954" s="262"/>
      <c r="O95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102000</v>
      </c>
      <c r="P954" s="262"/>
      <c r="Q954" s="264" t="str" cm="1">
        <f t="array" ref="Q954">IF(T[[#This Row],[نوع عملیات]]="فروش", _xlfn.XLOOKUP(T[[#This Row],[کالا]], _xlfn._xlws.FILTER(T[کالا], T[نوع عملیات]="خرید"), _xlfn._xlws.FILTER(T[فروشنده / مشتری], T[نوع عملیات]="خرید")), "")</f>
        <v>عبدل آباد</v>
      </c>
    </row>
    <row r="955" spans="2:17" ht="16.5" hidden="1" x14ac:dyDescent="0.75">
      <c r="B955" s="227">
        <v>4</v>
      </c>
      <c r="C955" s="150">
        <v>5</v>
      </c>
      <c r="D955" s="150">
        <v>5</v>
      </c>
      <c r="E955" s="150"/>
      <c r="F955" s="151" t="s">
        <v>167</v>
      </c>
      <c r="G955" s="244" t="s">
        <v>569</v>
      </c>
      <c r="H955" s="247" t="s">
        <v>211</v>
      </c>
      <c r="I955" s="162"/>
      <c r="J955" s="251">
        <v>1</v>
      </c>
      <c r="K955" s="254">
        <v>700000</v>
      </c>
      <c r="L955" s="255">
        <f t="shared" si="69"/>
        <v>700000</v>
      </c>
      <c r="M955" s="257"/>
      <c r="N955" s="262"/>
      <c r="O95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332000</v>
      </c>
      <c r="P955" s="262"/>
      <c r="Q955" s="264" t="str" cm="1">
        <f t="array" ref="Q955">IF(T[[#This Row],[نوع عملیات]]="فروش", _xlfn.XLOOKUP(T[[#This Row],[کالا]], _xlfn._xlws.FILTER(T[کالا], T[نوع عملیات]="خرید"), _xlfn._xlws.FILTER(T[فروشنده / مشتری], T[نوع عملیات]="خرید")), "")</f>
        <v>عبدل آباد</v>
      </c>
    </row>
    <row r="956" spans="2:17" ht="16.5" hidden="1" x14ac:dyDescent="0.75">
      <c r="B956" s="227">
        <v>4</v>
      </c>
      <c r="C956" s="150">
        <v>5</v>
      </c>
      <c r="D956" s="150">
        <v>5</v>
      </c>
      <c r="E956" s="150"/>
      <c r="F956" s="151" t="s">
        <v>167</v>
      </c>
      <c r="G956" s="244" t="s">
        <v>636</v>
      </c>
      <c r="H956" s="247" t="s">
        <v>211</v>
      </c>
      <c r="I956" s="162"/>
      <c r="J956" s="251">
        <v>1</v>
      </c>
      <c r="K956" s="254">
        <v>850000</v>
      </c>
      <c r="L956" s="255">
        <f t="shared" si="69"/>
        <v>850000</v>
      </c>
      <c r="M956" s="257">
        <v>1850000</v>
      </c>
      <c r="N956" s="262" t="s">
        <v>299</v>
      </c>
      <c r="O95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956" s="262"/>
      <c r="Q956" s="264" t="str" cm="1">
        <f t="array" ref="Q956">IF(T[[#This Row],[نوع عملیات]]="فروش", _xlfn.XLOOKUP(T[[#This Row],[کالا]], _xlfn._xlws.FILTER(T[کالا], T[نوع عملیات]="خرید"), _xlfn._xlws.FILTER(T[فروشنده / مشتری], T[نوع عملیات]="خرید")), "")</f>
        <v>وان ترکیه</v>
      </c>
    </row>
    <row r="957" spans="2:17" ht="16.5" hidden="1" x14ac:dyDescent="0.75">
      <c r="B957" s="227">
        <v>4</v>
      </c>
      <c r="C957" s="150">
        <v>5</v>
      </c>
      <c r="D957" s="150">
        <v>5</v>
      </c>
      <c r="E957" s="150"/>
      <c r="F957" s="151" t="s">
        <v>167</v>
      </c>
      <c r="G957" s="244" t="s">
        <v>568</v>
      </c>
      <c r="H957" s="247" t="s">
        <v>211</v>
      </c>
      <c r="I957" s="162"/>
      <c r="J957" s="251">
        <v>1</v>
      </c>
      <c r="K957" s="254">
        <v>650000</v>
      </c>
      <c r="L957" s="255">
        <f t="shared" si="69"/>
        <v>650000</v>
      </c>
      <c r="M957" s="257">
        <v>650000</v>
      </c>
      <c r="N957" s="262" t="s">
        <v>611</v>
      </c>
      <c r="O95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262000</v>
      </c>
      <c r="P957" s="262"/>
      <c r="Q957" s="264" t="str" cm="1">
        <f t="array" ref="Q957">IF(T[[#This Row],[نوع عملیات]]="فروش", _xlfn.XLOOKUP(T[[#This Row],[کالا]], _xlfn._xlws.FILTER(T[کالا], T[نوع عملیات]="خرید"), _xlfn._xlws.FILTER(T[فروشنده / مشتری], T[نوع عملیات]="خرید")), "")</f>
        <v>عبدل آباد</v>
      </c>
    </row>
    <row r="958" spans="2:17" ht="16.5" hidden="1" x14ac:dyDescent="0.75">
      <c r="B958" s="227">
        <v>4</v>
      </c>
      <c r="C958" s="150">
        <v>5</v>
      </c>
      <c r="D958" s="150">
        <v>6</v>
      </c>
      <c r="E958" s="150"/>
      <c r="F958" s="151" t="s">
        <v>167</v>
      </c>
      <c r="G958" s="244" t="s">
        <v>457</v>
      </c>
      <c r="H958" s="247" t="s">
        <v>637</v>
      </c>
      <c r="I958" s="162"/>
      <c r="J958" s="251">
        <v>1</v>
      </c>
      <c r="K958" s="254">
        <v>1400000</v>
      </c>
      <c r="L958" s="255">
        <f t="shared" si="69"/>
        <v>1400000</v>
      </c>
      <c r="M958" s="257"/>
      <c r="N958" s="262"/>
      <c r="O95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958" s="262"/>
      <c r="Q958" s="264" t="str" cm="1">
        <f t="array" ref="Q958">IF(T[[#This Row],[نوع عملیات]]="فروش", _xlfn.XLOOKUP(T[[#This Row],[کالا]], _xlfn._xlws.FILTER(T[کالا], T[نوع عملیات]="خرید"), _xlfn._xlws.FILTER(T[فروشنده / مشتری], T[نوع عملیات]="خرید")), "")</f>
        <v>عبدل آباد</v>
      </c>
    </row>
    <row r="959" spans="2:17" ht="16.5" hidden="1" x14ac:dyDescent="0.75">
      <c r="B959" s="227">
        <v>4</v>
      </c>
      <c r="C959" s="150">
        <v>5</v>
      </c>
      <c r="D959" s="150">
        <v>6</v>
      </c>
      <c r="E959" s="150"/>
      <c r="F959" s="151" t="s">
        <v>167</v>
      </c>
      <c r="G959" s="244" t="s">
        <v>638</v>
      </c>
      <c r="H959" s="247" t="s">
        <v>637</v>
      </c>
      <c r="I959" s="162"/>
      <c r="J959" s="251">
        <v>1</v>
      </c>
      <c r="K959" s="254">
        <v>1900000</v>
      </c>
      <c r="L959" s="255">
        <f t="shared" si="69"/>
        <v>1900000</v>
      </c>
      <c r="M959" s="257"/>
      <c r="N959" s="262"/>
      <c r="O95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710000</v>
      </c>
      <c r="P959" s="262"/>
      <c r="Q959" s="264" t="str" cm="1">
        <f t="array" ref="Q959">IF(T[[#This Row],[نوع عملیات]]="فروش", _xlfn.XLOOKUP(T[[#This Row],[کالا]], _xlfn._xlws.FILTER(T[کالا], T[نوع عملیات]="خرید"), _xlfn._xlws.FILTER(T[فروشنده / مشتری], T[نوع عملیات]="خرید")), "")</f>
        <v>عبدل آباد</v>
      </c>
    </row>
    <row r="960" spans="2:17" ht="16.5" hidden="1" x14ac:dyDescent="0.75">
      <c r="B960" s="227">
        <v>4</v>
      </c>
      <c r="C960" s="150">
        <v>5</v>
      </c>
      <c r="D960" s="150">
        <v>6</v>
      </c>
      <c r="E960" s="150"/>
      <c r="F960" s="151" t="s">
        <v>167</v>
      </c>
      <c r="G960" s="244" t="s">
        <v>356</v>
      </c>
      <c r="H960" s="247" t="s">
        <v>211</v>
      </c>
      <c r="I960" s="162"/>
      <c r="J960" s="251">
        <v>1</v>
      </c>
      <c r="K960" s="254">
        <v>800000</v>
      </c>
      <c r="L960" s="255">
        <f t="shared" si="66"/>
        <v>800000</v>
      </c>
      <c r="M960" s="257"/>
      <c r="N960" s="262"/>
      <c r="O96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480000</v>
      </c>
      <c r="P960" s="262"/>
      <c r="Q960" s="264" t="str" cm="1">
        <f t="array" ref="Q960">IF(T[[#This Row],[نوع عملیات]]="فروش", _xlfn.XLOOKUP(T[[#This Row],[کالا]], _xlfn._xlws.FILTER(T[کالا], T[نوع عملیات]="خرید"), _xlfn._xlws.FILTER(T[فروشنده / مشتری], T[نوع عملیات]="خرید")), "")</f>
        <v>بازار</v>
      </c>
    </row>
    <row r="961" spans="2:17" ht="16.5" hidden="1" x14ac:dyDescent="0.75">
      <c r="B961" s="227">
        <v>4</v>
      </c>
      <c r="C961" s="150">
        <v>5</v>
      </c>
      <c r="D961" s="150">
        <v>6</v>
      </c>
      <c r="E961" s="150"/>
      <c r="F961" s="151" t="s">
        <v>167</v>
      </c>
      <c r="G961" s="244" t="s">
        <v>547</v>
      </c>
      <c r="H961" s="247" t="s">
        <v>211</v>
      </c>
      <c r="I961" s="162"/>
      <c r="J961" s="251">
        <v>1</v>
      </c>
      <c r="K961" s="254">
        <v>800000</v>
      </c>
      <c r="L961" s="255">
        <f t="shared" ref="L961:L968" si="70">J961*K961</f>
        <v>800000</v>
      </c>
      <c r="M961" s="257">
        <v>1600000</v>
      </c>
      <c r="N961" s="262" t="s">
        <v>299</v>
      </c>
      <c r="O96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410000</v>
      </c>
      <c r="P961" s="262"/>
      <c r="Q961" s="264" t="str" cm="1">
        <f t="array" ref="Q961">IF(T[[#This Row],[نوع عملیات]]="فروش", _xlfn.XLOOKUP(T[[#This Row],[کالا]], _xlfn._xlws.FILTER(T[کالا], T[نوع عملیات]="خرید"), _xlfn._xlws.FILTER(T[فروشنده / مشتری], T[نوع عملیات]="خرید")), "")</f>
        <v>بازار پارسیان</v>
      </c>
    </row>
    <row r="962" spans="2:17" ht="16.5" hidden="1" x14ac:dyDescent="0.75">
      <c r="B962" s="227">
        <v>4</v>
      </c>
      <c r="C962" s="150">
        <v>5</v>
      </c>
      <c r="D962" s="150">
        <v>6</v>
      </c>
      <c r="E962" s="150"/>
      <c r="F962" s="151" t="s">
        <v>167</v>
      </c>
      <c r="G962" s="244" t="s">
        <v>629</v>
      </c>
      <c r="H962" s="247" t="s">
        <v>639</v>
      </c>
      <c r="I962" s="162"/>
      <c r="J962" s="251">
        <v>1</v>
      </c>
      <c r="K962" s="254">
        <v>500000</v>
      </c>
      <c r="L962" s="255">
        <f t="shared" si="70"/>
        <v>500000</v>
      </c>
      <c r="M962" s="257"/>
      <c r="N962" s="262"/>
      <c r="O96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300000</v>
      </c>
      <c r="P962" s="262"/>
      <c r="Q962" s="264" t="str" cm="1">
        <f t="array" ref="Q962">IF(T[[#This Row],[نوع عملیات]]="فروش", _xlfn.XLOOKUP(T[[#This Row],[کالا]], _xlfn._xlws.FILTER(T[کالا], T[نوع عملیات]="خرید"), _xlfn._xlws.FILTER(T[فروشنده / مشتری], T[نوع عملیات]="خرید")), "")</f>
        <v>عبدل آباد</v>
      </c>
    </row>
    <row r="963" spans="2:17" ht="16.5" hidden="1" x14ac:dyDescent="0.75">
      <c r="B963" s="227">
        <v>4</v>
      </c>
      <c r="C963" s="150">
        <v>5</v>
      </c>
      <c r="D963" s="150">
        <v>6</v>
      </c>
      <c r="E963" s="150"/>
      <c r="F963" s="151" t="s">
        <v>167</v>
      </c>
      <c r="G963" s="244" t="s">
        <v>638</v>
      </c>
      <c r="H963" s="247" t="s">
        <v>510</v>
      </c>
      <c r="I963" s="162"/>
      <c r="J963" s="251">
        <v>1</v>
      </c>
      <c r="K963" s="254">
        <v>1800000</v>
      </c>
      <c r="L963" s="255">
        <f t="shared" si="70"/>
        <v>1800000</v>
      </c>
      <c r="M963" s="257"/>
      <c r="N963" s="262"/>
      <c r="O96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610000</v>
      </c>
      <c r="P963" s="262"/>
      <c r="Q963" s="264" t="str" cm="1">
        <f t="array" ref="Q963">IF(T[[#This Row],[نوع عملیات]]="فروش", _xlfn.XLOOKUP(T[[#This Row],[کالا]], _xlfn._xlws.FILTER(T[کالا], T[نوع عملیات]="خرید"), _xlfn._xlws.FILTER(T[فروشنده / مشتری], T[نوع عملیات]="خرید")), "")</f>
        <v>عبدل آباد</v>
      </c>
    </row>
    <row r="964" spans="2:17" ht="16.5" hidden="1" x14ac:dyDescent="0.75">
      <c r="B964" s="227">
        <v>4</v>
      </c>
      <c r="C964" s="150">
        <v>5</v>
      </c>
      <c r="D964" s="150">
        <v>6</v>
      </c>
      <c r="E964" s="150"/>
      <c r="F964" s="151" t="s">
        <v>167</v>
      </c>
      <c r="G964" s="244" t="s">
        <v>457</v>
      </c>
      <c r="H964" s="247" t="s">
        <v>510</v>
      </c>
      <c r="I964" s="162"/>
      <c r="J964" s="251">
        <v>1</v>
      </c>
      <c r="K964" s="254">
        <v>1400000</v>
      </c>
      <c r="L964" s="255">
        <f t="shared" si="70"/>
        <v>1400000</v>
      </c>
      <c r="M964" s="257"/>
      <c r="N964" s="262"/>
      <c r="O96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964" s="262"/>
      <c r="Q964" s="264" t="str" cm="1">
        <f t="array" ref="Q964">IF(T[[#This Row],[نوع عملیات]]="فروش", _xlfn.XLOOKUP(T[[#This Row],[کالا]], _xlfn._xlws.FILTER(T[کالا], T[نوع عملیات]="خرید"), _xlfn._xlws.FILTER(T[فروشنده / مشتری], T[نوع عملیات]="خرید")), "")</f>
        <v>عبدل آباد</v>
      </c>
    </row>
    <row r="965" spans="2:17" ht="16.5" hidden="1" x14ac:dyDescent="0.75">
      <c r="B965" s="227">
        <v>4</v>
      </c>
      <c r="C965" s="150">
        <v>5</v>
      </c>
      <c r="D965" s="150">
        <v>6</v>
      </c>
      <c r="E965" s="150"/>
      <c r="F965" s="151" t="s">
        <v>167</v>
      </c>
      <c r="G965" s="244" t="s">
        <v>486</v>
      </c>
      <c r="H965" s="247" t="s">
        <v>640</v>
      </c>
      <c r="I965" s="162"/>
      <c r="J965" s="251">
        <v>1</v>
      </c>
      <c r="K965" s="254">
        <v>2500000</v>
      </c>
      <c r="L965" s="255">
        <f t="shared" si="70"/>
        <v>2500000</v>
      </c>
      <c r="M965" s="257"/>
      <c r="N965" s="262"/>
      <c r="O96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965" s="262"/>
      <c r="Q965" s="264" t="str" cm="1">
        <f t="array" ref="Q965">IF(T[[#This Row],[نوع عملیات]]="فروش", _xlfn.XLOOKUP(T[[#This Row],[کالا]], _xlfn._xlws.FILTER(T[کالا], T[نوع عملیات]="خرید"), _xlfn._xlws.FILTER(T[فروشنده / مشتری], T[نوع عملیات]="خرید")), "")</f>
        <v>عبدل آباد</v>
      </c>
    </row>
    <row r="966" spans="2:17" ht="16.5" hidden="1" x14ac:dyDescent="0.75">
      <c r="B966" s="227">
        <v>4</v>
      </c>
      <c r="C966" s="150">
        <v>5</v>
      </c>
      <c r="D966" s="150">
        <v>6</v>
      </c>
      <c r="E966" s="150"/>
      <c r="F966" s="151" t="s">
        <v>167</v>
      </c>
      <c r="G966" s="244" t="s">
        <v>558</v>
      </c>
      <c r="H966" s="247" t="s">
        <v>640</v>
      </c>
      <c r="I966" s="162"/>
      <c r="J966" s="251">
        <v>1</v>
      </c>
      <c r="K966" s="254">
        <v>500000</v>
      </c>
      <c r="L966" s="255">
        <f t="shared" si="70"/>
        <v>500000</v>
      </c>
      <c r="M966" s="257"/>
      <c r="N966" s="262"/>
      <c r="O96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966" s="262"/>
      <c r="Q966" s="264" t="str" cm="1">
        <f t="array" ref="Q966">IF(T[[#This Row],[نوع عملیات]]="فروش", _xlfn.XLOOKUP(T[[#This Row],[کالا]], _xlfn._xlws.FILTER(T[کالا], T[نوع عملیات]="خرید"), _xlfn._xlws.FILTER(T[فروشنده / مشتری], T[نوع عملیات]="خرید")), "")</f>
        <v>عبدل آباد</v>
      </c>
    </row>
    <row r="967" spans="2:17" ht="16.5" hidden="1" x14ac:dyDescent="0.75">
      <c r="B967" s="227">
        <v>4</v>
      </c>
      <c r="C967" s="150">
        <v>5</v>
      </c>
      <c r="D967" s="150">
        <v>6</v>
      </c>
      <c r="E967" s="150"/>
      <c r="F967" s="151" t="s">
        <v>167</v>
      </c>
      <c r="G967" s="244" t="s">
        <v>605</v>
      </c>
      <c r="H967" s="247" t="s">
        <v>211</v>
      </c>
      <c r="I967" s="162"/>
      <c r="J967" s="251">
        <v>1</v>
      </c>
      <c r="K967" s="254">
        <v>350000</v>
      </c>
      <c r="L967" s="255">
        <f t="shared" si="70"/>
        <v>350000</v>
      </c>
      <c r="M967" s="257">
        <v>350000</v>
      </c>
      <c r="N967" s="262" t="s">
        <v>216</v>
      </c>
      <c r="O96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67" s="262"/>
      <c r="Q967" s="264" t="str" cm="1">
        <f t="array" ref="Q967">IF(T[[#This Row],[نوع عملیات]]="فروش", _xlfn.XLOOKUP(T[[#This Row],[کالا]], _xlfn._xlws.FILTER(T[کالا], T[نوع عملیات]="خرید"), _xlfn._xlws.FILTER(T[فروشنده / مشتری], T[نوع عملیات]="خرید")), "")</f>
        <v>هستی هنگامه</v>
      </c>
    </row>
    <row r="968" spans="2:17" ht="16.5" hidden="1" x14ac:dyDescent="0.75">
      <c r="B968" s="227">
        <v>4</v>
      </c>
      <c r="C968" s="150">
        <v>5</v>
      </c>
      <c r="D968" s="150">
        <v>6</v>
      </c>
      <c r="E968" s="150"/>
      <c r="F968" s="151" t="s">
        <v>167</v>
      </c>
      <c r="G968" s="244" t="s">
        <v>457</v>
      </c>
      <c r="H968" s="247" t="s">
        <v>211</v>
      </c>
      <c r="I968" s="162"/>
      <c r="J968" s="251">
        <v>1</v>
      </c>
      <c r="K968" s="254">
        <v>1400000</v>
      </c>
      <c r="L968" s="255">
        <f t="shared" si="70"/>
        <v>1400000</v>
      </c>
      <c r="M968" s="257">
        <v>1400000</v>
      </c>
      <c r="N968" s="262" t="s">
        <v>299</v>
      </c>
      <c r="O96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968" s="262"/>
      <c r="Q968" s="264" t="str" cm="1">
        <f t="array" ref="Q968">IF(T[[#This Row],[نوع عملیات]]="فروش", _xlfn.XLOOKUP(T[[#This Row],[کالا]], _xlfn._xlws.FILTER(T[کالا], T[نوع عملیات]="خرید"), _xlfn._xlws.FILTER(T[فروشنده / مشتری], T[نوع عملیات]="خرید")), "")</f>
        <v>عبدل آباد</v>
      </c>
    </row>
    <row r="969" spans="2:17" ht="16.5" hidden="1" x14ac:dyDescent="0.75">
      <c r="B969" s="227">
        <v>4</v>
      </c>
      <c r="C969" s="150">
        <v>5</v>
      </c>
      <c r="D969" s="150">
        <v>6</v>
      </c>
      <c r="E969" s="150"/>
      <c r="F969" s="151" t="s">
        <v>167</v>
      </c>
      <c r="G969" s="244" t="s">
        <v>546</v>
      </c>
      <c r="H969" s="247" t="s">
        <v>639</v>
      </c>
      <c r="I969" s="162"/>
      <c r="J969" s="251">
        <v>1</v>
      </c>
      <c r="K969" s="254">
        <v>1800000</v>
      </c>
      <c r="L969" s="255">
        <f t="shared" ref="L969:L1089" si="71">J969*K969</f>
        <v>1800000</v>
      </c>
      <c r="M969" s="257"/>
      <c r="N969" s="262"/>
      <c r="O96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700000</v>
      </c>
      <c r="P969" s="262"/>
      <c r="Q969" s="264" t="str" cm="1">
        <f t="array" ref="Q969">IF(T[[#This Row],[نوع عملیات]]="فروش", _xlfn.XLOOKUP(T[[#This Row],[کالا]], _xlfn._xlws.FILTER(T[کالا], T[نوع عملیات]="خرید"), _xlfn._xlws.FILTER(T[فروشنده / مشتری], T[نوع عملیات]="خرید")), "")</f>
        <v>بازار پارسیان</v>
      </c>
    </row>
    <row r="970" spans="2:17" ht="16.5" hidden="1" x14ac:dyDescent="0.75">
      <c r="B970" s="227">
        <v>4</v>
      </c>
      <c r="C970" s="150">
        <v>5</v>
      </c>
      <c r="D970" s="150">
        <v>6</v>
      </c>
      <c r="E970" s="150"/>
      <c r="F970" s="151" t="s">
        <v>167</v>
      </c>
      <c r="G970" s="244" t="s">
        <v>620</v>
      </c>
      <c r="H970" s="247" t="s">
        <v>430</v>
      </c>
      <c r="I970" s="162"/>
      <c r="J970" s="251">
        <v>1</v>
      </c>
      <c r="K970" s="254">
        <v>1300000</v>
      </c>
      <c r="L970" s="255">
        <f t="shared" si="71"/>
        <v>1300000</v>
      </c>
      <c r="M970" s="257"/>
      <c r="N970" s="262"/>
      <c r="O97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578000</v>
      </c>
      <c r="P970" s="262"/>
      <c r="Q970" s="264" t="str" cm="1">
        <f t="array" ref="Q970">IF(T[[#This Row],[نوع عملیات]]="فروش", _xlfn.XLOOKUP(T[[#This Row],[کالا]], _xlfn._xlws.FILTER(T[کالا], T[نوع عملیات]="خرید"), _xlfn._xlws.FILTER(T[فروشنده / مشتری], T[نوع عملیات]="خرید")), "")</f>
        <v>عبدل آباد</v>
      </c>
    </row>
    <row r="971" spans="2:17" ht="16.5" hidden="1" x14ac:dyDescent="0.75">
      <c r="B971" s="227">
        <v>4</v>
      </c>
      <c r="C971" s="150">
        <v>5</v>
      </c>
      <c r="D971" s="150">
        <v>6</v>
      </c>
      <c r="E971" s="150"/>
      <c r="F971" s="151" t="s">
        <v>167</v>
      </c>
      <c r="G971" s="244" t="s">
        <v>633</v>
      </c>
      <c r="H971" s="247" t="s">
        <v>430</v>
      </c>
      <c r="I971" s="162"/>
      <c r="J971" s="251">
        <v>1</v>
      </c>
      <c r="K971" s="254">
        <v>1800000</v>
      </c>
      <c r="L971" s="255">
        <f t="shared" si="71"/>
        <v>1800000</v>
      </c>
      <c r="M971" s="257"/>
      <c r="N971" s="262"/>
      <c r="O97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971" s="262"/>
      <c r="Q971" s="264" t="str" cm="1">
        <f t="array" ref="Q971">IF(T[[#This Row],[نوع عملیات]]="فروش", _xlfn.XLOOKUP(T[[#This Row],[کالا]], _xlfn._xlws.FILTER(T[کالا], T[نوع عملیات]="خرید"), _xlfn._xlws.FILTER(T[فروشنده / مشتری], T[نوع عملیات]="خرید")), "")</f>
        <v>عبدل آباد</v>
      </c>
    </row>
    <row r="972" spans="2:17" ht="16.5" hidden="1" x14ac:dyDescent="0.75">
      <c r="B972" s="227">
        <v>4</v>
      </c>
      <c r="C972" s="150">
        <v>5</v>
      </c>
      <c r="D972" s="150">
        <v>6</v>
      </c>
      <c r="E972" s="150"/>
      <c r="F972" s="151" t="s">
        <v>167</v>
      </c>
      <c r="G972" s="244" t="s">
        <v>547</v>
      </c>
      <c r="H972" s="247" t="s">
        <v>211</v>
      </c>
      <c r="I972" s="162"/>
      <c r="J972" s="251">
        <v>1</v>
      </c>
      <c r="K972" s="254">
        <v>850000</v>
      </c>
      <c r="L972" s="255">
        <f t="shared" si="71"/>
        <v>850000</v>
      </c>
      <c r="M972" s="257"/>
      <c r="N972" s="262"/>
      <c r="O97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460000</v>
      </c>
      <c r="P972" s="262"/>
      <c r="Q972" s="264" t="str" cm="1">
        <f t="array" ref="Q972">IF(T[[#This Row],[نوع عملیات]]="فروش", _xlfn.XLOOKUP(T[[#This Row],[کالا]], _xlfn._xlws.FILTER(T[کالا], T[نوع عملیات]="خرید"), _xlfn._xlws.FILTER(T[فروشنده / مشتری], T[نوع عملیات]="خرید")), "")</f>
        <v>بازار پارسیان</v>
      </c>
    </row>
    <row r="973" spans="2:17" ht="16.5" hidden="1" x14ac:dyDescent="0.75">
      <c r="B973" s="227">
        <v>4</v>
      </c>
      <c r="C973" s="150">
        <v>5</v>
      </c>
      <c r="D973" s="150">
        <v>6</v>
      </c>
      <c r="E973" s="150"/>
      <c r="F973" s="151" t="s">
        <v>167</v>
      </c>
      <c r="G973" s="244" t="s">
        <v>551</v>
      </c>
      <c r="H973" s="247" t="s">
        <v>211</v>
      </c>
      <c r="I973" s="162"/>
      <c r="J973" s="251">
        <v>1</v>
      </c>
      <c r="K973" s="254">
        <v>850000</v>
      </c>
      <c r="L973" s="255">
        <f t="shared" si="71"/>
        <v>850000</v>
      </c>
      <c r="M973" s="257">
        <v>1700000</v>
      </c>
      <c r="N973" s="262" t="s">
        <v>299</v>
      </c>
      <c r="O97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494000</v>
      </c>
      <c r="P973" s="262"/>
      <c r="Q973" s="264" t="str" cm="1">
        <f t="array" ref="Q973">IF(T[[#This Row],[نوع عملیات]]="فروش", _xlfn.XLOOKUP(T[[#This Row],[کالا]], _xlfn._xlws.FILTER(T[کالا], T[نوع عملیات]="خرید"), _xlfn._xlws.FILTER(T[فروشنده / مشتری], T[نوع عملیات]="خرید")), "")</f>
        <v>سرای ملی</v>
      </c>
    </row>
    <row r="974" spans="2:17" ht="16.5" hidden="1" x14ac:dyDescent="0.75">
      <c r="B974" s="227">
        <v>4</v>
      </c>
      <c r="C974" s="150">
        <v>5</v>
      </c>
      <c r="D974" s="150">
        <v>6</v>
      </c>
      <c r="E974" s="150"/>
      <c r="F974" s="151" t="s">
        <v>167</v>
      </c>
      <c r="G974" s="244" t="s">
        <v>561</v>
      </c>
      <c r="H974" s="247" t="s">
        <v>641</v>
      </c>
      <c r="I974" s="162"/>
      <c r="J974" s="251">
        <v>1</v>
      </c>
      <c r="K974" s="254">
        <v>350000</v>
      </c>
      <c r="L974" s="255">
        <f t="shared" si="71"/>
        <v>350000</v>
      </c>
      <c r="M974" s="257"/>
      <c r="N974" s="262"/>
      <c r="O97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122000</v>
      </c>
      <c r="P974" s="262"/>
      <c r="Q974" s="264" t="str" cm="1">
        <f t="array" ref="Q974">IF(T[[#This Row],[نوع عملیات]]="فروش", _xlfn.XLOOKUP(T[[#This Row],[کالا]], _xlfn._xlws.FILTER(T[کالا], T[نوع عملیات]="خرید"), _xlfn._xlws.FILTER(T[فروشنده / مشتری], T[نوع عملیات]="خرید")), "")</f>
        <v>عبدل آباد</v>
      </c>
    </row>
    <row r="975" spans="2:17" ht="16.5" hidden="1" x14ac:dyDescent="0.75">
      <c r="B975" s="227">
        <v>4</v>
      </c>
      <c r="C975" s="150">
        <v>5</v>
      </c>
      <c r="D975" s="150">
        <v>6</v>
      </c>
      <c r="E975" s="150"/>
      <c r="F975" s="151" t="s">
        <v>167</v>
      </c>
      <c r="G975" s="244" t="s">
        <v>642</v>
      </c>
      <c r="H975" s="247" t="s">
        <v>480</v>
      </c>
      <c r="I975" s="162"/>
      <c r="J975" s="251">
        <v>1</v>
      </c>
      <c r="K975" s="254">
        <v>250000</v>
      </c>
      <c r="L975" s="255">
        <f t="shared" si="71"/>
        <v>250000</v>
      </c>
      <c r="M975" s="257"/>
      <c r="N975" s="262"/>
      <c r="O97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122000</v>
      </c>
      <c r="P975" s="262"/>
      <c r="Q975" s="264" t="str" cm="1">
        <f t="array" ref="Q975">IF(T[[#This Row],[نوع عملیات]]="فروش", _xlfn.XLOOKUP(T[[#This Row],[کالا]], _xlfn._xlws.FILTER(T[کالا], T[نوع عملیات]="خرید"), _xlfn._xlws.FILTER(T[فروشنده / مشتری], T[نوع عملیات]="خرید")), "")</f>
        <v>عبدل آباد</v>
      </c>
    </row>
    <row r="976" spans="2:17" ht="16.5" hidden="1" x14ac:dyDescent="0.75">
      <c r="B976" s="227">
        <v>4</v>
      </c>
      <c r="C976" s="150">
        <v>5</v>
      </c>
      <c r="D976" s="150">
        <v>6</v>
      </c>
      <c r="E976" s="150"/>
      <c r="F976" s="151" t="s">
        <v>167</v>
      </c>
      <c r="G976" s="244" t="s">
        <v>460</v>
      </c>
      <c r="H976" s="247" t="s">
        <v>480</v>
      </c>
      <c r="I976" s="162"/>
      <c r="J976" s="251">
        <v>1</v>
      </c>
      <c r="K976" s="254">
        <v>750000</v>
      </c>
      <c r="L976" s="255">
        <f t="shared" si="71"/>
        <v>750000</v>
      </c>
      <c r="M976" s="257"/>
      <c r="N976" s="262"/>
      <c r="O97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312000</v>
      </c>
      <c r="P976" s="262"/>
      <c r="Q976" s="264" t="str" cm="1">
        <f t="array" ref="Q976">IF(T[[#This Row],[نوع عملیات]]="فروش", _xlfn.XLOOKUP(T[[#This Row],[کالا]], _xlfn._xlws.FILTER(T[کالا], T[نوع عملیات]="خرید"), _xlfn._xlws.FILTER(T[فروشنده / مشتری], T[نوع عملیات]="خرید")), "")</f>
        <v>سرای ملی</v>
      </c>
    </row>
    <row r="977" spans="2:17" ht="16.5" hidden="1" x14ac:dyDescent="0.75">
      <c r="B977" s="227">
        <v>4</v>
      </c>
      <c r="C977" s="150">
        <v>5</v>
      </c>
      <c r="D977" s="150">
        <v>6</v>
      </c>
      <c r="E977" s="150"/>
      <c r="F977" s="151" t="s">
        <v>167</v>
      </c>
      <c r="G977" s="244" t="s">
        <v>468</v>
      </c>
      <c r="H977" s="247" t="s">
        <v>523</v>
      </c>
      <c r="I977" s="162"/>
      <c r="J977" s="251">
        <v>1</v>
      </c>
      <c r="K977" s="254">
        <v>300000</v>
      </c>
      <c r="L977" s="255">
        <f t="shared" si="71"/>
        <v>300000</v>
      </c>
      <c r="M977" s="257">
        <v>600000</v>
      </c>
      <c r="N977" s="262" t="s">
        <v>611</v>
      </c>
      <c r="O97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977" s="262"/>
      <c r="Q977" s="264" t="str" cm="1">
        <f t="array" ref="Q977">IF(T[[#This Row],[نوع عملیات]]="فروش", _xlfn.XLOOKUP(T[[#This Row],[کالا]], _xlfn._xlws.FILTER(T[کالا], T[نوع عملیات]="خرید"), _xlfn._xlws.FILTER(T[فروشنده / مشتری], T[نوع عملیات]="خرید")), "")</f>
        <v>سرای ملی</v>
      </c>
    </row>
    <row r="978" spans="2:17" ht="16.5" hidden="1" x14ac:dyDescent="0.75">
      <c r="B978" s="227">
        <v>4</v>
      </c>
      <c r="C978" s="150">
        <v>5</v>
      </c>
      <c r="D978" s="150">
        <v>6</v>
      </c>
      <c r="E978" s="150"/>
      <c r="F978" s="151" t="s">
        <v>167</v>
      </c>
      <c r="G978" s="244" t="s">
        <v>271</v>
      </c>
      <c r="H978" s="247" t="s">
        <v>640</v>
      </c>
      <c r="I978" s="162"/>
      <c r="J978" s="251">
        <v>1</v>
      </c>
      <c r="K978" s="254">
        <v>850000</v>
      </c>
      <c r="L978" s="255">
        <f t="shared" si="71"/>
        <v>850000</v>
      </c>
      <c r="M978" s="257"/>
      <c r="N978" s="262"/>
      <c r="O97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272000</v>
      </c>
      <c r="P978" s="262"/>
      <c r="Q978" s="264" t="str" cm="1">
        <f t="array" ref="Q978">IF(T[[#This Row],[نوع عملیات]]="فروش", _xlfn.XLOOKUP(T[[#This Row],[کالا]], _xlfn._xlws.FILTER(T[کالا], T[نوع عملیات]="خرید"), _xlfn._xlws.FILTER(T[فروشنده / مشتری], T[نوع عملیات]="خرید")), "")</f>
        <v>بازار</v>
      </c>
    </row>
    <row r="979" spans="2:17" ht="16.5" hidden="1" x14ac:dyDescent="0.75">
      <c r="B979" s="227">
        <v>4</v>
      </c>
      <c r="C979" s="150">
        <v>5</v>
      </c>
      <c r="D979" s="150">
        <v>8</v>
      </c>
      <c r="E979" s="150"/>
      <c r="F979" s="151" t="s">
        <v>167</v>
      </c>
      <c r="G979" s="244" t="s">
        <v>622</v>
      </c>
      <c r="H979" s="247" t="s">
        <v>211</v>
      </c>
      <c r="I979" s="162"/>
      <c r="J979" s="251">
        <v>1</v>
      </c>
      <c r="K979" s="254">
        <v>650000</v>
      </c>
      <c r="L979" s="255">
        <f t="shared" ref="L979:L985" si="72">J979*K979</f>
        <v>650000</v>
      </c>
      <c r="M979" s="257"/>
      <c r="N979" s="262"/>
      <c r="O97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79" s="262"/>
      <c r="Q979" s="264" t="str" cm="1">
        <f t="array" ref="Q979">IF(T[[#This Row],[نوع عملیات]]="فروش", _xlfn.XLOOKUP(T[[#This Row],[کالا]], _xlfn._xlws.FILTER(T[کالا], T[نوع عملیات]="خرید"), _xlfn._xlws.FILTER(T[فروشنده / مشتری], T[نوع عملیات]="خرید")), "")</f>
        <v>هستی هنگامه</v>
      </c>
    </row>
    <row r="980" spans="2:17" ht="16.5" hidden="1" x14ac:dyDescent="0.75">
      <c r="B980" s="227">
        <v>4</v>
      </c>
      <c r="C980" s="150">
        <v>5</v>
      </c>
      <c r="D980" s="150">
        <v>8</v>
      </c>
      <c r="E980" s="150"/>
      <c r="F980" s="151" t="s">
        <v>167</v>
      </c>
      <c r="G980" s="244" t="s">
        <v>468</v>
      </c>
      <c r="H980" s="247" t="s">
        <v>211</v>
      </c>
      <c r="I980" s="162"/>
      <c r="J980" s="251">
        <v>1</v>
      </c>
      <c r="K980" s="254">
        <v>350000</v>
      </c>
      <c r="L980" s="255">
        <f t="shared" si="72"/>
        <v>350000</v>
      </c>
      <c r="M980" s="257">
        <v>1000000</v>
      </c>
      <c r="N980" s="262" t="s">
        <v>299</v>
      </c>
      <c r="O98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980" s="262"/>
      <c r="Q980" s="264" t="str" cm="1">
        <f t="array" ref="Q980">IF(T[[#This Row],[نوع عملیات]]="فروش", _xlfn.XLOOKUP(T[[#This Row],[کالا]], _xlfn._xlws.FILTER(T[کالا], T[نوع عملیات]="خرید"), _xlfn._xlws.FILTER(T[فروشنده / مشتری], T[نوع عملیات]="خرید")), "")</f>
        <v>سرای ملی</v>
      </c>
    </row>
    <row r="981" spans="2:17" ht="16.5" hidden="1" x14ac:dyDescent="0.75">
      <c r="B981" s="227">
        <v>4</v>
      </c>
      <c r="C981" s="150">
        <v>5</v>
      </c>
      <c r="D981" s="150">
        <v>8</v>
      </c>
      <c r="E981" s="150"/>
      <c r="F981" s="151" t="s">
        <v>167</v>
      </c>
      <c r="G981" s="244" t="s">
        <v>643</v>
      </c>
      <c r="H981" s="247" t="s">
        <v>416</v>
      </c>
      <c r="I981" s="162"/>
      <c r="J981" s="251">
        <v>1</v>
      </c>
      <c r="K981" s="254">
        <v>250000</v>
      </c>
      <c r="L981" s="255">
        <f t="shared" si="72"/>
        <v>250000</v>
      </c>
      <c r="M981" s="257"/>
      <c r="N981" s="262"/>
      <c r="O98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981" s="262"/>
      <c r="Q981" s="264" t="str" cm="1">
        <f t="array" ref="Q981">IF(T[[#This Row],[نوع عملیات]]="فروش", _xlfn.XLOOKUP(T[[#This Row],[کالا]], _xlfn._xlws.FILTER(T[کالا], T[نوع عملیات]="خرید"), _xlfn._xlws.FILTER(T[فروشنده / مشتری], T[نوع عملیات]="خرید")), "")</f>
        <v>عبدل آباد</v>
      </c>
    </row>
    <row r="982" spans="2:17" ht="16.5" hidden="1" x14ac:dyDescent="0.75">
      <c r="B982" s="227">
        <v>4</v>
      </c>
      <c r="C982" s="150">
        <v>5</v>
      </c>
      <c r="D982" s="150">
        <v>9</v>
      </c>
      <c r="E982" s="150"/>
      <c r="F982" s="151" t="s">
        <v>167</v>
      </c>
      <c r="G982" s="244" t="s">
        <v>563</v>
      </c>
      <c r="H982" s="247" t="s">
        <v>211</v>
      </c>
      <c r="I982" s="162"/>
      <c r="J982" s="251">
        <v>2</v>
      </c>
      <c r="K982" s="254">
        <v>300000</v>
      </c>
      <c r="L982" s="255">
        <f t="shared" si="72"/>
        <v>600000</v>
      </c>
      <c r="M982" s="257"/>
      <c r="N982" s="262"/>
      <c r="O98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204000</v>
      </c>
      <c r="P982" s="262"/>
      <c r="Q982" s="264" t="str" cm="1">
        <f t="array" ref="Q982">IF(T[[#This Row],[نوع عملیات]]="فروش", _xlfn.XLOOKUP(T[[#This Row],[کالا]], _xlfn._xlws.FILTER(T[کالا], T[نوع عملیات]="خرید"), _xlfn._xlws.FILTER(T[فروشنده / مشتری], T[نوع عملیات]="خرید")), "")</f>
        <v>عبدل آباد</v>
      </c>
    </row>
    <row r="983" spans="2:17" ht="16.5" hidden="1" x14ac:dyDescent="0.75">
      <c r="B983" s="227">
        <v>4</v>
      </c>
      <c r="C983" s="150">
        <v>5</v>
      </c>
      <c r="D983" s="150">
        <v>9</v>
      </c>
      <c r="E983" s="150"/>
      <c r="F983" s="151" t="s">
        <v>167</v>
      </c>
      <c r="G983" s="244" t="s">
        <v>606</v>
      </c>
      <c r="H983" s="247" t="s">
        <v>211</v>
      </c>
      <c r="I983" s="162"/>
      <c r="J983" s="251">
        <v>1</v>
      </c>
      <c r="K983" s="305">
        <v>600000</v>
      </c>
      <c r="L983" s="255">
        <f t="shared" si="72"/>
        <v>600000</v>
      </c>
      <c r="M983" s="257">
        <v>1200000</v>
      </c>
      <c r="N983" s="262"/>
      <c r="O98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v>
      </c>
      <c r="P983" s="262"/>
      <c r="Q983" s="264" t="str" cm="1">
        <f t="array" ref="Q983">IF(T[[#This Row],[نوع عملیات]]="فروش", _xlfn.XLOOKUP(T[[#This Row],[کالا]], _xlfn._xlws.FILTER(T[کالا], T[نوع عملیات]="خرید"), _xlfn._xlws.FILTER(T[فروشنده / مشتری], T[نوع عملیات]="خرید")), "")</f>
        <v>هستی هنگامه</v>
      </c>
    </row>
    <row r="984" spans="2:17" ht="16.5" hidden="1" x14ac:dyDescent="0.75">
      <c r="B984" s="227">
        <v>4</v>
      </c>
      <c r="C984" s="150">
        <v>5</v>
      </c>
      <c r="D984" s="150">
        <v>9</v>
      </c>
      <c r="E984" s="150"/>
      <c r="F984" s="151" t="s">
        <v>167</v>
      </c>
      <c r="G984" s="244" t="s">
        <v>630</v>
      </c>
      <c r="H984" s="247" t="s">
        <v>573</v>
      </c>
      <c r="I984" s="162"/>
      <c r="J984" s="251">
        <v>1</v>
      </c>
      <c r="K984" s="254">
        <v>750000</v>
      </c>
      <c r="L984" s="255">
        <f t="shared" si="72"/>
        <v>750000</v>
      </c>
      <c r="M984" s="257"/>
      <c r="N984" s="262"/>
      <c r="O98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228750</v>
      </c>
      <c r="P984" s="262"/>
      <c r="Q984" s="264" t="str" cm="1">
        <f t="array" ref="Q984">IF(T[[#This Row],[نوع عملیات]]="فروش", _xlfn.XLOOKUP(T[[#This Row],[کالا]], _xlfn._xlws.FILTER(T[کالا], T[نوع عملیات]="خرید"), _xlfn._xlws.FILTER(T[فروشنده / مشتری], T[نوع عملیات]="خرید")), "")</f>
        <v>مزون دانتل</v>
      </c>
    </row>
    <row r="985" spans="2:17" ht="16.5" hidden="1" x14ac:dyDescent="0.75">
      <c r="B985" s="227">
        <v>4</v>
      </c>
      <c r="C985" s="150">
        <v>5</v>
      </c>
      <c r="D985" s="150">
        <v>9</v>
      </c>
      <c r="E985" s="150"/>
      <c r="F985" s="151" t="s">
        <v>167</v>
      </c>
      <c r="G985" s="244" t="s">
        <v>569</v>
      </c>
      <c r="H985" s="247" t="s">
        <v>211</v>
      </c>
      <c r="I985" s="162"/>
      <c r="J985" s="251">
        <v>1</v>
      </c>
      <c r="K985" s="254">
        <v>600000</v>
      </c>
      <c r="L985" s="255">
        <f t="shared" si="72"/>
        <v>600000</v>
      </c>
      <c r="M985" s="257">
        <v>600000</v>
      </c>
      <c r="N985" s="262" t="s">
        <v>611</v>
      </c>
      <c r="O98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232000</v>
      </c>
      <c r="P985" s="262"/>
      <c r="Q985" s="264" t="str" cm="1">
        <f t="array" ref="Q985">IF(T[[#This Row],[نوع عملیات]]="فروش", _xlfn.XLOOKUP(T[[#This Row],[کالا]], _xlfn._xlws.FILTER(T[کالا], T[نوع عملیات]="خرید"), _xlfn._xlws.FILTER(T[فروشنده / مشتری], T[نوع عملیات]="خرید")), "")</f>
        <v>عبدل آباد</v>
      </c>
    </row>
    <row r="986" spans="2:17" ht="16.5" hidden="1" x14ac:dyDescent="0.75">
      <c r="B986" s="227">
        <v>4</v>
      </c>
      <c r="C986" s="150">
        <v>5</v>
      </c>
      <c r="D986" s="150">
        <v>9</v>
      </c>
      <c r="E986" s="150"/>
      <c r="F986" s="151" t="s">
        <v>167</v>
      </c>
      <c r="G986" s="244" t="s">
        <v>486</v>
      </c>
      <c r="H986" s="247" t="s">
        <v>211</v>
      </c>
      <c r="I986" s="162"/>
      <c r="J986" s="251">
        <v>1</v>
      </c>
      <c r="K986" s="254">
        <v>2500000</v>
      </c>
      <c r="L986" s="255">
        <f t="shared" si="71"/>
        <v>2500000</v>
      </c>
      <c r="M986" s="257">
        <v>2500000</v>
      </c>
      <c r="N986" s="262" t="s">
        <v>611</v>
      </c>
      <c r="O98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986" s="262"/>
      <c r="Q986" s="264" t="str" cm="1">
        <f t="array" ref="Q986">IF(T[[#This Row],[نوع عملیات]]="فروش", _xlfn.XLOOKUP(T[[#This Row],[کالا]], _xlfn._xlws.FILTER(T[کالا], T[نوع عملیات]="خرید"), _xlfn._xlws.FILTER(T[فروشنده / مشتری], T[نوع عملیات]="خرید")), "")</f>
        <v>عبدل آباد</v>
      </c>
    </row>
    <row r="987" spans="2:17" ht="16.5" hidden="1" x14ac:dyDescent="0.75">
      <c r="B987" s="227">
        <v>4</v>
      </c>
      <c r="C987" s="150">
        <v>5</v>
      </c>
      <c r="D987" s="150">
        <v>9</v>
      </c>
      <c r="E987" s="150"/>
      <c r="F987" s="151" t="s">
        <v>167</v>
      </c>
      <c r="G987" s="244" t="s">
        <v>271</v>
      </c>
      <c r="H987" s="247" t="s">
        <v>604</v>
      </c>
      <c r="I987" s="162"/>
      <c r="J987" s="251">
        <v>1</v>
      </c>
      <c r="K987" s="254">
        <v>850000</v>
      </c>
      <c r="L987" s="255">
        <f t="shared" si="71"/>
        <v>850000</v>
      </c>
      <c r="M987" s="257"/>
      <c r="N987" s="262"/>
      <c r="O98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272000</v>
      </c>
      <c r="P987" s="262"/>
      <c r="Q987" s="264" t="str" cm="1">
        <f t="array" ref="Q987">IF(T[[#This Row],[نوع عملیات]]="فروش", _xlfn.XLOOKUP(T[[#This Row],[کالا]], _xlfn._xlws.FILTER(T[کالا], T[نوع عملیات]="خرید"), _xlfn._xlws.FILTER(T[فروشنده / مشتری], T[نوع عملیات]="خرید")), "")</f>
        <v>بازار</v>
      </c>
    </row>
    <row r="988" spans="2:17" ht="16.5" hidden="1" x14ac:dyDescent="0.75">
      <c r="B988" s="227">
        <v>4</v>
      </c>
      <c r="C988" s="150">
        <v>5</v>
      </c>
      <c r="D988" s="150">
        <v>11</v>
      </c>
      <c r="E988" s="150" t="str">
        <f>CHOOSE(C988, "فروردین", "اردیبهشت", "خرداد", "تیر", "مرداد", "شهریور", "مهر", "آبان", "آذر", "دی", "بهمن", "اسفند")</f>
        <v>مرداد</v>
      </c>
      <c r="F988" s="151" t="s">
        <v>302</v>
      </c>
      <c r="G988" s="244"/>
      <c r="H988" s="247" t="s">
        <v>617</v>
      </c>
      <c r="I988" s="162"/>
      <c r="J988" s="251"/>
      <c r="K988" s="254"/>
      <c r="L988" s="255">
        <f>J988*K988</f>
        <v>0</v>
      </c>
      <c r="M988" s="257">
        <v>1800000</v>
      </c>
      <c r="N988" s="262" t="s">
        <v>611</v>
      </c>
      <c r="O98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88" s="262"/>
      <c r="Q988" s="264" t="str" cm="1">
        <f t="array" ref="Q988">IF(T[[#This Row],[نوع عملیات]]="فروش", _xlfn.XLOOKUP(T[[#This Row],[کالا]], _xlfn._xlws.FILTER(T[کالا], T[نوع عملیات]="خرید"), _xlfn._xlws.FILTER(T[فروشنده / مشتری], T[نوع عملیات]="خرید")), "")</f>
        <v/>
      </c>
    </row>
    <row r="989" spans="2:17" ht="16.5" hidden="1" x14ac:dyDescent="0.75">
      <c r="B989" s="227">
        <v>4</v>
      </c>
      <c r="C989" s="150">
        <v>5</v>
      </c>
      <c r="D989" s="150">
        <v>12</v>
      </c>
      <c r="E989" s="150"/>
      <c r="F989" s="151" t="s">
        <v>302</v>
      </c>
      <c r="G989" s="244"/>
      <c r="H989" s="247" t="s">
        <v>416</v>
      </c>
      <c r="I989" s="162"/>
      <c r="J989" s="251"/>
      <c r="K989" s="254"/>
      <c r="L989" s="255">
        <f t="shared" ref="L989:L999" si="73">J989*K989</f>
        <v>0</v>
      </c>
      <c r="M989" s="257">
        <v>2500000</v>
      </c>
      <c r="N989" s="262" t="s">
        <v>611</v>
      </c>
      <c r="O98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89" s="262"/>
      <c r="Q989" s="264" t="str" cm="1">
        <f t="array" ref="Q989">IF(T[[#This Row],[نوع عملیات]]="فروش", _xlfn.XLOOKUP(T[[#This Row],[کالا]], _xlfn._xlws.FILTER(T[کالا], T[نوع عملیات]="خرید"), _xlfn._xlws.FILTER(T[فروشنده / مشتری], T[نوع عملیات]="خرید")), "")</f>
        <v/>
      </c>
    </row>
    <row r="990" spans="2:17" ht="16.5" hidden="1" x14ac:dyDescent="0.75">
      <c r="B990" s="227">
        <v>4</v>
      </c>
      <c r="C990" s="150">
        <v>5</v>
      </c>
      <c r="D990" s="150">
        <v>12</v>
      </c>
      <c r="E990" s="150"/>
      <c r="F990" s="151" t="s">
        <v>302</v>
      </c>
      <c r="G990" s="244"/>
      <c r="H990" s="247" t="s">
        <v>614</v>
      </c>
      <c r="I990" s="162"/>
      <c r="J990" s="251"/>
      <c r="K990" s="254"/>
      <c r="L990" s="255">
        <f t="shared" si="73"/>
        <v>0</v>
      </c>
      <c r="M990" s="257">
        <v>2500000</v>
      </c>
      <c r="N990" s="262" t="s">
        <v>611</v>
      </c>
      <c r="O99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0" s="262"/>
      <c r="Q990" s="264" t="str" cm="1">
        <f t="array" ref="Q990">IF(T[[#This Row],[نوع عملیات]]="فروش", _xlfn.XLOOKUP(T[[#This Row],[کالا]], _xlfn._xlws.FILTER(T[کالا], T[نوع عملیات]="خرید"), _xlfn._xlws.FILTER(T[فروشنده / مشتری], T[نوع عملیات]="خرید")), "")</f>
        <v/>
      </c>
    </row>
    <row r="991" spans="2:17" ht="16.5" hidden="1" x14ac:dyDescent="0.75">
      <c r="B991" s="227">
        <v>4</v>
      </c>
      <c r="C991" s="150">
        <v>5</v>
      </c>
      <c r="D991" s="150">
        <v>12</v>
      </c>
      <c r="E991" s="150"/>
      <c r="F991" s="151" t="s">
        <v>302</v>
      </c>
      <c r="G991" s="244"/>
      <c r="H991" s="247" t="s">
        <v>513</v>
      </c>
      <c r="I991" s="162"/>
      <c r="J991" s="251"/>
      <c r="K991" s="254"/>
      <c r="L991" s="255">
        <f t="shared" si="73"/>
        <v>0</v>
      </c>
      <c r="M991" s="257">
        <v>400000</v>
      </c>
      <c r="N991" s="262" t="s">
        <v>611</v>
      </c>
      <c r="O99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1" s="262"/>
      <c r="Q991" s="264" t="str" cm="1">
        <f t="array" ref="Q991">IF(T[[#This Row],[نوع عملیات]]="فروش", _xlfn.XLOOKUP(T[[#This Row],[کالا]], _xlfn._xlws.FILTER(T[کالا], T[نوع عملیات]="خرید"), _xlfn._xlws.FILTER(T[فروشنده / مشتری], T[نوع عملیات]="خرید")), "")</f>
        <v/>
      </c>
    </row>
    <row r="992" spans="2:17" ht="16.5" hidden="1" x14ac:dyDescent="0.75">
      <c r="B992" s="227">
        <v>4</v>
      </c>
      <c r="C992" s="150">
        <v>5</v>
      </c>
      <c r="D992" s="150">
        <v>12</v>
      </c>
      <c r="E992" s="150"/>
      <c r="F992" s="151" t="s">
        <v>302</v>
      </c>
      <c r="G992" s="244"/>
      <c r="H992" s="247" t="s">
        <v>476</v>
      </c>
      <c r="I992" s="162"/>
      <c r="J992" s="251"/>
      <c r="K992" s="254"/>
      <c r="L992" s="255">
        <f t="shared" si="73"/>
        <v>0</v>
      </c>
      <c r="M992" s="257">
        <v>3400000</v>
      </c>
      <c r="N992" s="262" t="s">
        <v>299</v>
      </c>
      <c r="O99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2" s="262"/>
      <c r="Q992" s="264" t="str" cm="1">
        <f t="array" ref="Q992">IF(T[[#This Row],[نوع عملیات]]="فروش", _xlfn.XLOOKUP(T[[#This Row],[کالا]], _xlfn._xlws.FILTER(T[کالا], T[نوع عملیات]="خرید"), _xlfn._xlws.FILTER(T[فروشنده / مشتری], T[نوع عملیات]="خرید")), "")</f>
        <v/>
      </c>
    </row>
    <row r="993" spans="2:17" ht="16.5" hidden="1" x14ac:dyDescent="0.75">
      <c r="B993" s="227">
        <v>4</v>
      </c>
      <c r="C993" s="150">
        <v>5</v>
      </c>
      <c r="D993" s="150">
        <v>12</v>
      </c>
      <c r="E993" s="150"/>
      <c r="F993" s="151" t="s">
        <v>302</v>
      </c>
      <c r="G993" s="244"/>
      <c r="H993" s="247" t="s">
        <v>429</v>
      </c>
      <c r="I993" s="162"/>
      <c r="J993" s="251"/>
      <c r="K993" s="254"/>
      <c r="L993" s="255">
        <f t="shared" si="73"/>
        <v>0</v>
      </c>
      <c r="M993" s="257">
        <v>1000000</v>
      </c>
      <c r="N993" s="262" t="s">
        <v>216</v>
      </c>
      <c r="O99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3" s="262"/>
      <c r="Q993" s="264" t="str" cm="1">
        <f t="array" ref="Q993">IF(T[[#This Row],[نوع عملیات]]="فروش", _xlfn.XLOOKUP(T[[#This Row],[کالا]], _xlfn._xlws.FILTER(T[کالا], T[نوع عملیات]="خرید"), _xlfn._xlws.FILTER(T[فروشنده / مشتری], T[نوع عملیات]="خرید")), "")</f>
        <v/>
      </c>
    </row>
    <row r="994" spans="2:17" ht="16.5" hidden="1" x14ac:dyDescent="0.75">
      <c r="B994" s="227">
        <v>4</v>
      </c>
      <c r="C994" s="150">
        <v>5</v>
      </c>
      <c r="D994" s="150">
        <v>12</v>
      </c>
      <c r="E994" s="150"/>
      <c r="F994" s="151" t="s">
        <v>302</v>
      </c>
      <c r="G994" s="244"/>
      <c r="H994" s="247" t="s">
        <v>478</v>
      </c>
      <c r="I994" s="162"/>
      <c r="J994" s="251"/>
      <c r="K994" s="254"/>
      <c r="L994" s="255">
        <f t="shared" si="73"/>
        <v>0</v>
      </c>
      <c r="M994" s="257">
        <v>2300000</v>
      </c>
      <c r="N994" s="262" t="s">
        <v>611</v>
      </c>
      <c r="O99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4" s="262"/>
      <c r="Q994" s="264" t="str" cm="1">
        <f t="array" ref="Q994">IF(T[[#This Row],[نوع عملیات]]="فروش", _xlfn.XLOOKUP(T[[#This Row],[کالا]], _xlfn._xlws.FILTER(T[کالا], T[نوع عملیات]="خرید"), _xlfn._xlws.FILTER(T[فروشنده / مشتری], T[نوع عملیات]="خرید")), "")</f>
        <v/>
      </c>
    </row>
    <row r="995" spans="2:17" ht="16.5" hidden="1" x14ac:dyDescent="0.75">
      <c r="B995" s="227">
        <v>4</v>
      </c>
      <c r="C995" s="150">
        <v>5</v>
      </c>
      <c r="D995" s="150">
        <v>12</v>
      </c>
      <c r="E995" s="150"/>
      <c r="F995" s="151" t="s">
        <v>302</v>
      </c>
      <c r="G995" s="244"/>
      <c r="H995" s="247" t="s">
        <v>618</v>
      </c>
      <c r="I995" s="162"/>
      <c r="J995" s="251"/>
      <c r="K995" s="254"/>
      <c r="L995" s="255">
        <f t="shared" si="73"/>
        <v>0</v>
      </c>
      <c r="M995" s="257">
        <v>6000000</v>
      </c>
      <c r="N995" s="262" t="s">
        <v>611</v>
      </c>
      <c r="O99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5" s="262"/>
      <c r="Q995" s="264" t="str" cm="1">
        <f t="array" ref="Q995">IF(T[[#This Row],[نوع عملیات]]="فروش", _xlfn.XLOOKUP(T[[#This Row],[کالا]], _xlfn._xlws.FILTER(T[کالا], T[نوع عملیات]="خرید"), _xlfn._xlws.FILTER(T[فروشنده / مشتری], T[نوع عملیات]="خرید")), "")</f>
        <v/>
      </c>
    </row>
    <row r="996" spans="2:17" ht="16.5" hidden="1" x14ac:dyDescent="0.75">
      <c r="B996" s="227">
        <v>4</v>
      </c>
      <c r="C996" s="150">
        <v>5</v>
      </c>
      <c r="D996" s="150">
        <v>12</v>
      </c>
      <c r="E996" s="150"/>
      <c r="F996" s="151" t="s">
        <v>302</v>
      </c>
      <c r="G996" s="244"/>
      <c r="H996" s="247" t="s">
        <v>603</v>
      </c>
      <c r="I996" s="162"/>
      <c r="J996" s="251"/>
      <c r="K996" s="254"/>
      <c r="L996" s="255">
        <f t="shared" si="73"/>
        <v>0</v>
      </c>
      <c r="M996" s="257">
        <v>1300000</v>
      </c>
      <c r="N996" s="262" t="s">
        <v>611</v>
      </c>
      <c r="O99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6" s="262"/>
      <c r="Q996" s="264" t="str" cm="1">
        <f t="array" ref="Q996">IF(T[[#This Row],[نوع عملیات]]="فروش", _xlfn.XLOOKUP(T[[#This Row],[کالا]], _xlfn._xlws.FILTER(T[کالا], T[نوع عملیات]="خرید"), _xlfn._xlws.FILTER(T[فروشنده / مشتری], T[نوع عملیات]="خرید")), "")</f>
        <v/>
      </c>
    </row>
    <row r="997" spans="2:17" ht="16.5" hidden="1" x14ac:dyDescent="0.75">
      <c r="B997" s="227">
        <v>4</v>
      </c>
      <c r="C997" s="150">
        <v>5</v>
      </c>
      <c r="D997" s="150">
        <v>12</v>
      </c>
      <c r="E997" s="150"/>
      <c r="F997" s="151" t="s">
        <v>302</v>
      </c>
      <c r="G997" s="244"/>
      <c r="H997" s="247" t="s">
        <v>308</v>
      </c>
      <c r="I997" s="162"/>
      <c r="J997" s="251"/>
      <c r="K997" s="254"/>
      <c r="L997" s="255">
        <f t="shared" si="73"/>
        <v>0</v>
      </c>
      <c r="M997" s="257">
        <v>3000000</v>
      </c>
      <c r="N997" s="262" t="s">
        <v>611</v>
      </c>
      <c r="O99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7" s="262"/>
      <c r="Q997" s="264" t="str" cm="1">
        <f t="array" ref="Q997">IF(T[[#This Row],[نوع عملیات]]="فروش", _xlfn.XLOOKUP(T[[#This Row],[کالا]], _xlfn._xlws.FILTER(T[کالا], T[نوع عملیات]="خرید"), _xlfn._xlws.FILTER(T[فروشنده / مشتری], T[نوع عملیات]="خرید")), "")</f>
        <v/>
      </c>
    </row>
    <row r="998" spans="2:17" ht="16.5" hidden="1" x14ac:dyDescent="0.75">
      <c r="B998" s="227">
        <v>4</v>
      </c>
      <c r="C998" s="150">
        <v>5</v>
      </c>
      <c r="D998" s="150">
        <v>12</v>
      </c>
      <c r="E998" s="150"/>
      <c r="F998" s="151" t="s">
        <v>302</v>
      </c>
      <c r="G998" s="244"/>
      <c r="H998" s="247" t="s">
        <v>600</v>
      </c>
      <c r="I998" s="162"/>
      <c r="J998" s="251"/>
      <c r="K998" s="254"/>
      <c r="L998" s="255">
        <f t="shared" si="73"/>
        <v>0</v>
      </c>
      <c r="M998" s="257">
        <v>600000</v>
      </c>
      <c r="N998" s="262" t="s">
        <v>611</v>
      </c>
      <c r="O99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8" s="262"/>
      <c r="Q998" s="264" t="str" cm="1">
        <f t="array" ref="Q998">IF(T[[#This Row],[نوع عملیات]]="فروش", _xlfn.XLOOKUP(T[[#This Row],[کالا]], _xlfn._xlws.FILTER(T[کالا], T[نوع عملیات]="خرید"), _xlfn._xlws.FILTER(T[فروشنده / مشتری], T[نوع عملیات]="خرید")), "")</f>
        <v/>
      </c>
    </row>
    <row r="999" spans="2:17" ht="16.5" hidden="1" x14ac:dyDescent="0.75">
      <c r="B999" s="227">
        <v>4</v>
      </c>
      <c r="C999" s="150">
        <v>5</v>
      </c>
      <c r="D999" s="150">
        <v>13</v>
      </c>
      <c r="E999" s="150"/>
      <c r="F999" s="151" t="s">
        <v>302</v>
      </c>
      <c r="G999" s="244"/>
      <c r="H999" s="247" t="s">
        <v>434</v>
      </c>
      <c r="I999" s="162"/>
      <c r="J999" s="251"/>
      <c r="K999" s="254"/>
      <c r="L999" s="255">
        <f t="shared" si="73"/>
        <v>0</v>
      </c>
      <c r="M999" s="257">
        <v>3000000</v>
      </c>
      <c r="N999" s="262" t="s">
        <v>611</v>
      </c>
      <c r="O99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999" s="262"/>
      <c r="Q999" s="264" t="str" cm="1">
        <f t="array" ref="Q999">IF(T[[#This Row],[نوع عملیات]]="فروش", _xlfn.XLOOKUP(T[[#This Row],[کالا]], _xlfn._xlws.FILTER(T[کالا], T[نوع عملیات]="خرید"), _xlfn._xlws.FILTER(T[فروشنده / مشتری], T[نوع عملیات]="خرید")), "")</f>
        <v/>
      </c>
    </row>
    <row r="1000" spans="2:17" ht="16.5" hidden="1" x14ac:dyDescent="0.75">
      <c r="B1000" s="227">
        <v>4</v>
      </c>
      <c r="C1000" s="150">
        <v>5</v>
      </c>
      <c r="D1000" s="150">
        <v>13</v>
      </c>
      <c r="E1000" s="150"/>
      <c r="F1000" s="151" t="s">
        <v>302</v>
      </c>
      <c r="G1000" s="244"/>
      <c r="H1000" s="247" t="s">
        <v>539</v>
      </c>
      <c r="I1000" s="162"/>
      <c r="J1000" s="251"/>
      <c r="K1000" s="254"/>
      <c r="L1000" s="255">
        <f t="shared" si="71"/>
        <v>0</v>
      </c>
      <c r="M1000" s="257">
        <v>3000000</v>
      </c>
      <c r="N1000" s="262" t="s">
        <v>611</v>
      </c>
      <c r="O10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0" s="262"/>
      <c r="Q1000" s="264" t="str" cm="1">
        <f t="array" ref="Q1000">IF(T[[#This Row],[نوع عملیات]]="فروش", _xlfn.XLOOKUP(T[[#This Row],[کالا]], _xlfn._xlws.FILTER(T[کالا], T[نوع عملیات]="خرید"), _xlfn._xlws.FILTER(T[فروشنده / مشتری], T[نوع عملیات]="خرید")), "")</f>
        <v/>
      </c>
    </row>
    <row r="1001" spans="2:17" ht="16.5" hidden="1" x14ac:dyDescent="0.75">
      <c r="B1001" s="227">
        <v>4</v>
      </c>
      <c r="C1001" s="150">
        <v>5</v>
      </c>
      <c r="D1001" s="150">
        <v>13</v>
      </c>
      <c r="E1001" s="150" t="str">
        <f>CHOOSE(C1001, "فروردین", "اردیبهشت", "خرداد", "تیر", "مرداد", "شهریور", "مهر", "آبان", "آذر", "دی", "بهمن", "اسفند")</f>
        <v>مرداد</v>
      </c>
      <c r="F1001" s="151" t="s">
        <v>302</v>
      </c>
      <c r="G1001" s="244"/>
      <c r="H1001" s="247" t="s">
        <v>430</v>
      </c>
      <c r="I1001" s="162"/>
      <c r="J1001" s="251"/>
      <c r="K1001" s="254"/>
      <c r="L1001" s="255">
        <f>J1001*K1001</f>
        <v>0</v>
      </c>
      <c r="M1001" s="257">
        <v>5000000</v>
      </c>
      <c r="N1001" s="262" t="s">
        <v>611</v>
      </c>
      <c r="O10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1" s="262"/>
      <c r="Q1001" s="264" t="str" cm="1">
        <f t="array" ref="Q1001">IF(T[[#This Row],[نوع عملیات]]="فروش", _xlfn.XLOOKUP(T[[#This Row],[کالا]], _xlfn._xlws.FILTER(T[کالا], T[نوع عملیات]="خرید"), _xlfn._xlws.FILTER(T[فروشنده / مشتری], T[نوع عملیات]="خرید")), "")</f>
        <v/>
      </c>
    </row>
    <row r="1002" spans="2:17" ht="16.5" hidden="1" x14ac:dyDescent="0.75">
      <c r="B1002" s="227">
        <v>4</v>
      </c>
      <c r="C1002" s="150">
        <v>5</v>
      </c>
      <c r="D1002" s="150">
        <v>14</v>
      </c>
      <c r="E1002" s="150"/>
      <c r="F1002" s="151" t="s">
        <v>302</v>
      </c>
      <c r="G1002" s="244"/>
      <c r="H1002" s="247" t="s">
        <v>637</v>
      </c>
      <c r="I1002" s="162"/>
      <c r="J1002" s="251"/>
      <c r="K1002" s="254"/>
      <c r="L1002" s="255">
        <f t="shared" ref="L1002:L1075" si="74">J1002*K1002</f>
        <v>0</v>
      </c>
      <c r="M1002" s="257">
        <v>1000000</v>
      </c>
      <c r="N1002" s="262" t="s">
        <v>611</v>
      </c>
      <c r="O10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2" s="262"/>
      <c r="Q1002" s="264" t="str" cm="1">
        <f t="array" ref="Q1002">IF(T[[#This Row],[نوع عملیات]]="فروش", _xlfn.XLOOKUP(T[[#This Row],[کالا]], _xlfn._xlws.FILTER(T[کالا], T[نوع عملیات]="خرید"), _xlfn._xlws.FILTER(T[فروشنده / مشتری], T[نوع عملیات]="خرید")), "")</f>
        <v/>
      </c>
    </row>
    <row r="1003" spans="2:17" ht="16.5" hidden="1" x14ac:dyDescent="0.75">
      <c r="B1003" s="227">
        <v>4</v>
      </c>
      <c r="C1003" s="150">
        <v>5</v>
      </c>
      <c r="D1003" s="150">
        <v>14</v>
      </c>
      <c r="E1003" s="150"/>
      <c r="F1003" s="151" t="s">
        <v>302</v>
      </c>
      <c r="G1003" s="244"/>
      <c r="H1003" s="247" t="s">
        <v>599</v>
      </c>
      <c r="I1003" s="162"/>
      <c r="J1003" s="251"/>
      <c r="K1003" s="254"/>
      <c r="L1003" s="255">
        <f t="shared" si="74"/>
        <v>0</v>
      </c>
      <c r="M1003" s="257">
        <v>2300000</v>
      </c>
      <c r="N1003" s="262" t="s">
        <v>611</v>
      </c>
      <c r="O10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3" s="262"/>
      <c r="Q1003" s="264" t="str" cm="1">
        <f t="array" ref="Q1003">IF(T[[#This Row],[نوع عملیات]]="فروش", _xlfn.XLOOKUP(T[[#This Row],[کالا]], _xlfn._xlws.FILTER(T[کالا], T[نوع عملیات]="خرید"), _xlfn._xlws.FILTER(T[فروشنده / مشتری], T[نوع عملیات]="خرید")), "")</f>
        <v/>
      </c>
    </row>
    <row r="1004" spans="2:17" ht="16.5" hidden="1" x14ac:dyDescent="0.75">
      <c r="B1004" s="227">
        <v>4</v>
      </c>
      <c r="C1004" s="150">
        <v>5</v>
      </c>
      <c r="D1004" s="150">
        <v>14</v>
      </c>
      <c r="E1004" s="150"/>
      <c r="F1004" s="151" t="s">
        <v>302</v>
      </c>
      <c r="G1004" s="244"/>
      <c r="H1004" s="247" t="s">
        <v>616</v>
      </c>
      <c r="I1004" s="162"/>
      <c r="J1004" s="251"/>
      <c r="K1004" s="254"/>
      <c r="L1004" s="255">
        <f t="shared" si="74"/>
        <v>0</v>
      </c>
      <c r="M1004" s="257">
        <v>7000000</v>
      </c>
      <c r="N1004" s="262" t="s">
        <v>611</v>
      </c>
      <c r="O10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4" s="262"/>
      <c r="Q1004" s="264" t="str" cm="1">
        <f t="array" ref="Q1004">IF(T[[#This Row],[نوع عملیات]]="فروش", _xlfn.XLOOKUP(T[[#This Row],[کالا]], _xlfn._xlws.FILTER(T[کالا], T[نوع عملیات]="خرید"), _xlfn._xlws.FILTER(T[فروشنده / مشتری], T[نوع عملیات]="خرید")), "")</f>
        <v/>
      </c>
    </row>
    <row r="1005" spans="2:17" ht="16.5" hidden="1" x14ac:dyDescent="0.75">
      <c r="B1005" s="227">
        <v>4</v>
      </c>
      <c r="C1005" s="150">
        <v>5</v>
      </c>
      <c r="D1005" s="150">
        <v>14</v>
      </c>
      <c r="E1005" s="150"/>
      <c r="F1005" s="151" t="s">
        <v>302</v>
      </c>
      <c r="G1005" s="244"/>
      <c r="H1005" s="247" t="s">
        <v>624</v>
      </c>
      <c r="I1005" s="162"/>
      <c r="J1005" s="251"/>
      <c r="K1005" s="254"/>
      <c r="L1005" s="255">
        <f t="shared" si="74"/>
        <v>0</v>
      </c>
      <c r="M1005" s="257">
        <v>600000</v>
      </c>
      <c r="N1005" s="262" t="s">
        <v>299</v>
      </c>
      <c r="O10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5" s="262"/>
      <c r="Q1005" s="264" t="str" cm="1">
        <f t="array" ref="Q1005">IF(T[[#This Row],[نوع عملیات]]="فروش", _xlfn.XLOOKUP(T[[#This Row],[کالا]], _xlfn._xlws.FILTER(T[کالا], T[نوع عملیات]="خرید"), _xlfn._xlws.FILTER(T[فروشنده / مشتری], T[نوع عملیات]="خرید")), "")</f>
        <v/>
      </c>
    </row>
    <row r="1006" spans="2:17" ht="16.5" hidden="1" x14ac:dyDescent="0.75">
      <c r="B1006" s="227">
        <v>4</v>
      </c>
      <c r="C1006" s="150">
        <v>5</v>
      </c>
      <c r="D1006" s="150">
        <v>14</v>
      </c>
      <c r="E1006" s="150"/>
      <c r="F1006" s="151" t="s">
        <v>302</v>
      </c>
      <c r="G1006" s="244"/>
      <c r="H1006" s="247" t="s">
        <v>604</v>
      </c>
      <c r="I1006" s="162"/>
      <c r="J1006" s="251"/>
      <c r="K1006" s="254"/>
      <c r="L1006" s="255">
        <f t="shared" si="74"/>
        <v>0</v>
      </c>
      <c r="M1006" s="257">
        <v>5550000</v>
      </c>
      <c r="N1006" s="262" t="s">
        <v>299</v>
      </c>
      <c r="O10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6" s="262"/>
      <c r="Q1006" s="264" t="str" cm="1">
        <f t="array" ref="Q1006">IF(T[[#This Row],[نوع عملیات]]="فروش", _xlfn.XLOOKUP(T[[#This Row],[کالا]], _xlfn._xlws.FILTER(T[کالا], T[نوع عملیات]="خرید"), _xlfn._xlws.FILTER(T[فروشنده / مشتری], T[نوع عملیات]="خرید")), "")</f>
        <v/>
      </c>
    </row>
    <row r="1007" spans="2:17" ht="16.5" hidden="1" x14ac:dyDescent="0.75">
      <c r="B1007" s="227">
        <v>4</v>
      </c>
      <c r="C1007" s="150">
        <v>5</v>
      </c>
      <c r="D1007" s="150">
        <v>14</v>
      </c>
      <c r="E1007" s="150"/>
      <c r="F1007" s="151" t="s">
        <v>302</v>
      </c>
      <c r="G1007" s="244"/>
      <c r="H1007" s="247" t="s">
        <v>352</v>
      </c>
      <c r="I1007" s="162"/>
      <c r="J1007" s="251"/>
      <c r="K1007" s="254"/>
      <c r="L1007" s="255">
        <f t="shared" si="74"/>
        <v>0</v>
      </c>
      <c r="M1007" s="257">
        <v>1200000</v>
      </c>
      <c r="N1007" s="262" t="s">
        <v>611</v>
      </c>
      <c r="O10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7" s="262"/>
      <c r="Q1007" s="264" t="str" cm="1">
        <f t="array" ref="Q1007">IF(T[[#This Row],[نوع عملیات]]="فروش", _xlfn.XLOOKUP(T[[#This Row],[کالا]], _xlfn._xlws.FILTER(T[کالا], T[نوع عملیات]="خرید"), _xlfn._xlws.FILTER(T[فروشنده / مشتری], T[نوع عملیات]="خرید")), "")</f>
        <v/>
      </c>
    </row>
    <row r="1008" spans="2:17" ht="16.5" hidden="1" x14ac:dyDescent="0.75">
      <c r="B1008" s="227">
        <v>4</v>
      </c>
      <c r="C1008" s="150">
        <v>5</v>
      </c>
      <c r="D1008" s="150">
        <v>14</v>
      </c>
      <c r="E1008" s="150"/>
      <c r="F1008" s="151" t="s">
        <v>302</v>
      </c>
      <c r="G1008" s="244"/>
      <c r="H1008" s="247" t="s">
        <v>619</v>
      </c>
      <c r="I1008" s="162"/>
      <c r="J1008" s="251"/>
      <c r="K1008" s="254"/>
      <c r="L1008" s="255">
        <f t="shared" si="74"/>
        <v>0</v>
      </c>
      <c r="M1008" s="257">
        <v>500000</v>
      </c>
      <c r="N1008" s="262" t="s">
        <v>611</v>
      </c>
      <c r="O10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8" s="262"/>
      <c r="Q1008" s="264" t="str" cm="1">
        <f t="array" ref="Q1008">IF(T[[#This Row],[نوع عملیات]]="فروش", _xlfn.XLOOKUP(T[[#This Row],[کالا]], _xlfn._xlws.FILTER(T[کالا], T[نوع عملیات]="خرید"), _xlfn._xlws.FILTER(T[فروشنده / مشتری], T[نوع عملیات]="خرید")), "")</f>
        <v/>
      </c>
    </row>
    <row r="1009" spans="2:17" ht="16.5" hidden="1" x14ac:dyDescent="0.75">
      <c r="B1009" s="227">
        <v>4</v>
      </c>
      <c r="C1009" s="150">
        <v>5</v>
      </c>
      <c r="D1009" s="150">
        <v>14</v>
      </c>
      <c r="E1009" s="150"/>
      <c r="F1009" s="151" t="s">
        <v>302</v>
      </c>
      <c r="G1009" s="244"/>
      <c r="H1009" s="247" t="s">
        <v>435</v>
      </c>
      <c r="I1009" s="162"/>
      <c r="J1009" s="251"/>
      <c r="K1009" s="254"/>
      <c r="L1009" s="255">
        <f t="shared" si="74"/>
        <v>0</v>
      </c>
      <c r="M1009" s="257">
        <v>2250000</v>
      </c>
      <c r="N1009" s="262" t="s">
        <v>611</v>
      </c>
      <c r="O10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09" s="262"/>
      <c r="Q1009" s="264" t="str" cm="1">
        <f t="array" ref="Q1009">IF(T[[#This Row],[نوع عملیات]]="فروش", _xlfn.XLOOKUP(T[[#This Row],[کالا]], _xlfn._xlws.FILTER(T[کالا], T[نوع عملیات]="خرید"), _xlfn._xlws.FILTER(T[فروشنده / مشتری], T[نوع عملیات]="خرید")), "")</f>
        <v/>
      </c>
    </row>
    <row r="1010" spans="2:17" ht="16.5" hidden="1" x14ac:dyDescent="0.75">
      <c r="B1010" s="227">
        <v>4</v>
      </c>
      <c r="C1010" s="150">
        <v>5</v>
      </c>
      <c r="D1010" s="150">
        <v>14</v>
      </c>
      <c r="E1010" s="150"/>
      <c r="F1010" s="151" t="s">
        <v>302</v>
      </c>
      <c r="G1010" s="244"/>
      <c r="H1010" s="247" t="s">
        <v>641</v>
      </c>
      <c r="I1010" s="162"/>
      <c r="J1010" s="251"/>
      <c r="K1010" s="254"/>
      <c r="L1010" s="255">
        <f t="shared" ref="L1010" si="75">J1010*K1010</f>
        <v>0</v>
      </c>
      <c r="M1010" s="257">
        <v>350000</v>
      </c>
      <c r="N1010" s="262" t="s">
        <v>299</v>
      </c>
      <c r="O10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10" s="262"/>
      <c r="Q1010" s="264" t="str" cm="1">
        <f t="array" ref="Q1010">IF(T[[#This Row],[نوع عملیات]]="فروش", _xlfn.XLOOKUP(T[[#This Row],[کالا]], _xlfn._xlws.FILTER(T[کالا], T[نوع عملیات]="خرید"), _xlfn._xlws.FILTER(T[فروشنده / مشتری], T[نوع عملیات]="خرید")), "")</f>
        <v/>
      </c>
    </row>
    <row r="1011" spans="2:17" ht="16.5" hidden="1" x14ac:dyDescent="0.75">
      <c r="B1011" s="227">
        <v>4</v>
      </c>
      <c r="C1011" s="150">
        <v>5</v>
      </c>
      <c r="D1011" s="150">
        <v>14</v>
      </c>
      <c r="E1011" s="150"/>
      <c r="F1011" s="151" t="s">
        <v>302</v>
      </c>
      <c r="G1011" s="244"/>
      <c r="H1011" s="247" t="s">
        <v>640</v>
      </c>
      <c r="I1011" s="162"/>
      <c r="J1011" s="251"/>
      <c r="K1011" s="254"/>
      <c r="L1011" s="255">
        <f t="shared" ref="L1011" si="76">J1011*K1011</f>
        <v>0</v>
      </c>
      <c r="M1011" s="257">
        <v>2500000</v>
      </c>
      <c r="N1011" s="262" t="s">
        <v>346</v>
      </c>
      <c r="O10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11" s="262"/>
      <c r="Q1011" s="264" t="str" cm="1">
        <f t="array" ref="Q1011">IF(T[[#This Row],[نوع عملیات]]="فروش", _xlfn.XLOOKUP(T[[#This Row],[کالا]], _xlfn._xlws.FILTER(T[کالا], T[نوع عملیات]="خرید"), _xlfn._xlws.FILTER(T[فروشنده / مشتری], T[نوع عملیات]="خرید")), "")</f>
        <v/>
      </c>
    </row>
    <row r="1012" spans="2:17" ht="16.5" hidden="1" x14ac:dyDescent="0.75">
      <c r="B1012" s="227">
        <v>4</v>
      </c>
      <c r="C1012" s="150">
        <v>5</v>
      </c>
      <c r="D1012" s="150">
        <v>14</v>
      </c>
      <c r="E1012" s="150"/>
      <c r="F1012" s="151" t="s">
        <v>167</v>
      </c>
      <c r="G1012" s="244" t="s">
        <v>593</v>
      </c>
      <c r="H1012" s="247" t="s">
        <v>211</v>
      </c>
      <c r="I1012" s="162"/>
      <c r="J1012" s="251">
        <v>1</v>
      </c>
      <c r="K1012" s="254">
        <v>3500000</v>
      </c>
      <c r="L1012" s="255">
        <f t="shared" si="74"/>
        <v>3500000</v>
      </c>
      <c r="M1012" s="257">
        <v>3500000</v>
      </c>
      <c r="N1012" s="262" t="s">
        <v>299</v>
      </c>
      <c r="O10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1400000</v>
      </c>
      <c r="P1012" s="262"/>
      <c r="Q1012" s="264" t="str" cm="1">
        <f t="array" ref="Q1012">IF(T[[#This Row],[نوع عملیات]]="فروش", _xlfn.XLOOKUP(T[[#This Row],[کالا]], _xlfn._xlws.FILTER(T[کالا], T[نوع عملیات]="خرید"), _xlfn._xlws.FILTER(T[فروشنده / مشتری], T[نوع عملیات]="خرید")), "")</f>
        <v>عبدل آباد</v>
      </c>
    </row>
    <row r="1013" spans="2:17" ht="16.5" hidden="1" x14ac:dyDescent="0.75">
      <c r="B1013" s="227">
        <v>4</v>
      </c>
      <c r="C1013" s="150">
        <v>5</v>
      </c>
      <c r="D1013" s="150">
        <v>14</v>
      </c>
      <c r="E1013" s="150"/>
      <c r="F1013" s="151" t="s">
        <v>167</v>
      </c>
      <c r="G1013" s="244" t="s">
        <v>375</v>
      </c>
      <c r="H1013" s="247" t="s">
        <v>211</v>
      </c>
      <c r="I1013" s="162"/>
      <c r="J1013" s="251">
        <v>1</v>
      </c>
      <c r="K1013" s="254">
        <v>2300000</v>
      </c>
      <c r="L1013" s="255">
        <f t="shared" si="74"/>
        <v>2300000</v>
      </c>
      <c r="M1013" s="257">
        <v>2300000</v>
      </c>
      <c r="N1013" s="262" t="s">
        <v>611</v>
      </c>
      <c r="O101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1743333.3333333335</v>
      </c>
      <c r="P1013" s="262"/>
      <c r="Q1013" s="264" t="str" cm="1">
        <f t="array" ref="Q1013">IF(T[[#This Row],[نوع عملیات]]="فروش", _xlfn.XLOOKUP(T[[#This Row],[کالا]], _xlfn._xlws.FILTER(T[کالا], T[نوع عملیات]="خرید"), _xlfn._xlws.FILTER(T[فروشنده / مشتری], T[نوع عملیات]="خرید")), "")</f>
        <v>بازار</v>
      </c>
    </row>
    <row r="1014" spans="2:17" ht="16.5" hidden="1" x14ac:dyDescent="0.75">
      <c r="B1014" s="227">
        <v>4</v>
      </c>
      <c r="C1014" s="150">
        <v>5</v>
      </c>
      <c r="D1014" s="150">
        <v>14</v>
      </c>
      <c r="E1014" s="150"/>
      <c r="F1014" s="151" t="s">
        <v>167</v>
      </c>
      <c r="G1014" s="244" t="s">
        <v>642</v>
      </c>
      <c r="H1014" s="247" t="s">
        <v>211</v>
      </c>
      <c r="I1014" s="162"/>
      <c r="J1014" s="251">
        <v>1</v>
      </c>
      <c r="K1014" s="254">
        <v>280000</v>
      </c>
      <c r="L1014" s="255">
        <f t="shared" si="74"/>
        <v>280000</v>
      </c>
      <c r="M1014" s="257">
        <v>280000</v>
      </c>
      <c r="N1014" s="262" t="s">
        <v>611</v>
      </c>
      <c r="O10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1014" s="262"/>
      <c r="Q1014" s="264" t="str" cm="1">
        <f t="array" ref="Q1014">IF(T[[#This Row],[نوع عملیات]]="فروش", _xlfn.XLOOKUP(T[[#This Row],[کالا]], _xlfn._xlws.FILTER(T[کالا], T[نوع عملیات]="خرید"), _xlfn._xlws.FILTER(T[فروشنده / مشتری], T[نوع عملیات]="خرید")), "")</f>
        <v>عبدل آباد</v>
      </c>
    </row>
    <row r="1015" spans="2:17" ht="16.5" hidden="1" x14ac:dyDescent="0.75">
      <c r="B1015" s="227">
        <v>4</v>
      </c>
      <c r="C1015" s="150">
        <v>5</v>
      </c>
      <c r="D1015" s="150">
        <v>14</v>
      </c>
      <c r="E1015" s="150"/>
      <c r="F1015" s="151" t="s">
        <v>167</v>
      </c>
      <c r="G1015" s="244" t="s">
        <v>274</v>
      </c>
      <c r="H1015" s="247" t="s">
        <v>211</v>
      </c>
      <c r="I1015" s="162"/>
      <c r="J1015" s="251">
        <v>1</v>
      </c>
      <c r="K1015" s="254">
        <v>200000</v>
      </c>
      <c r="L1015" s="255">
        <f t="shared" si="74"/>
        <v>200000</v>
      </c>
      <c r="M1015" s="257">
        <v>200000</v>
      </c>
      <c r="N1015" s="262" t="s">
        <v>611</v>
      </c>
      <c r="O101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145714.28571428571</v>
      </c>
      <c r="P1015" s="262"/>
      <c r="Q1015" s="264" t="str" cm="1">
        <f t="array" ref="Q1015">IF(T[[#This Row],[نوع عملیات]]="فروش", _xlfn.XLOOKUP(T[[#This Row],[کالا]], _xlfn._xlws.FILTER(T[کالا], T[نوع عملیات]="خرید"), _xlfn._xlws.FILTER(T[فروشنده / مشتری], T[نوع عملیات]="خرید")), "")</f>
        <v>بازار</v>
      </c>
    </row>
    <row r="1016" spans="2:17" ht="16.5" hidden="1" x14ac:dyDescent="0.75">
      <c r="B1016" s="227">
        <v>4</v>
      </c>
      <c r="C1016" s="150">
        <v>5</v>
      </c>
      <c r="D1016" s="150">
        <v>14</v>
      </c>
      <c r="E1016" s="150"/>
      <c r="F1016" s="151" t="s">
        <v>167</v>
      </c>
      <c r="G1016" s="244" t="s">
        <v>638</v>
      </c>
      <c r="H1016" s="247" t="s">
        <v>352</v>
      </c>
      <c r="I1016" s="162"/>
      <c r="J1016" s="251">
        <v>1</v>
      </c>
      <c r="K1016" s="254">
        <v>1800000</v>
      </c>
      <c r="L1016" s="255">
        <f t="shared" si="74"/>
        <v>1800000</v>
      </c>
      <c r="M1016" s="257"/>
      <c r="N1016" s="262"/>
      <c r="O101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610000</v>
      </c>
      <c r="P1016" s="262"/>
      <c r="Q1016" s="264" t="str" cm="1">
        <f t="array" ref="Q1016">IF(T[[#This Row],[نوع عملیات]]="فروش", _xlfn.XLOOKUP(T[[#This Row],[کالا]], _xlfn._xlws.FILTER(T[کالا], T[نوع عملیات]="خرید"), _xlfn._xlws.FILTER(T[فروشنده / مشتری], T[نوع عملیات]="خرید")), "")</f>
        <v>عبدل آباد</v>
      </c>
    </row>
    <row r="1017" spans="2:17" ht="16.5" hidden="1" x14ac:dyDescent="0.75">
      <c r="B1017" s="227">
        <v>4</v>
      </c>
      <c r="C1017" s="150">
        <v>5</v>
      </c>
      <c r="D1017" s="150">
        <v>14</v>
      </c>
      <c r="E1017" s="150"/>
      <c r="F1017" s="151" t="s">
        <v>167</v>
      </c>
      <c r="G1017" s="244" t="s">
        <v>516</v>
      </c>
      <c r="H1017" s="247" t="s">
        <v>211</v>
      </c>
      <c r="I1017" s="162"/>
      <c r="J1017" s="251">
        <v>1</v>
      </c>
      <c r="K1017" s="254">
        <v>850000</v>
      </c>
      <c r="L1017" s="255">
        <f t="shared" si="74"/>
        <v>850000</v>
      </c>
      <c r="M1017" s="257">
        <v>850000</v>
      </c>
      <c r="N1017" s="262" t="s">
        <v>346</v>
      </c>
      <c r="O101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179000</v>
      </c>
      <c r="P1017" s="262"/>
      <c r="Q1017" s="264" t="str" cm="1">
        <f t="array" ref="Q1017">IF(T[[#This Row],[نوع عملیات]]="فروش", _xlfn.XLOOKUP(T[[#This Row],[کالا]], _xlfn._xlws.FILTER(T[کالا], T[نوع عملیات]="خرید"), _xlfn._xlws.FILTER(T[فروشنده / مشتری], T[نوع عملیات]="خرید")), "")</f>
        <v>عبدل آباد</v>
      </c>
    </row>
    <row r="1018" spans="2:17" ht="16.5" hidden="1" x14ac:dyDescent="0.75">
      <c r="B1018" s="227">
        <v>4</v>
      </c>
      <c r="C1018" s="150">
        <v>5</v>
      </c>
      <c r="D1018" s="150">
        <v>14</v>
      </c>
      <c r="E1018" s="150"/>
      <c r="F1018" s="151" t="s">
        <v>167</v>
      </c>
      <c r="G1018" s="244" t="s">
        <v>540</v>
      </c>
      <c r="H1018" s="247" t="s">
        <v>211</v>
      </c>
      <c r="I1018" s="162"/>
      <c r="J1018" s="251">
        <v>1</v>
      </c>
      <c r="K1018" s="254">
        <v>1000000</v>
      </c>
      <c r="L1018" s="255">
        <f t="shared" si="74"/>
        <v>1000000</v>
      </c>
      <c r="M1018" s="257"/>
      <c r="N1018" s="262"/>
      <c r="O101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368947.36842105258</v>
      </c>
      <c r="P1018" s="262"/>
      <c r="Q1018" s="264" t="str" cm="1">
        <f t="array" ref="Q1018">IF(T[[#This Row],[نوع عملیات]]="فروش", _xlfn.XLOOKUP(T[[#This Row],[کالا]], _xlfn._xlws.FILTER(T[کالا], T[نوع عملیات]="خرید"), _xlfn._xlws.FILTER(T[فروشنده / مشتری], T[نوع عملیات]="خرید")), "")</f>
        <v>بازار پارسیان</v>
      </c>
    </row>
    <row r="1019" spans="2:17" ht="16.5" hidden="1" x14ac:dyDescent="0.75">
      <c r="B1019" s="227">
        <v>4</v>
      </c>
      <c r="C1019" s="150">
        <v>5</v>
      </c>
      <c r="D1019" s="150">
        <v>14</v>
      </c>
      <c r="E1019" s="150"/>
      <c r="F1019" s="151" t="s">
        <v>167</v>
      </c>
      <c r="G1019" s="244" t="s">
        <v>410</v>
      </c>
      <c r="H1019" s="247" t="s">
        <v>211</v>
      </c>
      <c r="I1019" s="162"/>
      <c r="J1019" s="251">
        <v>1</v>
      </c>
      <c r="K1019" s="254">
        <v>800000</v>
      </c>
      <c r="L1019" s="255">
        <f t="shared" si="74"/>
        <v>800000</v>
      </c>
      <c r="M1019" s="257"/>
      <c r="N1019" s="262"/>
      <c r="O101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v>
      </c>
      <c r="P1019" s="262"/>
      <c r="Q1019" s="264" t="str" cm="1">
        <f t="array" ref="Q1019">IF(T[[#This Row],[نوع عملیات]]="فروش", _xlfn.XLOOKUP(T[[#This Row],[کالا]], _xlfn._xlws.FILTER(T[کالا], T[نوع عملیات]="خرید"), _xlfn._xlws.FILTER(T[فروشنده / مشتری], T[نوع عملیات]="خرید")), "")</f>
        <v>عبدل آباد</v>
      </c>
    </row>
    <row r="1020" spans="2:17" ht="16.5" hidden="1" x14ac:dyDescent="0.75">
      <c r="B1020" s="227">
        <v>4</v>
      </c>
      <c r="C1020" s="150">
        <v>5</v>
      </c>
      <c r="D1020" s="150">
        <v>14</v>
      </c>
      <c r="E1020" s="150"/>
      <c r="F1020" s="151" t="s">
        <v>167</v>
      </c>
      <c r="G1020" s="244" t="s">
        <v>605</v>
      </c>
      <c r="H1020" s="247" t="s">
        <v>211</v>
      </c>
      <c r="I1020" s="162"/>
      <c r="J1020" s="251">
        <v>1</v>
      </c>
      <c r="K1020" s="254">
        <v>300000</v>
      </c>
      <c r="L1020" s="255">
        <f t="shared" si="74"/>
        <v>300000</v>
      </c>
      <c r="M1020" s="257">
        <v>2100000</v>
      </c>
      <c r="N1020" s="262" t="s">
        <v>611</v>
      </c>
      <c r="O102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v>
      </c>
      <c r="P1020" s="262"/>
      <c r="Q1020" s="264" t="str" cm="1">
        <f t="array" ref="Q1020">IF(T[[#This Row],[نوع عملیات]]="فروش", _xlfn.XLOOKUP(T[[#This Row],[کالا]], _xlfn._xlws.FILTER(T[کالا], T[نوع عملیات]="خرید"), _xlfn._xlws.FILTER(T[فروشنده / مشتری], T[نوع عملیات]="خرید")), "")</f>
        <v>هستی هنگامه</v>
      </c>
    </row>
    <row r="1021" spans="2:17" ht="16.5" hidden="1" x14ac:dyDescent="0.75">
      <c r="B1021" s="227">
        <v>4</v>
      </c>
      <c r="C1021" s="150">
        <v>5</v>
      </c>
      <c r="D1021" s="150">
        <v>14</v>
      </c>
      <c r="E1021" s="150"/>
      <c r="F1021" s="151" t="s">
        <v>167</v>
      </c>
      <c r="G1021" s="244" t="s">
        <v>543</v>
      </c>
      <c r="H1021" s="247" t="s">
        <v>211</v>
      </c>
      <c r="I1021" s="162"/>
      <c r="J1021" s="251">
        <v>1</v>
      </c>
      <c r="K1021" s="254">
        <v>1450000</v>
      </c>
      <c r="L1021" s="255">
        <f t="shared" si="74"/>
        <v>1450000</v>
      </c>
      <c r="M1021" s="257">
        <v>1450000</v>
      </c>
      <c r="N1021" s="262" t="s">
        <v>299</v>
      </c>
      <c r="O102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452500</v>
      </c>
      <c r="P1021" s="262"/>
      <c r="Q1021" s="264" t="str" cm="1">
        <f t="array" ref="Q1021">IF(T[[#This Row],[نوع عملیات]]="فروش", _xlfn.XLOOKUP(T[[#This Row],[کالا]], _xlfn._xlws.FILTER(T[کالا], T[نوع عملیات]="خرید"), _xlfn._xlws.FILTER(T[فروشنده / مشتری], T[نوع عملیات]="خرید")), "")</f>
        <v>بازار پارسیان</v>
      </c>
    </row>
    <row r="1022" spans="2:17" ht="16.5" hidden="1" x14ac:dyDescent="0.75">
      <c r="B1022" s="227">
        <v>4</v>
      </c>
      <c r="C1022" s="150">
        <v>5</v>
      </c>
      <c r="D1022" s="150">
        <v>15</v>
      </c>
      <c r="E1022" s="150"/>
      <c r="F1022" s="151" t="s">
        <v>168</v>
      </c>
      <c r="G1022" s="243" t="s">
        <v>644</v>
      </c>
      <c r="H1022" s="247" t="s">
        <v>463</v>
      </c>
      <c r="I1022" s="162" t="s">
        <v>645</v>
      </c>
      <c r="J1022" s="251">
        <v>6</v>
      </c>
      <c r="K1022" s="254">
        <v>698000</v>
      </c>
      <c r="L1022" s="379">
        <f t="shared" ref="L1022" si="77">J1022*K1022</f>
        <v>4188000</v>
      </c>
      <c r="M1022" s="380">
        <v>4188000</v>
      </c>
      <c r="N1022" s="262" t="s">
        <v>611</v>
      </c>
      <c r="O102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22" s="262"/>
      <c r="Q1022" s="264" t="str" cm="1">
        <f t="array" ref="Q1022">IF(T[[#This Row],[نوع عملیات]]="فروش", _xlfn.XLOOKUP(T[[#This Row],[کالا]], _xlfn._xlws.FILTER(T[کالا], T[نوع عملیات]="خرید"), _xlfn._xlws.FILTER(T[فروشنده / مشتری], T[نوع عملیات]="خرید")), "")</f>
        <v/>
      </c>
    </row>
    <row r="1023" spans="2:17" ht="16.5" hidden="1" x14ac:dyDescent="0.75">
      <c r="B1023" s="227">
        <v>4</v>
      </c>
      <c r="C1023" s="150">
        <v>5</v>
      </c>
      <c r="D1023" s="150">
        <v>15</v>
      </c>
      <c r="E1023" s="150"/>
      <c r="F1023" s="151" t="s">
        <v>168</v>
      </c>
      <c r="G1023" s="243" t="s">
        <v>646</v>
      </c>
      <c r="H1023" s="247" t="s">
        <v>463</v>
      </c>
      <c r="I1023" s="162" t="s">
        <v>645</v>
      </c>
      <c r="J1023" s="251">
        <v>5</v>
      </c>
      <c r="K1023" s="254">
        <v>1299000</v>
      </c>
      <c r="L1023" s="379">
        <f t="shared" ref="L1023:L1074" si="78">J1023*K1023</f>
        <v>6495000</v>
      </c>
      <c r="M1023" s="380">
        <v>6495000</v>
      </c>
      <c r="N1023" s="262" t="s">
        <v>611</v>
      </c>
      <c r="O102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23" s="262"/>
      <c r="Q1023" s="264" t="str" cm="1">
        <f t="array" ref="Q1023">IF(T[[#This Row],[نوع عملیات]]="فروش", _xlfn.XLOOKUP(T[[#This Row],[کالا]], _xlfn._xlws.FILTER(T[کالا], T[نوع عملیات]="خرید"), _xlfn._xlws.FILTER(T[فروشنده / مشتری], T[نوع عملیات]="خرید")), "")</f>
        <v/>
      </c>
    </row>
    <row r="1024" spans="2:17" ht="16.5" hidden="1" x14ac:dyDescent="0.75">
      <c r="B1024" s="227">
        <v>4</v>
      </c>
      <c r="C1024" s="150">
        <v>5</v>
      </c>
      <c r="D1024" s="150">
        <v>15</v>
      </c>
      <c r="E1024" s="150"/>
      <c r="F1024" s="151" t="s">
        <v>168</v>
      </c>
      <c r="G1024" s="243" t="s">
        <v>647</v>
      </c>
      <c r="H1024" s="247" t="s">
        <v>463</v>
      </c>
      <c r="I1024" s="162" t="s">
        <v>645</v>
      </c>
      <c r="J1024" s="251">
        <v>2</v>
      </c>
      <c r="K1024" s="254">
        <v>895000</v>
      </c>
      <c r="L1024" s="379">
        <f t="shared" si="78"/>
        <v>1790000</v>
      </c>
      <c r="M1024" s="380"/>
      <c r="N1024" s="262"/>
      <c r="O102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24" s="262"/>
      <c r="Q1024" s="264" t="str" cm="1">
        <f t="array" ref="Q1024">IF(T[[#This Row],[نوع عملیات]]="فروش", _xlfn.XLOOKUP(T[[#This Row],[کالا]], _xlfn._xlws.FILTER(T[کالا], T[نوع عملیات]="خرید"), _xlfn._xlws.FILTER(T[فروشنده / مشتری], T[نوع عملیات]="خرید")), "")</f>
        <v/>
      </c>
    </row>
    <row r="1025" spans="2:17" ht="16.5" hidden="1" x14ac:dyDescent="0.75">
      <c r="B1025" s="227">
        <v>4</v>
      </c>
      <c r="C1025" s="150">
        <v>5</v>
      </c>
      <c r="D1025" s="150">
        <v>15</v>
      </c>
      <c r="E1025" s="150"/>
      <c r="F1025" s="151" t="s">
        <v>168</v>
      </c>
      <c r="G1025" s="243" t="s">
        <v>648</v>
      </c>
      <c r="H1025" s="247" t="s">
        <v>463</v>
      </c>
      <c r="I1025" s="162" t="s">
        <v>645</v>
      </c>
      <c r="J1025" s="251">
        <v>2</v>
      </c>
      <c r="K1025" s="254">
        <v>898000</v>
      </c>
      <c r="L1025" s="379">
        <f t="shared" si="78"/>
        <v>1796000</v>
      </c>
      <c r="M1025" s="380"/>
      <c r="N1025" s="262"/>
      <c r="O102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25" s="262"/>
      <c r="Q1025" s="264" t="str" cm="1">
        <f t="array" ref="Q1025">IF(T[[#This Row],[نوع عملیات]]="فروش", _xlfn.XLOOKUP(T[[#This Row],[کالا]], _xlfn._xlws.FILTER(T[کالا], T[نوع عملیات]="خرید"), _xlfn._xlws.FILTER(T[فروشنده / مشتری], T[نوع عملیات]="خرید")), "")</f>
        <v/>
      </c>
    </row>
    <row r="1026" spans="2:17" ht="16.5" hidden="1" x14ac:dyDescent="0.75">
      <c r="B1026" s="227">
        <v>4</v>
      </c>
      <c r="C1026" s="150">
        <v>5</v>
      </c>
      <c r="D1026" s="150">
        <v>15</v>
      </c>
      <c r="E1026" s="150"/>
      <c r="F1026" s="151" t="s">
        <v>168</v>
      </c>
      <c r="G1026" s="243" t="s">
        <v>649</v>
      </c>
      <c r="H1026" s="247" t="s">
        <v>463</v>
      </c>
      <c r="I1026" s="162" t="s">
        <v>645</v>
      </c>
      <c r="J1026" s="251">
        <v>3</v>
      </c>
      <c r="K1026" s="254">
        <v>1290000</v>
      </c>
      <c r="L1026" s="379">
        <f t="shared" si="78"/>
        <v>3870000</v>
      </c>
      <c r="M1026" s="380"/>
      <c r="N1026" s="262"/>
      <c r="O102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26" s="262"/>
      <c r="Q1026" s="264" t="str" cm="1">
        <f t="array" ref="Q1026">IF(T[[#This Row],[نوع عملیات]]="فروش", _xlfn.XLOOKUP(T[[#This Row],[کالا]], _xlfn._xlws.FILTER(T[کالا], T[نوع عملیات]="خرید"), _xlfn._xlws.FILTER(T[فروشنده / مشتری], T[نوع عملیات]="خرید")), "")</f>
        <v/>
      </c>
    </row>
    <row r="1027" spans="2:17" ht="16.5" hidden="1" x14ac:dyDescent="0.75">
      <c r="B1027" s="227">
        <v>4</v>
      </c>
      <c r="C1027" s="150">
        <v>5</v>
      </c>
      <c r="D1027" s="150">
        <v>15</v>
      </c>
      <c r="E1027" s="150"/>
      <c r="F1027" s="151" t="s">
        <v>168</v>
      </c>
      <c r="G1027" s="243" t="s">
        <v>668</v>
      </c>
      <c r="H1027" s="247" t="s">
        <v>463</v>
      </c>
      <c r="I1027" s="162" t="s">
        <v>645</v>
      </c>
      <c r="J1027" s="251">
        <v>8</v>
      </c>
      <c r="K1027" s="254">
        <v>693000</v>
      </c>
      <c r="L1027" s="379">
        <f t="shared" si="78"/>
        <v>5544000</v>
      </c>
      <c r="M1027" s="380">
        <v>13000000</v>
      </c>
      <c r="N1027" s="262" t="s">
        <v>611</v>
      </c>
      <c r="O102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27" s="262"/>
      <c r="Q1027" s="264" t="str" cm="1">
        <f t="array" ref="Q1027">IF(T[[#This Row],[نوع عملیات]]="فروش", _xlfn.XLOOKUP(T[[#This Row],[کالا]], _xlfn._xlws.FILTER(T[کالا], T[نوع عملیات]="خرید"), _xlfn._xlws.FILTER(T[فروشنده / مشتری], T[نوع عملیات]="خرید")), "")</f>
        <v/>
      </c>
    </row>
    <row r="1028" spans="2:17" ht="16.5" hidden="1" x14ac:dyDescent="0.75">
      <c r="B1028" s="227">
        <v>4</v>
      </c>
      <c r="C1028" s="150">
        <v>5</v>
      </c>
      <c r="D1028" s="150">
        <v>15</v>
      </c>
      <c r="E1028" s="150"/>
      <c r="F1028" s="151" t="s">
        <v>168</v>
      </c>
      <c r="G1028" s="243" t="s">
        <v>650</v>
      </c>
      <c r="H1028" s="247" t="s">
        <v>463</v>
      </c>
      <c r="I1028" s="162" t="s">
        <v>645</v>
      </c>
      <c r="J1028" s="251">
        <v>3</v>
      </c>
      <c r="K1028" s="254">
        <v>298000</v>
      </c>
      <c r="L1028" s="379">
        <f t="shared" si="78"/>
        <v>894000</v>
      </c>
      <c r="M1028" s="380">
        <v>894000</v>
      </c>
      <c r="N1028" s="262" t="s">
        <v>611</v>
      </c>
      <c r="O102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28" s="262"/>
      <c r="Q1028" s="264" t="str" cm="1">
        <f t="array" ref="Q1028">IF(T[[#This Row],[نوع عملیات]]="فروش", _xlfn.XLOOKUP(T[[#This Row],[کالا]], _xlfn._xlws.FILTER(T[کالا], T[نوع عملیات]="خرید"), _xlfn._xlws.FILTER(T[فروشنده / مشتری], T[نوع عملیات]="خرید")), "")</f>
        <v/>
      </c>
    </row>
    <row r="1029" spans="2:17" ht="16.5" hidden="1" x14ac:dyDescent="0.75">
      <c r="B1029" s="227">
        <v>4</v>
      </c>
      <c r="C1029" s="150">
        <v>5</v>
      </c>
      <c r="D1029" s="150">
        <v>15</v>
      </c>
      <c r="E1029" s="150"/>
      <c r="F1029" s="151" t="s">
        <v>168</v>
      </c>
      <c r="G1029" s="243" t="s">
        <v>651</v>
      </c>
      <c r="H1029" s="247" t="s">
        <v>463</v>
      </c>
      <c r="I1029" s="162" t="s">
        <v>645</v>
      </c>
      <c r="J1029" s="251">
        <v>3</v>
      </c>
      <c r="K1029" s="254">
        <f>T[[#This Row],[قیمت کل]]/T[[#This Row],[تعداد]]</f>
        <v>346666.66666666669</v>
      </c>
      <c r="L1029" s="379">
        <v>1040000</v>
      </c>
      <c r="M1029" s="380">
        <v>1040000</v>
      </c>
      <c r="N1029" s="262" t="s">
        <v>611</v>
      </c>
      <c r="O102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29" s="262"/>
      <c r="Q1029" s="264" t="str" cm="1">
        <f t="array" ref="Q1029">IF(T[[#This Row],[نوع عملیات]]="فروش", _xlfn.XLOOKUP(T[[#This Row],[کالا]], _xlfn._xlws.FILTER(T[کالا], T[نوع عملیات]="خرید"), _xlfn._xlws.FILTER(T[فروشنده / مشتری], T[نوع عملیات]="خرید")), "")</f>
        <v/>
      </c>
    </row>
    <row r="1030" spans="2:17" ht="16.5" hidden="1" x14ac:dyDescent="0.75">
      <c r="B1030" s="227">
        <v>4</v>
      </c>
      <c r="C1030" s="150">
        <v>5</v>
      </c>
      <c r="D1030" s="150">
        <v>15</v>
      </c>
      <c r="E1030" s="150"/>
      <c r="F1030" s="151" t="s">
        <v>168</v>
      </c>
      <c r="G1030" s="243" t="s">
        <v>652</v>
      </c>
      <c r="H1030" s="247" t="s">
        <v>463</v>
      </c>
      <c r="I1030" s="162" t="s">
        <v>645</v>
      </c>
      <c r="J1030" s="251">
        <v>3</v>
      </c>
      <c r="K1030" s="254">
        <v>750000</v>
      </c>
      <c r="L1030" s="379">
        <f t="shared" si="78"/>
        <v>2250000</v>
      </c>
      <c r="M1030" s="380">
        <v>2250000</v>
      </c>
      <c r="N1030" s="262" t="s">
        <v>611</v>
      </c>
      <c r="O103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30" s="262"/>
      <c r="Q1030" s="264" t="str" cm="1">
        <f t="array" ref="Q1030">IF(T[[#This Row],[نوع عملیات]]="فروش", _xlfn.XLOOKUP(T[[#This Row],[کالا]], _xlfn._xlws.FILTER(T[کالا], T[نوع عملیات]="خرید"), _xlfn._xlws.FILTER(T[فروشنده / مشتری], T[نوع عملیات]="خرید")), "")</f>
        <v/>
      </c>
    </row>
    <row r="1031" spans="2:17" ht="16.5" hidden="1" x14ac:dyDescent="0.75">
      <c r="B1031" s="227">
        <v>4</v>
      </c>
      <c r="C1031" s="150">
        <v>5</v>
      </c>
      <c r="D1031" s="150">
        <v>15</v>
      </c>
      <c r="E1031" s="150"/>
      <c r="F1031" s="151" t="s">
        <v>168</v>
      </c>
      <c r="G1031" s="243" t="s">
        <v>669</v>
      </c>
      <c r="H1031" s="247" t="s">
        <v>463</v>
      </c>
      <c r="I1031" s="162" t="s">
        <v>645</v>
      </c>
      <c r="J1031" s="251">
        <v>4</v>
      </c>
      <c r="K1031" s="254">
        <v>790000</v>
      </c>
      <c r="L1031" s="379">
        <f t="shared" si="78"/>
        <v>3160000</v>
      </c>
      <c r="M1031" s="380">
        <v>5850000</v>
      </c>
      <c r="N1031" s="262" t="s">
        <v>611</v>
      </c>
      <c r="O103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31" s="262"/>
      <c r="Q1031" s="264" t="str" cm="1">
        <f t="array" ref="Q1031">IF(T[[#This Row],[نوع عملیات]]="فروش", _xlfn.XLOOKUP(T[[#This Row],[کالا]], _xlfn._xlws.FILTER(T[کالا], T[نوع عملیات]="خرید"), _xlfn._xlws.FILTER(T[فروشنده / مشتری], T[نوع عملیات]="خرید")), "")</f>
        <v/>
      </c>
    </row>
    <row r="1032" spans="2:17" ht="16.5" hidden="1" x14ac:dyDescent="0.75">
      <c r="B1032" s="227">
        <v>4</v>
      </c>
      <c r="C1032" s="150">
        <v>5</v>
      </c>
      <c r="D1032" s="150">
        <v>15</v>
      </c>
      <c r="E1032" s="150"/>
      <c r="F1032" s="151" t="s">
        <v>168</v>
      </c>
      <c r="G1032" s="243" t="s">
        <v>653</v>
      </c>
      <c r="H1032" s="247" t="s">
        <v>463</v>
      </c>
      <c r="I1032" s="162" t="s">
        <v>645</v>
      </c>
      <c r="J1032" s="251">
        <v>5</v>
      </c>
      <c r="K1032" s="254">
        <v>696000</v>
      </c>
      <c r="L1032" s="379">
        <f t="shared" si="78"/>
        <v>3480000</v>
      </c>
      <c r="M1032" s="380">
        <v>790000</v>
      </c>
      <c r="N1032" s="262" t="s">
        <v>611</v>
      </c>
      <c r="O103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32" s="262"/>
      <c r="Q1032" s="264" t="str" cm="1">
        <f t="array" ref="Q1032">IF(T[[#This Row],[نوع عملیات]]="فروش", _xlfn.XLOOKUP(T[[#This Row],[کالا]], _xlfn._xlws.FILTER(T[کالا], T[نوع عملیات]="خرید"), _xlfn._xlws.FILTER(T[فروشنده / مشتری], T[نوع عملیات]="خرید")), "")</f>
        <v/>
      </c>
    </row>
    <row r="1033" spans="2:17" ht="16.5" hidden="1" x14ac:dyDescent="0.75">
      <c r="B1033" s="227">
        <v>4</v>
      </c>
      <c r="C1033" s="150">
        <v>5</v>
      </c>
      <c r="D1033" s="150">
        <v>15</v>
      </c>
      <c r="E1033" s="150"/>
      <c r="F1033" s="151" t="s">
        <v>168</v>
      </c>
      <c r="G1033" s="243" t="s">
        <v>654</v>
      </c>
      <c r="H1033" s="247" t="s">
        <v>463</v>
      </c>
      <c r="I1033" s="162" t="s">
        <v>645</v>
      </c>
      <c r="J1033" s="251">
        <v>6</v>
      </c>
      <c r="K1033" s="254">
        <v>698000</v>
      </c>
      <c r="L1033" s="379">
        <f t="shared" si="78"/>
        <v>4188000</v>
      </c>
      <c r="M1033" s="380">
        <v>4188000</v>
      </c>
      <c r="N1033" s="262" t="s">
        <v>611</v>
      </c>
      <c r="O103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33" s="262"/>
      <c r="Q1033" s="264" t="str" cm="1">
        <f t="array" ref="Q1033">IF(T[[#This Row],[نوع عملیات]]="فروش", _xlfn.XLOOKUP(T[[#This Row],[کالا]], _xlfn._xlws.FILTER(T[کالا], T[نوع عملیات]="خرید"), _xlfn._xlws.FILTER(T[فروشنده / مشتری], T[نوع عملیات]="خرید")), "")</f>
        <v/>
      </c>
    </row>
    <row r="1034" spans="2:17" ht="16.5" hidden="1" x14ac:dyDescent="0.75">
      <c r="B1034" s="227">
        <v>4</v>
      </c>
      <c r="C1034" s="150">
        <v>5</v>
      </c>
      <c r="D1034" s="150">
        <v>15</v>
      </c>
      <c r="E1034" s="150"/>
      <c r="F1034" s="151" t="s">
        <v>168</v>
      </c>
      <c r="G1034" s="243" t="s">
        <v>274</v>
      </c>
      <c r="H1034" s="247" t="s">
        <v>463</v>
      </c>
      <c r="I1034" s="162" t="s">
        <v>645</v>
      </c>
      <c r="J1034" s="251">
        <v>12</v>
      </c>
      <c r="K1034" s="254">
        <v>60000</v>
      </c>
      <c r="L1034" s="379">
        <f t="shared" si="78"/>
        <v>720000</v>
      </c>
      <c r="M1034" s="380">
        <v>720000</v>
      </c>
      <c r="N1034" s="262" t="s">
        <v>611</v>
      </c>
      <c r="O103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34" s="262"/>
      <c r="Q1034" s="264" t="str" cm="1">
        <f t="array" ref="Q1034">IF(T[[#This Row],[نوع عملیات]]="فروش", _xlfn.XLOOKUP(T[[#This Row],[کالا]], _xlfn._xlws.FILTER(T[کالا], T[نوع عملیات]="خرید"), _xlfn._xlws.FILTER(T[فروشنده / مشتری], T[نوع عملیات]="خرید")), "")</f>
        <v/>
      </c>
    </row>
    <row r="1035" spans="2:17" ht="16.5" hidden="1" x14ac:dyDescent="0.75">
      <c r="B1035" s="366">
        <v>4</v>
      </c>
      <c r="C1035" s="367">
        <v>5</v>
      </c>
      <c r="D1035" s="367">
        <v>15</v>
      </c>
      <c r="E1035" s="367"/>
      <c r="F1035" s="368" t="s">
        <v>168</v>
      </c>
      <c r="G1035" s="369" t="s">
        <v>655</v>
      </c>
      <c r="H1035" s="370" t="s">
        <v>608</v>
      </c>
      <c r="I1035" s="371" t="s">
        <v>645</v>
      </c>
      <c r="J1035" s="372">
        <v>14</v>
      </c>
      <c r="K1035" s="373">
        <v>60000</v>
      </c>
      <c r="L1035" s="374">
        <f t="shared" si="78"/>
        <v>840000</v>
      </c>
      <c r="M1035" s="375"/>
      <c r="N1035" s="376"/>
      <c r="O1035" s="377">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35" s="376"/>
      <c r="Q1035" s="378" t="str" cm="1">
        <f t="array" ref="Q1035">IF(T[[#This Row],[نوع عملیات]]="فروش", _xlfn.XLOOKUP(T[[#This Row],[کالا]], _xlfn._xlws.FILTER(T[کالا], T[نوع عملیات]="خرید"), _xlfn._xlws.FILTER(T[فروشنده / مشتری], T[نوع عملیات]="خرید")), "")</f>
        <v/>
      </c>
    </row>
    <row r="1036" spans="2:17" ht="16.5" hidden="1" x14ac:dyDescent="0.75">
      <c r="B1036" s="227">
        <v>4</v>
      </c>
      <c r="C1036" s="150">
        <v>5</v>
      </c>
      <c r="D1036" s="150">
        <v>15</v>
      </c>
      <c r="E1036" s="150"/>
      <c r="F1036" s="151" t="s">
        <v>168</v>
      </c>
      <c r="G1036" s="243" t="s">
        <v>656</v>
      </c>
      <c r="H1036" s="247" t="s">
        <v>463</v>
      </c>
      <c r="I1036" s="162" t="s">
        <v>645</v>
      </c>
      <c r="J1036" s="251">
        <v>8</v>
      </c>
      <c r="K1036" s="254">
        <v>487500</v>
      </c>
      <c r="L1036" s="379">
        <f t="shared" si="78"/>
        <v>3900000</v>
      </c>
      <c r="M1036" s="380">
        <v>3900000</v>
      </c>
      <c r="N1036" s="262" t="s">
        <v>611</v>
      </c>
      <c r="O103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36" s="262"/>
      <c r="Q1036" s="264" t="str" cm="1">
        <f t="array" ref="Q1036">IF(T[[#This Row],[نوع عملیات]]="فروش", _xlfn.XLOOKUP(T[[#This Row],[کالا]], _xlfn._xlws.FILTER(T[کالا], T[نوع عملیات]="خرید"), _xlfn._xlws.FILTER(T[فروشنده / مشتری], T[نوع عملیات]="خرید")), "")</f>
        <v/>
      </c>
    </row>
    <row r="1037" spans="2:17" ht="16.5" hidden="1" x14ac:dyDescent="0.75">
      <c r="B1037" s="227">
        <v>4</v>
      </c>
      <c r="C1037" s="150">
        <v>5</v>
      </c>
      <c r="D1037" s="150">
        <v>15</v>
      </c>
      <c r="E1037" s="150" t="str">
        <f>CHOOSE(C1037, "فروردین", "اردیبهشت", "خرداد", "تیر", "مرداد", "شهریور", "مهر", "آبان", "آذر", "دی", "بهمن", "اسفند")</f>
        <v>مرداد</v>
      </c>
      <c r="F1037" s="151" t="s">
        <v>302</v>
      </c>
      <c r="G1037" s="243"/>
      <c r="H1037" s="247" t="s">
        <v>639</v>
      </c>
      <c r="I1037" s="162"/>
      <c r="J1037" s="251"/>
      <c r="K1037" s="254"/>
      <c r="L1037" s="379">
        <f>J1037*K1037</f>
        <v>0</v>
      </c>
      <c r="M1037" s="380">
        <v>2300000</v>
      </c>
      <c r="N1037" s="262" t="s">
        <v>611</v>
      </c>
      <c r="O103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37" s="262"/>
      <c r="Q1037" s="264" t="str" cm="1">
        <f t="array" ref="Q1037">IF(T[[#This Row],[نوع عملیات]]="فروش", _xlfn.XLOOKUP(T[[#This Row],[کالا]], _xlfn._xlws.FILTER(T[کالا], T[نوع عملیات]="خرید"), _xlfn._xlws.FILTER(T[فروشنده / مشتری], T[نوع عملیات]="خرید")), "")</f>
        <v/>
      </c>
    </row>
    <row r="1038" spans="2:17" ht="16.5" hidden="1" x14ac:dyDescent="0.75">
      <c r="B1038" s="227">
        <v>4</v>
      </c>
      <c r="C1038" s="150">
        <v>5</v>
      </c>
      <c r="D1038" s="150">
        <v>16</v>
      </c>
      <c r="E1038" s="150"/>
      <c r="F1038" s="151" t="s">
        <v>167</v>
      </c>
      <c r="G1038" s="244" t="s">
        <v>647</v>
      </c>
      <c r="H1038" s="247" t="s">
        <v>434</v>
      </c>
      <c r="I1038" s="162"/>
      <c r="J1038" s="251">
        <v>1</v>
      </c>
      <c r="K1038" s="254">
        <v>1250000</v>
      </c>
      <c r="L1038" s="255">
        <f t="shared" si="78"/>
        <v>1250000</v>
      </c>
      <c r="M1038" s="257"/>
      <c r="N1038" s="262"/>
      <c r="O103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355000</v>
      </c>
      <c r="P1038" s="262"/>
      <c r="Q1038" s="264" t="str" cm="1">
        <f t="array" ref="Q1038">IF(T[[#This Row],[نوع عملیات]]="فروش", _xlfn.XLOOKUP(T[[#This Row],[کالا]], _xlfn._xlws.FILTER(T[کالا], T[نوع عملیات]="خرید"), _xlfn._xlws.FILTER(T[فروشنده / مشتری], T[نوع عملیات]="خرید")), "")</f>
        <v>سرای ملی</v>
      </c>
    </row>
    <row r="1039" spans="2:17" ht="16.5" hidden="1" x14ac:dyDescent="0.75">
      <c r="B1039" s="227">
        <v>4</v>
      </c>
      <c r="C1039" s="150">
        <v>5</v>
      </c>
      <c r="D1039" s="150">
        <v>16</v>
      </c>
      <c r="E1039" s="150"/>
      <c r="F1039" s="151" t="s">
        <v>167</v>
      </c>
      <c r="G1039" s="244" t="s">
        <v>648</v>
      </c>
      <c r="H1039" s="247" t="s">
        <v>434</v>
      </c>
      <c r="I1039" s="162"/>
      <c r="J1039" s="251">
        <v>1</v>
      </c>
      <c r="K1039" s="254">
        <v>1250000</v>
      </c>
      <c r="L1039" s="255">
        <f t="shared" ref="L1039:L1050" si="79">J1039*K1039</f>
        <v>1250000</v>
      </c>
      <c r="M1039" s="257"/>
      <c r="N1039" s="262"/>
      <c r="O103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352000</v>
      </c>
      <c r="P1039" s="262"/>
      <c r="Q1039" s="264" t="str" cm="1">
        <f t="array" ref="Q1039">IF(T[[#This Row],[نوع عملیات]]="فروش", _xlfn.XLOOKUP(T[[#This Row],[کالا]], _xlfn._xlws.FILTER(T[کالا], T[نوع عملیات]="خرید"), _xlfn._xlws.FILTER(T[فروشنده / مشتری], T[نوع عملیات]="خرید")), "")</f>
        <v>سرای ملی</v>
      </c>
    </row>
    <row r="1040" spans="2:17" ht="16.5" hidden="1" x14ac:dyDescent="0.75">
      <c r="B1040" s="227">
        <v>4</v>
      </c>
      <c r="C1040" s="150">
        <v>5</v>
      </c>
      <c r="D1040" s="150">
        <v>16</v>
      </c>
      <c r="E1040" s="150"/>
      <c r="F1040" s="151" t="s">
        <v>167</v>
      </c>
      <c r="G1040" s="244" t="s">
        <v>606</v>
      </c>
      <c r="H1040" s="247" t="s">
        <v>434</v>
      </c>
      <c r="I1040" s="162"/>
      <c r="J1040" s="251">
        <v>1</v>
      </c>
      <c r="K1040" s="254">
        <v>650000</v>
      </c>
      <c r="L1040" s="255">
        <f t="shared" si="79"/>
        <v>650000</v>
      </c>
      <c r="M1040" s="257"/>
      <c r="N1040" s="262"/>
      <c r="O10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40" s="262"/>
      <c r="Q1040" s="264" t="str" cm="1">
        <f t="array" ref="Q1040">IF(T[[#This Row],[نوع عملیات]]="فروش", _xlfn.XLOOKUP(T[[#This Row],[کالا]], _xlfn._xlws.FILTER(T[کالا], T[نوع عملیات]="خرید"), _xlfn._xlws.FILTER(T[فروشنده / مشتری], T[نوع عملیات]="خرید")), "")</f>
        <v>هستی هنگامه</v>
      </c>
    </row>
    <row r="1041" spans="2:17" ht="16.5" hidden="1" x14ac:dyDescent="0.75">
      <c r="B1041" s="227">
        <v>4</v>
      </c>
      <c r="C1041" s="150">
        <v>5</v>
      </c>
      <c r="D1041" s="150">
        <v>16</v>
      </c>
      <c r="E1041" s="150"/>
      <c r="F1041" s="151" t="s">
        <v>167</v>
      </c>
      <c r="G1041" s="244" t="s">
        <v>274</v>
      </c>
      <c r="H1041" s="247" t="s">
        <v>434</v>
      </c>
      <c r="I1041" s="162"/>
      <c r="J1041" s="251">
        <v>1</v>
      </c>
      <c r="K1041" s="254">
        <v>200000</v>
      </c>
      <c r="L1041" s="255">
        <f t="shared" si="79"/>
        <v>200000</v>
      </c>
      <c r="M1041" s="257"/>
      <c r="N1041" s="262"/>
      <c r="O104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145714.28571428571</v>
      </c>
      <c r="P1041" s="262"/>
      <c r="Q1041" s="264" t="str" cm="1">
        <f t="array" ref="Q1041">IF(T[[#This Row],[نوع عملیات]]="فروش", _xlfn.XLOOKUP(T[[#This Row],[کالا]], _xlfn._xlws.FILTER(T[کالا], T[نوع عملیات]="خرید"), _xlfn._xlws.FILTER(T[فروشنده / مشتری], T[نوع عملیات]="خرید")), "")</f>
        <v>بازار</v>
      </c>
    </row>
    <row r="1042" spans="2:17" ht="16.5" hidden="1" x14ac:dyDescent="0.75">
      <c r="B1042" s="227">
        <v>4</v>
      </c>
      <c r="C1042" s="150">
        <v>5</v>
      </c>
      <c r="D1042" s="150">
        <v>16</v>
      </c>
      <c r="E1042" s="150"/>
      <c r="F1042" s="151" t="s">
        <v>167</v>
      </c>
      <c r="G1042" s="244" t="s">
        <v>644</v>
      </c>
      <c r="H1042" s="247" t="s">
        <v>434</v>
      </c>
      <c r="I1042" s="162"/>
      <c r="J1042" s="251">
        <v>1</v>
      </c>
      <c r="K1042" s="254">
        <v>950000</v>
      </c>
      <c r="L1042" s="255">
        <f t="shared" si="79"/>
        <v>950000</v>
      </c>
      <c r="M1042" s="257"/>
      <c r="N1042" s="262"/>
      <c r="O104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252000</v>
      </c>
      <c r="P1042" s="262"/>
      <c r="Q1042" s="264" t="str" cm="1">
        <f t="array" ref="Q1042">IF(T[[#This Row],[نوع عملیات]]="فروش", _xlfn.XLOOKUP(T[[#This Row],[کالا]], _xlfn._xlws.FILTER(T[کالا], T[نوع عملیات]="خرید"), _xlfn._xlws.FILTER(T[فروشنده / مشتری], T[نوع عملیات]="خرید")), "")</f>
        <v>سرای ملی</v>
      </c>
    </row>
    <row r="1043" spans="2:17" ht="16.5" hidden="1" x14ac:dyDescent="0.75">
      <c r="B1043" s="227">
        <v>4</v>
      </c>
      <c r="C1043" s="150">
        <v>5</v>
      </c>
      <c r="D1043" s="150">
        <v>16</v>
      </c>
      <c r="E1043" s="150"/>
      <c r="F1043" s="151" t="s">
        <v>167</v>
      </c>
      <c r="G1043" s="244" t="s">
        <v>543</v>
      </c>
      <c r="H1043" s="247" t="s">
        <v>211</v>
      </c>
      <c r="I1043" s="162"/>
      <c r="J1043" s="251">
        <v>1</v>
      </c>
      <c r="K1043" s="254">
        <v>2050000</v>
      </c>
      <c r="L1043" s="255">
        <f t="shared" si="79"/>
        <v>2050000</v>
      </c>
      <c r="M1043" s="257"/>
      <c r="N1043" s="262"/>
      <c r="O104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1052500</v>
      </c>
      <c r="P1043" s="262"/>
      <c r="Q1043" s="264" t="str" cm="1">
        <f t="array" ref="Q1043">IF(T[[#This Row],[نوع عملیات]]="فروش", _xlfn.XLOOKUP(T[[#This Row],[کالا]], _xlfn._xlws.FILTER(T[کالا], T[نوع عملیات]="خرید"), _xlfn._xlws.FILTER(T[فروشنده / مشتری], T[نوع عملیات]="خرید")), "")</f>
        <v>بازار پارسیان</v>
      </c>
    </row>
    <row r="1044" spans="2:17" ht="16.5" hidden="1" x14ac:dyDescent="0.75">
      <c r="B1044" s="227">
        <v>4</v>
      </c>
      <c r="C1044" s="150">
        <v>5</v>
      </c>
      <c r="D1044" s="150">
        <v>16</v>
      </c>
      <c r="E1044" s="150"/>
      <c r="F1044" s="151" t="s">
        <v>167</v>
      </c>
      <c r="G1044" s="244" t="s">
        <v>362</v>
      </c>
      <c r="H1044" s="247" t="s">
        <v>211</v>
      </c>
      <c r="I1044" s="162"/>
      <c r="J1044" s="251">
        <v>1</v>
      </c>
      <c r="K1044" s="254">
        <v>350000</v>
      </c>
      <c r="L1044" s="255">
        <f t="shared" si="79"/>
        <v>350000</v>
      </c>
      <c r="M1044" s="257"/>
      <c r="N1044" s="262"/>
      <c r="O104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252500</v>
      </c>
      <c r="P1044" s="262"/>
      <c r="Q1044" s="264" t="str" cm="1">
        <f t="array" ref="Q1044">IF(T[[#This Row],[نوع عملیات]]="فروش", _xlfn.XLOOKUP(T[[#This Row],[کالا]], _xlfn._xlws.FILTER(T[کالا], T[نوع عملیات]="خرید"), _xlfn._xlws.FILTER(T[فروشنده / مشتری], T[نوع عملیات]="خرید")), "")</f>
        <v>بازار</v>
      </c>
    </row>
    <row r="1045" spans="2:17" ht="16.5" hidden="1" x14ac:dyDescent="0.75">
      <c r="B1045" s="227">
        <v>4</v>
      </c>
      <c r="C1045" s="150">
        <v>5</v>
      </c>
      <c r="D1045" s="150">
        <v>16</v>
      </c>
      <c r="E1045" s="150"/>
      <c r="F1045" s="151" t="s">
        <v>167</v>
      </c>
      <c r="G1045" s="244" t="s">
        <v>654</v>
      </c>
      <c r="H1045" s="247" t="s">
        <v>211</v>
      </c>
      <c r="I1045" s="162"/>
      <c r="J1045" s="251">
        <v>1</v>
      </c>
      <c r="K1045" s="254">
        <v>1400000</v>
      </c>
      <c r="L1045" s="255">
        <f t="shared" si="79"/>
        <v>1400000</v>
      </c>
      <c r="M1045" s="257"/>
      <c r="N1045" s="262"/>
      <c r="O104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702000</v>
      </c>
      <c r="P1045" s="262"/>
      <c r="Q1045" s="264" t="str" cm="1">
        <f t="array" ref="Q1045">IF(T[[#This Row],[نوع عملیات]]="فروش", _xlfn.XLOOKUP(T[[#This Row],[کالا]], _xlfn._xlws.FILTER(T[کالا], T[نوع عملیات]="خرید"), _xlfn._xlws.FILTER(T[فروشنده / مشتری], T[نوع عملیات]="خرید")), "")</f>
        <v>سرای ملی</v>
      </c>
    </row>
    <row r="1046" spans="2:17" ht="16.5" hidden="1" x14ac:dyDescent="0.75">
      <c r="B1046" s="227">
        <v>4</v>
      </c>
      <c r="C1046" s="150">
        <v>5</v>
      </c>
      <c r="D1046" s="150">
        <v>16</v>
      </c>
      <c r="E1046" s="150"/>
      <c r="F1046" s="151" t="s">
        <v>167</v>
      </c>
      <c r="G1046" s="244" t="s">
        <v>647</v>
      </c>
      <c r="H1046" s="247" t="s">
        <v>211</v>
      </c>
      <c r="I1046" s="162"/>
      <c r="J1046" s="251">
        <v>1</v>
      </c>
      <c r="K1046" s="254">
        <v>1700000</v>
      </c>
      <c r="L1046" s="255">
        <f t="shared" si="79"/>
        <v>1700000</v>
      </c>
      <c r="M1046" s="257"/>
      <c r="N1046" s="262"/>
      <c r="O104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805000</v>
      </c>
      <c r="P1046" s="262"/>
      <c r="Q1046" s="264" t="str" cm="1">
        <f t="array" ref="Q1046">IF(T[[#This Row],[نوع عملیات]]="فروش", _xlfn.XLOOKUP(T[[#This Row],[کالا]], _xlfn._xlws.FILTER(T[کالا], T[نوع عملیات]="خرید"), _xlfn._xlws.FILTER(T[فروشنده / مشتری], T[نوع عملیات]="خرید")), "")</f>
        <v>سرای ملی</v>
      </c>
    </row>
    <row r="1047" spans="2:17" ht="16.5" hidden="1" x14ac:dyDescent="0.75">
      <c r="B1047" s="227">
        <v>4</v>
      </c>
      <c r="C1047" s="150">
        <v>5</v>
      </c>
      <c r="D1047" s="150">
        <v>16</v>
      </c>
      <c r="E1047" s="150"/>
      <c r="F1047" s="151" t="s">
        <v>167</v>
      </c>
      <c r="G1047" s="244" t="s">
        <v>668</v>
      </c>
      <c r="H1047" s="247" t="s">
        <v>211</v>
      </c>
      <c r="I1047" s="162"/>
      <c r="J1047" s="251">
        <v>1</v>
      </c>
      <c r="K1047" s="254">
        <v>1300000</v>
      </c>
      <c r="L1047" s="255">
        <f t="shared" si="79"/>
        <v>1300000</v>
      </c>
      <c r="M1047" s="257">
        <v>6800000</v>
      </c>
      <c r="N1047" s="262" t="s">
        <v>299</v>
      </c>
      <c r="O104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607000</v>
      </c>
      <c r="P1047" s="262"/>
      <c r="Q1047" s="264" t="str" cm="1">
        <f t="array" ref="Q1047">IF(T[[#This Row],[نوع عملیات]]="فروش", _xlfn.XLOOKUP(T[[#This Row],[کالا]], _xlfn._xlws.FILTER(T[کالا], T[نوع عملیات]="خرید"), _xlfn._xlws.FILTER(T[فروشنده / مشتری], T[نوع عملیات]="خرید")), "")</f>
        <v>سرای ملی</v>
      </c>
    </row>
    <row r="1048" spans="2:17" ht="16.5" hidden="1" x14ac:dyDescent="0.75">
      <c r="B1048" s="227">
        <v>4</v>
      </c>
      <c r="C1048" s="150">
        <v>5</v>
      </c>
      <c r="D1048" s="150">
        <v>16</v>
      </c>
      <c r="E1048" s="150"/>
      <c r="F1048" s="151" t="s">
        <v>167</v>
      </c>
      <c r="G1048" s="244" t="s">
        <v>652</v>
      </c>
      <c r="H1048" s="247" t="s">
        <v>624</v>
      </c>
      <c r="I1048" s="162"/>
      <c r="J1048" s="251">
        <v>1</v>
      </c>
      <c r="K1048" s="254">
        <v>1400000</v>
      </c>
      <c r="L1048" s="255">
        <f t="shared" si="79"/>
        <v>1400000</v>
      </c>
      <c r="M1048" s="257"/>
      <c r="N1048" s="262"/>
      <c r="O10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1048" s="262"/>
      <c r="Q1048" s="264" t="str" cm="1">
        <f t="array" ref="Q1048">IF(T[[#This Row],[نوع عملیات]]="فروش", _xlfn.XLOOKUP(T[[#This Row],[کالا]], _xlfn._xlws.FILTER(T[کالا], T[نوع عملیات]="خرید"), _xlfn._xlws.FILTER(T[فروشنده / مشتری], T[نوع عملیات]="خرید")), "")</f>
        <v>سرای ملی</v>
      </c>
    </row>
    <row r="1049" spans="2:17" ht="16.5" hidden="1" x14ac:dyDescent="0.75">
      <c r="B1049" s="227">
        <v>4</v>
      </c>
      <c r="C1049" s="150">
        <v>5</v>
      </c>
      <c r="D1049" s="150">
        <v>16</v>
      </c>
      <c r="E1049" s="150"/>
      <c r="F1049" s="151" t="s">
        <v>167</v>
      </c>
      <c r="G1049" s="244" t="s">
        <v>669</v>
      </c>
      <c r="H1049" s="247" t="s">
        <v>624</v>
      </c>
      <c r="I1049" s="162"/>
      <c r="J1049" s="251">
        <v>1</v>
      </c>
      <c r="K1049" s="254">
        <v>1500000</v>
      </c>
      <c r="L1049" s="255">
        <f t="shared" si="79"/>
        <v>1500000</v>
      </c>
      <c r="M1049" s="257"/>
      <c r="N1049" s="262"/>
      <c r="O10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710000</v>
      </c>
      <c r="P1049" s="262"/>
      <c r="Q1049" s="264" t="str" cm="1">
        <f t="array" ref="Q1049">IF(T[[#This Row],[نوع عملیات]]="فروش", _xlfn.XLOOKUP(T[[#This Row],[کالا]], _xlfn._xlws.FILTER(T[کالا], T[نوع عملیات]="خرید"), _xlfn._xlws.FILTER(T[فروشنده / مشتری], T[نوع عملیات]="خرید")), "")</f>
        <v>سرای ملی</v>
      </c>
    </row>
    <row r="1050" spans="2:17" ht="16.5" hidden="1" x14ac:dyDescent="0.75">
      <c r="B1050" s="227">
        <v>4</v>
      </c>
      <c r="C1050" s="150">
        <v>5</v>
      </c>
      <c r="D1050" s="150">
        <v>16</v>
      </c>
      <c r="E1050" s="150"/>
      <c r="F1050" s="151" t="s">
        <v>167</v>
      </c>
      <c r="G1050" s="244" t="s">
        <v>670</v>
      </c>
      <c r="H1050" s="247" t="s">
        <v>678</v>
      </c>
      <c r="I1050" s="162"/>
      <c r="J1050" s="251">
        <v>1</v>
      </c>
      <c r="K1050" s="254">
        <v>500000</v>
      </c>
      <c r="L1050" s="255">
        <f t="shared" si="79"/>
        <v>500000</v>
      </c>
      <c r="M1050" s="257">
        <v>500000</v>
      </c>
      <c r="N1050" s="262" t="s">
        <v>611</v>
      </c>
      <c r="O1050" s="263" t="e">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#DIV/0!</v>
      </c>
      <c r="P1050" s="262"/>
      <c r="Q1050" s="264" t="e" cm="1">
        <f t="array" ref="Q1050">IF(T[[#This Row],[نوع عملیات]]="فروش", _xlfn.XLOOKUP(T[[#This Row],[کالا]], _xlfn._xlws.FILTER(T[کالا], T[نوع عملیات]="خرید"), _xlfn._xlws.FILTER(T[فروشنده / مشتری], T[نوع عملیات]="خرید")), "")</f>
        <v>#N/A</v>
      </c>
    </row>
    <row r="1051" spans="2:17" ht="16.5" hidden="1" x14ac:dyDescent="0.75">
      <c r="B1051" s="227">
        <v>4</v>
      </c>
      <c r="C1051" s="150">
        <v>5</v>
      </c>
      <c r="D1051" s="150">
        <v>16</v>
      </c>
      <c r="E1051" s="150"/>
      <c r="F1051" s="151" t="s">
        <v>167</v>
      </c>
      <c r="G1051" s="244" t="s">
        <v>644</v>
      </c>
      <c r="H1051" s="247" t="s">
        <v>130</v>
      </c>
      <c r="I1051" s="162"/>
      <c r="J1051" s="251">
        <v>1</v>
      </c>
      <c r="K1051" s="254">
        <v>800000</v>
      </c>
      <c r="L1051" s="255">
        <f t="shared" ref="L1051:L1061" si="80">J1051*K1051</f>
        <v>800000</v>
      </c>
      <c r="M1051" s="257"/>
      <c r="N1051" s="262"/>
      <c r="O10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102000</v>
      </c>
      <c r="P1051" s="262"/>
      <c r="Q1051" s="264" t="str" cm="1">
        <f t="array" ref="Q1051">IF(T[[#This Row],[نوع عملیات]]="فروش", _xlfn.XLOOKUP(T[[#This Row],[کالا]], _xlfn._xlws.FILTER(T[کالا], T[نوع عملیات]="خرید"), _xlfn._xlws.FILTER(T[فروشنده / مشتری], T[نوع عملیات]="خرید")), "")</f>
        <v>سرای ملی</v>
      </c>
    </row>
    <row r="1052" spans="2:17" ht="16.5" hidden="1" x14ac:dyDescent="0.75">
      <c r="B1052" s="227">
        <v>4</v>
      </c>
      <c r="C1052" s="150">
        <v>5</v>
      </c>
      <c r="D1052" s="150">
        <v>16</v>
      </c>
      <c r="E1052" s="150"/>
      <c r="F1052" s="151" t="s">
        <v>167</v>
      </c>
      <c r="G1052" s="244" t="s">
        <v>669</v>
      </c>
      <c r="H1052" s="247" t="s">
        <v>130</v>
      </c>
      <c r="I1052" s="162"/>
      <c r="J1052" s="251">
        <v>1</v>
      </c>
      <c r="K1052" s="254">
        <v>900000</v>
      </c>
      <c r="L1052" s="255">
        <f t="shared" si="80"/>
        <v>900000</v>
      </c>
      <c r="M1052" s="257">
        <v>1700000</v>
      </c>
      <c r="N1052" s="262" t="s">
        <v>611</v>
      </c>
      <c r="O10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110000</v>
      </c>
      <c r="P1052" s="262"/>
      <c r="Q1052" s="264" t="str" cm="1">
        <f t="array" ref="Q1052">IF(T[[#This Row],[نوع عملیات]]="فروش", _xlfn.XLOOKUP(T[[#This Row],[کالا]], _xlfn._xlws.FILTER(T[کالا], T[نوع عملیات]="خرید"), _xlfn._xlws.FILTER(T[فروشنده / مشتری], T[نوع عملیات]="خرید")), "")</f>
        <v>سرای ملی</v>
      </c>
    </row>
    <row r="1053" spans="2:17" ht="16.5" hidden="1" x14ac:dyDescent="0.75">
      <c r="B1053" s="227">
        <v>4</v>
      </c>
      <c r="C1053" s="150">
        <v>5</v>
      </c>
      <c r="D1053" s="150">
        <v>16</v>
      </c>
      <c r="E1053" s="150"/>
      <c r="F1053" s="151" t="s">
        <v>167</v>
      </c>
      <c r="G1053" s="244" t="s">
        <v>669</v>
      </c>
      <c r="H1053" s="247" t="s">
        <v>640</v>
      </c>
      <c r="I1053" s="162"/>
      <c r="J1053" s="251">
        <v>1</v>
      </c>
      <c r="K1053" s="254">
        <v>1600000</v>
      </c>
      <c r="L1053" s="255">
        <f t="shared" si="80"/>
        <v>1600000</v>
      </c>
      <c r="M1053" s="257"/>
      <c r="N1053" s="262"/>
      <c r="O105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810000</v>
      </c>
      <c r="P1053" s="262"/>
      <c r="Q1053" s="264" t="str" cm="1">
        <f t="array" ref="Q1053">IF(T[[#This Row],[نوع عملیات]]="فروش", _xlfn.XLOOKUP(T[[#This Row],[کالا]], _xlfn._xlws.FILTER(T[کالا], T[نوع عملیات]="خرید"), _xlfn._xlws.FILTER(T[فروشنده / مشتری], T[نوع عملیات]="خرید")), "")</f>
        <v>سرای ملی</v>
      </c>
    </row>
    <row r="1054" spans="2:17" ht="16.5" hidden="1" x14ac:dyDescent="0.75">
      <c r="B1054" s="227">
        <v>4</v>
      </c>
      <c r="C1054" s="150">
        <v>5</v>
      </c>
      <c r="D1054" s="150">
        <v>16</v>
      </c>
      <c r="E1054" s="150"/>
      <c r="F1054" s="151" t="s">
        <v>167</v>
      </c>
      <c r="G1054" s="244" t="s">
        <v>389</v>
      </c>
      <c r="H1054" s="247" t="s">
        <v>211</v>
      </c>
      <c r="I1054" s="162"/>
      <c r="J1054" s="251">
        <v>1</v>
      </c>
      <c r="K1054" s="254">
        <v>1100000</v>
      </c>
      <c r="L1054" s="255">
        <f t="shared" si="80"/>
        <v>1100000</v>
      </c>
      <c r="M1054" s="257"/>
      <c r="N1054" s="262"/>
      <c r="O105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220000</v>
      </c>
      <c r="P1054" s="262"/>
      <c r="Q1054" s="264" t="str" cm="1">
        <f t="array" ref="Q1054">IF(T[[#This Row],[نوع عملیات]]="فروش", _xlfn.XLOOKUP(T[[#This Row],[کالا]], _xlfn._xlws.FILTER(T[کالا], T[نوع عملیات]="خرید"), _xlfn._xlws.FILTER(T[فروشنده / مشتری], T[نوع عملیات]="خرید")), "")</f>
        <v>عبدل آباد</v>
      </c>
    </row>
    <row r="1055" spans="2:17" ht="16.5" hidden="1" x14ac:dyDescent="0.75">
      <c r="B1055" s="227">
        <v>4</v>
      </c>
      <c r="C1055" s="150">
        <v>5</v>
      </c>
      <c r="D1055" s="150">
        <v>16</v>
      </c>
      <c r="E1055" s="150"/>
      <c r="F1055" s="151" t="s">
        <v>167</v>
      </c>
      <c r="G1055" s="244" t="s">
        <v>563</v>
      </c>
      <c r="H1055" s="247" t="s">
        <v>211</v>
      </c>
      <c r="I1055" s="162"/>
      <c r="J1055" s="251">
        <v>1</v>
      </c>
      <c r="K1055" s="254">
        <v>300000</v>
      </c>
      <c r="L1055" s="255">
        <f t="shared" si="80"/>
        <v>300000</v>
      </c>
      <c r="M1055" s="257"/>
      <c r="N1055" s="262"/>
      <c r="O105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102000</v>
      </c>
      <c r="P1055" s="262"/>
      <c r="Q1055" s="264" t="str" cm="1">
        <f t="array" ref="Q1055">IF(T[[#This Row],[نوع عملیات]]="فروش", _xlfn.XLOOKUP(T[[#This Row],[کالا]], _xlfn._xlws.FILTER(T[کالا], T[نوع عملیات]="خرید"), _xlfn._xlws.FILTER(T[فروشنده / مشتری], T[نوع عملیات]="خرید")), "")</f>
        <v>عبدل آباد</v>
      </c>
    </row>
    <row r="1056" spans="2:17" ht="16.5" hidden="1" x14ac:dyDescent="0.75">
      <c r="B1056" s="227">
        <v>4</v>
      </c>
      <c r="C1056" s="150">
        <v>5</v>
      </c>
      <c r="D1056" s="150">
        <v>16</v>
      </c>
      <c r="E1056" s="150"/>
      <c r="F1056" s="151" t="s">
        <v>167</v>
      </c>
      <c r="G1056" s="244" t="s">
        <v>563</v>
      </c>
      <c r="H1056" s="247" t="s">
        <v>211</v>
      </c>
      <c r="I1056" s="162"/>
      <c r="J1056" s="251">
        <v>1</v>
      </c>
      <c r="K1056" s="254">
        <v>350000</v>
      </c>
      <c r="L1056" s="255">
        <f t="shared" si="80"/>
        <v>350000</v>
      </c>
      <c r="M1056" s="257"/>
      <c r="N1056" s="262"/>
      <c r="O105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1056" s="262"/>
      <c r="Q1056" s="264" t="str" cm="1">
        <f t="array" ref="Q1056">IF(T[[#This Row],[نوع عملیات]]="فروش", _xlfn.XLOOKUP(T[[#This Row],[کالا]], _xlfn._xlws.FILTER(T[کالا], T[نوع عملیات]="خرید"), _xlfn._xlws.FILTER(T[فروشنده / مشتری], T[نوع عملیات]="خرید")), "")</f>
        <v>عبدل آباد</v>
      </c>
    </row>
    <row r="1057" spans="2:17" ht="16.5" hidden="1" x14ac:dyDescent="0.75">
      <c r="B1057" s="227">
        <v>4</v>
      </c>
      <c r="C1057" s="150">
        <v>5</v>
      </c>
      <c r="D1057" s="150">
        <v>16</v>
      </c>
      <c r="E1057" s="150"/>
      <c r="F1057" s="151" t="s">
        <v>167</v>
      </c>
      <c r="G1057" s="244" t="s">
        <v>561</v>
      </c>
      <c r="H1057" s="247" t="s">
        <v>211</v>
      </c>
      <c r="I1057" s="162"/>
      <c r="J1057" s="251">
        <v>1</v>
      </c>
      <c r="K1057" s="254">
        <v>450000</v>
      </c>
      <c r="L1057" s="255">
        <f t="shared" si="80"/>
        <v>450000</v>
      </c>
      <c r="M1057" s="257">
        <v>2200000</v>
      </c>
      <c r="N1057" s="262" t="s">
        <v>299</v>
      </c>
      <c r="O105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222000</v>
      </c>
      <c r="P1057" s="262"/>
      <c r="Q1057" s="264" t="str" cm="1">
        <f t="array" ref="Q1057">IF(T[[#This Row],[نوع عملیات]]="فروش", _xlfn.XLOOKUP(T[[#This Row],[کالا]], _xlfn._xlws.FILTER(T[کالا], T[نوع عملیات]="خرید"), _xlfn._xlws.FILTER(T[فروشنده / مشتری], T[نوع عملیات]="خرید")), "")</f>
        <v>عبدل آباد</v>
      </c>
    </row>
    <row r="1058" spans="2:17" ht="16.5" hidden="1" x14ac:dyDescent="0.75">
      <c r="B1058" s="227">
        <v>4</v>
      </c>
      <c r="C1058" s="150">
        <v>5</v>
      </c>
      <c r="D1058" s="150">
        <v>16</v>
      </c>
      <c r="E1058" s="150"/>
      <c r="F1058" s="151" t="s">
        <v>167</v>
      </c>
      <c r="G1058" s="244" t="s">
        <v>654</v>
      </c>
      <c r="H1058" s="247" t="s">
        <v>211</v>
      </c>
      <c r="I1058" s="162"/>
      <c r="J1058" s="251">
        <v>1</v>
      </c>
      <c r="K1058" s="254">
        <v>1400000</v>
      </c>
      <c r="L1058" s="255">
        <f t="shared" si="80"/>
        <v>1400000</v>
      </c>
      <c r="M1058" s="257">
        <v>1400000</v>
      </c>
      <c r="N1058" s="262" t="s">
        <v>299</v>
      </c>
      <c r="O105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702000</v>
      </c>
      <c r="P1058" s="262"/>
      <c r="Q1058" s="264" t="str" cm="1">
        <f t="array" ref="Q1058">IF(T[[#This Row],[نوع عملیات]]="فروش", _xlfn.XLOOKUP(T[[#This Row],[کالا]], _xlfn._xlws.FILTER(T[کالا], T[نوع عملیات]="خرید"), _xlfn._xlws.FILTER(T[فروشنده / مشتری], T[نوع عملیات]="خرید")), "")</f>
        <v>سرای ملی</v>
      </c>
    </row>
    <row r="1059" spans="2:17" ht="16.5" hidden="1" x14ac:dyDescent="0.75">
      <c r="B1059" s="227">
        <v>4</v>
      </c>
      <c r="C1059" s="150">
        <v>5</v>
      </c>
      <c r="D1059" s="150">
        <v>16</v>
      </c>
      <c r="E1059" s="150"/>
      <c r="F1059" s="151" t="s">
        <v>167</v>
      </c>
      <c r="G1059" s="244" t="s">
        <v>671</v>
      </c>
      <c r="H1059" s="247" t="s">
        <v>211</v>
      </c>
      <c r="I1059" s="162"/>
      <c r="J1059" s="251">
        <v>1</v>
      </c>
      <c r="K1059" s="254">
        <v>800000</v>
      </c>
      <c r="L1059" s="255">
        <f t="shared" si="80"/>
        <v>800000</v>
      </c>
      <c r="M1059" s="257"/>
      <c r="N1059" s="262"/>
      <c r="O105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800000</v>
      </c>
      <c r="P1059" s="262"/>
      <c r="Q1059" s="264" t="str" cm="1">
        <f t="array" ref="Q1059">IF(T[[#This Row],[نوع عملیات]]="فروش", _xlfn.XLOOKUP(T[[#This Row],[کالا]], _xlfn._xlws.FILTER(T[کالا], T[نوع عملیات]="خرید"), _xlfn._xlws.FILTER(T[فروشنده / مشتری], T[نوع عملیات]="خرید")), "")</f>
        <v>استانبول</v>
      </c>
    </row>
    <row r="1060" spans="2:17" ht="16.5" hidden="1" x14ac:dyDescent="0.75">
      <c r="B1060" s="227">
        <v>4</v>
      </c>
      <c r="C1060" s="150">
        <v>5</v>
      </c>
      <c r="D1060" s="150">
        <v>16</v>
      </c>
      <c r="E1060" s="150"/>
      <c r="F1060" s="151" t="s">
        <v>167</v>
      </c>
      <c r="G1060" s="244" t="s">
        <v>672</v>
      </c>
      <c r="H1060" s="247" t="s">
        <v>211</v>
      </c>
      <c r="I1060" s="162"/>
      <c r="J1060" s="251">
        <v>1</v>
      </c>
      <c r="K1060" s="254">
        <v>1200000</v>
      </c>
      <c r="L1060" s="255">
        <f t="shared" si="80"/>
        <v>1200000</v>
      </c>
      <c r="M1060" s="257">
        <v>2000000</v>
      </c>
      <c r="N1060" s="262" t="s">
        <v>611</v>
      </c>
      <c r="O1060" s="263" t="e">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#DIV/0!</v>
      </c>
      <c r="P1060" s="262"/>
      <c r="Q1060" s="264" t="e" cm="1">
        <f t="array" ref="Q1060">IF(T[[#This Row],[نوع عملیات]]="فروش", _xlfn.XLOOKUP(T[[#This Row],[کالا]], _xlfn._xlws.FILTER(T[کالا], T[نوع عملیات]="خرید"), _xlfn._xlws.FILTER(T[فروشنده / مشتری], T[نوع عملیات]="خرید")), "")</f>
        <v>#N/A</v>
      </c>
    </row>
    <row r="1061" spans="2:17" ht="16.5" hidden="1" x14ac:dyDescent="0.75">
      <c r="B1061" s="227">
        <v>4</v>
      </c>
      <c r="C1061" s="150">
        <v>5</v>
      </c>
      <c r="D1061" s="150">
        <v>16</v>
      </c>
      <c r="E1061" s="150"/>
      <c r="F1061" s="151" t="s">
        <v>167</v>
      </c>
      <c r="G1061" s="244" t="s">
        <v>653</v>
      </c>
      <c r="H1061" s="247" t="s">
        <v>604</v>
      </c>
      <c r="I1061" s="162"/>
      <c r="J1061" s="251">
        <v>1</v>
      </c>
      <c r="K1061" s="254">
        <v>1450000</v>
      </c>
      <c r="L1061" s="255">
        <f t="shared" si="80"/>
        <v>1450000</v>
      </c>
      <c r="M1061" s="257"/>
      <c r="N1061" s="262"/>
      <c r="O106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754000</v>
      </c>
      <c r="P1061" s="262"/>
      <c r="Q1061" s="264" t="str" cm="1">
        <f t="array" ref="Q1061">IF(T[[#This Row],[نوع عملیات]]="فروش", _xlfn.XLOOKUP(T[[#This Row],[کالا]], _xlfn._xlws.FILTER(T[کالا], T[نوع عملیات]="خرید"), _xlfn._xlws.FILTER(T[فروشنده / مشتری], T[نوع عملیات]="خرید")), "")</f>
        <v>سرای ملی</v>
      </c>
    </row>
    <row r="1062" spans="2:17" ht="16.5" hidden="1" x14ac:dyDescent="0.75">
      <c r="B1062" s="227">
        <v>4</v>
      </c>
      <c r="C1062" s="150">
        <v>5</v>
      </c>
      <c r="D1062" s="150">
        <v>16</v>
      </c>
      <c r="E1062" s="150"/>
      <c r="F1062" s="151" t="s">
        <v>167</v>
      </c>
      <c r="G1062" s="244" t="s">
        <v>649</v>
      </c>
      <c r="H1062" s="247" t="s">
        <v>618</v>
      </c>
      <c r="I1062" s="162"/>
      <c r="J1062" s="251">
        <v>1</v>
      </c>
      <c r="K1062" s="254">
        <v>2700000</v>
      </c>
      <c r="L1062" s="255">
        <f t="shared" ref="L1062" si="81">J1062*K1062</f>
        <v>2700000</v>
      </c>
      <c r="M1062" s="257"/>
      <c r="N1062" s="262"/>
      <c r="O106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1410000</v>
      </c>
      <c r="P1062" s="262"/>
      <c r="Q1062" s="264" t="str" cm="1">
        <f t="array" ref="Q1062">IF(T[[#This Row],[نوع عملیات]]="فروش", _xlfn.XLOOKUP(T[[#This Row],[کالا]], _xlfn._xlws.FILTER(T[کالا], T[نوع عملیات]="خرید"), _xlfn._xlws.FILTER(T[فروشنده / مشتری], T[نوع عملیات]="خرید")), "")</f>
        <v>سرای ملی</v>
      </c>
    </row>
    <row r="1063" spans="2:17" ht="16.5" x14ac:dyDescent="0.75">
      <c r="B1063" s="227">
        <v>4</v>
      </c>
      <c r="C1063" s="150">
        <v>5</v>
      </c>
      <c r="D1063" s="150">
        <v>17</v>
      </c>
      <c r="E1063" s="150"/>
      <c r="F1063" s="151" t="s">
        <v>168</v>
      </c>
      <c r="G1063" s="244" t="s">
        <v>657</v>
      </c>
      <c r="H1063" s="247" t="s">
        <v>390</v>
      </c>
      <c r="I1063" s="162" t="s">
        <v>658</v>
      </c>
      <c r="J1063" s="251">
        <v>2</v>
      </c>
      <c r="K1063" s="254">
        <v>1250000</v>
      </c>
      <c r="L1063" s="255">
        <f t="shared" si="78"/>
        <v>2500000</v>
      </c>
      <c r="M1063" s="257">
        <v>2500000</v>
      </c>
      <c r="N1063" s="262" t="s">
        <v>611</v>
      </c>
      <c r="O106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63" s="262"/>
      <c r="Q1063" s="264" t="str" cm="1">
        <f t="array" ref="Q1063">IF(T[[#This Row],[نوع عملیات]]="فروش", _xlfn.XLOOKUP(T[[#This Row],[کالا]], _xlfn._xlws.FILTER(T[کالا], T[نوع عملیات]="خرید"), _xlfn._xlws.FILTER(T[فروشنده / مشتری], T[نوع عملیات]="خرید")), "")</f>
        <v/>
      </c>
    </row>
    <row r="1064" spans="2:17" ht="16.5" x14ac:dyDescent="0.75">
      <c r="B1064" s="227">
        <v>4</v>
      </c>
      <c r="C1064" s="150">
        <v>5</v>
      </c>
      <c r="D1064" s="150">
        <v>17</v>
      </c>
      <c r="E1064" s="150"/>
      <c r="F1064" s="151" t="s">
        <v>168</v>
      </c>
      <c r="G1064" s="244" t="s">
        <v>659</v>
      </c>
      <c r="H1064" s="247" t="s">
        <v>390</v>
      </c>
      <c r="I1064" s="162" t="s">
        <v>658</v>
      </c>
      <c r="J1064" s="251">
        <v>5</v>
      </c>
      <c r="K1064" s="254">
        <v>1380000</v>
      </c>
      <c r="L1064" s="255">
        <f t="shared" si="78"/>
        <v>6900000</v>
      </c>
      <c r="M1064" s="257"/>
      <c r="N1064" s="262"/>
      <c r="O106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64" s="262"/>
      <c r="Q1064" s="264" t="str" cm="1">
        <f t="array" ref="Q1064">IF(T[[#This Row],[نوع عملیات]]="فروش", _xlfn.XLOOKUP(T[[#This Row],[کالا]], _xlfn._xlws.FILTER(T[کالا], T[نوع عملیات]="خرید"), _xlfn._xlws.FILTER(T[فروشنده / مشتری], T[نوع عملیات]="خرید")), "")</f>
        <v/>
      </c>
    </row>
    <row r="1065" spans="2:17" ht="16.5" x14ac:dyDescent="0.75">
      <c r="B1065" s="227">
        <v>4</v>
      </c>
      <c r="C1065" s="150">
        <v>5</v>
      </c>
      <c r="D1065" s="150">
        <v>17</v>
      </c>
      <c r="E1065" s="150"/>
      <c r="F1065" s="151" t="s">
        <v>168</v>
      </c>
      <c r="G1065" s="244" t="s">
        <v>660</v>
      </c>
      <c r="H1065" s="247" t="s">
        <v>390</v>
      </c>
      <c r="I1065" s="162" t="s">
        <v>658</v>
      </c>
      <c r="J1065" s="251">
        <v>2</v>
      </c>
      <c r="K1065" s="254">
        <v>1480000</v>
      </c>
      <c r="L1065" s="255">
        <f t="shared" si="78"/>
        <v>2960000</v>
      </c>
      <c r="M1065" s="257"/>
      <c r="N1065" s="262"/>
      <c r="O106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65" s="262"/>
      <c r="Q1065" s="264" t="str" cm="1">
        <f t="array" ref="Q1065">IF(T[[#This Row],[نوع عملیات]]="فروش", _xlfn.XLOOKUP(T[[#This Row],[کالا]], _xlfn._xlws.FILTER(T[کالا], T[نوع عملیات]="خرید"), _xlfn._xlws.FILTER(T[فروشنده / مشتری], T[نوع عملیات]="خرید")), "")</f>
        <v/>
      </c>
    </row>
    <row r="1066" spans="2:17" ht="16.5" x14ac:dyDescent="0.75">
      <c r="B1066" s="227">
        <v>4</v>
      </c>
      <c r="C1066" s="150">
        <v>5</v>
      </c>
      <c r="D1066" s="150">
        <v>17</v>
      </c>
      <c r="E1066" s="150"/>
      <c r="F1066" s="151" t="s">
        <v>168</v>
      </c>
      <c r="G1066" s="244" t="s">
        <v>661</v>
      </c>
      <c r="H1066" s="247" t="s">
        <v>390</v>
      </c>
      <c r="I1066" s="162" t="s">
        <v>658</v>
      </c>
      <c r="J1066" s="251">
        <v>1</v>
      </c>
      <c r="K1066" s="254">
        <v>1050000</v>
      </c>
      <c r="L1066" s="255">
        <f t="shared" si="78"/>
        <v>1050000</v>
      </c>
      <c r="M1066" s="257"/>
      <c r="N1066" s="262"/>
      <c r="O106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66" s="262"/>
      <c r="Q1066" s="264" t="str" cm="1">
        <f t="array" ref="Q1066">IF(T[[#This Row],[نوع عملیات]]="فروش", _xlfn.XLOOKUP(T[[#This Row],[کالا]], _xlfn._xlws.FILTER(T[کالا], T[نوع عملیات]="خرید"), _xlfn._xlws.FILTER(T[فروشنده / مشتری], T[نوع عملیات]="خرید")), "")</f>
        <v/>
      </c>
    </row>
    <row r="1067" spans="2:17" ht="16.5" x14ac:dyDescent="0.75">
      <c r="B1067" s="227">
        <v>4</v>
      </c>
      <c r="C1067" s="150">
        <v>5</v>
      </c>
      <c r="D1067" s="150">
        <v>17</v>
      </c>
      <c r="E1067" s="150"/>
      <c r="F1067" s="151" t="s">
        <v>168</v>
      </c>
      <c r="G1067" s="244" t="s">
        <v>667</v>
      </c>
      <c r="H1067" s="247" t="s">
        <v>390</v>
      </c>
      <c r="I1067" s="162" t="s">
        <v>658</v>
      </c>
      <c r="J1067" s="251">
        <v>6</v>
      </c>
      <c r="K1067" s="254">
        <v>1280000</v>
      </c>
      <c r="L1067" s="255">
        <f t="shared" si="78"/>
        <v>7680000</v>
      </c>
      <c r="M1067" s="257">
        <v>18590000</v>
      </c>
      <c r="N1067" s="262" t="s">
        <v>611</v>
      </c>
      <c r="O106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67" s="262"/>
      <c r="Q1067" s="264" t="str" cm="1">
        <f t="array" ref="Q1067">IF(T[[#This Row],[نوع عملیات]]="فروش", _xlfn.XLOOKUP(T[[#This Row],[کالا]], _xlfn._xlws.FILTER(T[کالا], T[نوع عملیات]="خرید"), _xlfn._xlws.FILTER(T[فروشنده / مشتری], T[نوع عملیات]="خرید")), "")</f>
        <v/>
      </c>
    </row>
    <row r="1068" spans="2:17" ht="16.5" x14ac:dyDescent="0.75">
      <c r="B1068" s="227">
        <v>4</v>
      </c>
      <c r="C1068" s="150">
        <v>5</v>
      </c>
      <c r="D1068" s="150">
        <v>17</v>
      </c>
      <c r="E1068" s="150"/>
      <c r="F1068" s="151" t="s">
        <v>168</v>
      </c>
      <c r="G1068" s="244" t="s">
        <v>679</v>
      </c>
      <c r="H1068" s="247" t="s">
        <v>390</v>
      </c>
      <c r="I1068" s="162" t="s">
        <v>658</v>
      </c>
      <c r="J1068" s="251">
        <v>8</v>
      </c>
      <c r="K1068" s="254">
        <v>240000</v>
      </c>
      <c r="L1068" s="255">
        <f t="shared" ref="L1068:L1073" si="82">J1068*K1068</f>
        <v>1920000</v>
      </c>
      <c r="M1068" s="257"/>
      <c r="N1068" s="262"/>
      <c r="O106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68" s="262"/>
      <c r="Q1068" s="264" t="str" cm="1">
        <f t="array" ref="Q1068">IF(T[[#This Row],[نوع عملیات]]="فروش", _xlfn.XLOOKUP(T[[#This Row],[کالا]], _xlfn._xlws.FILTER(T[کالا], T[نوع عملیات]="خرید"), _xlfn._xlws.FILTER(T[فروشنده / مشتری], T[نوع عملیات]="خرید")), "")</f>
        <v/>
      </c>
    </row>
    <row r="1069" spans="2:17" ht="16.5" x14ac:dyDescent="0.75">
      <c r="B1069" s="227">
        <v>4</v>
      </c>
      <c r="C1069" s="150">
        <v>5</v>
      </c>
      <c r="D1069" s="150">
        <v>17</v>
      </c>
      <c r="E1069" s="150"/>
      <c r="F1069" s="151" t="s">
        <v>168</v>
      </c>
      <c r="G1069" s="244" t="s">
        <v>680</v>
      </c>
      <c r="H1069" s="247" t="s">
        <v>390</v>
      </c>
      <c r="I1069" s="162" t="s">
        <v>658</v>
      </c>
      <c r="J1069" s="251">
        <v>6</v>
      </c>
      <c r="K1069" s="254">
        <v>590000</v>
      </c>
      <c r="L1069" s="255">
        <f t="shared" si="82"/>
        <v>3540000</v>
      </c>
      <c r="M1069" s="257"/>
      <c r="N1069" s="262"/>
      <c r="O106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69" s="262"/>
      <c r="Q1069" s="264" t="str" cm="1">
        <f t="array" ref="Q1069">IF(T[[#This Row],[نوع عملیات]]="فروش", _xlfn.XLOOKUP(T[[#This Row],[کالا]], _xlfn._xlws.FILTER(T[کالا], T[نوع عملیات]="خرید"), _xlfn._xlws.FILTER(T[فروشنده / مشتری], T[نوع عملیات]="خرید")), "")</f>
        <v/>
      </c>
    </row>
    <row r="1070" spans="2:17" ht="16.5" x14ac:dyDescent="0.75">
      <c r="B1070" s="227">
        <v>4</v>
      </c>
      <c r="C1070" s="150">
        <v>5</v>
      </c>
      <c r="D1070" s="150">
        <v>17</v>
      </c>
      <c r="E1070" s="150"/>
      <c r="F1070" s="151" t="s">
        <v>168</v>
      </c>
      <c r="G1070" s="244" t="s">
        <v>681</v>
      </c>
      <c r="H1070" s="247" t="s">
        <v>390</v>
      </c>
      <c r="I1070" s="162" t="s">
        <v>658</v>
      </c>
      <c r="J1070" s="251">
        <v>2</v>
      </c>
      <c r="K1070" s="254">
        <v>245000</v>
      </c>
      <c r="L1070" s="255">
        <f t="shared" si="82"/>
        <v>490000</v>
      </c>
      <c r="M1070" s="257">
        <v>5950000</v>
      </c>
      <c r="N1070" s="262" t="s">
        <v>611</v>
      </c>
      <c r="O107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70" s="262"/>
      <c r="Q1070" s="264" t="str" cm="1">
        <f t="array" ref="Q1070">IF(T[[#This Row],[نوع عملیات]]="فروش", _xlfn.XLOOKUP(T[[#This Row],[کالا]], _xlfn._xlws.FILTER(T[کالا], T[نوع عملیات]="خرید"), _xlfn._xlws.FILTER(T[فروشنده / مشتری], T[نوع عملیات]="خرید")), "")</f>
        <v/>
      </c>
    </row>
    <row r="1071" spans="2:17" ht="16.5" x14ac:dyDescent="0.75">
      <c r="B1071" s="227">
        <v>4</v>
      </c>
      <c r="C1071" s="150">
        <v>5</v>
      </c>
      <c r="D1071" s="150">
        <v>17</v>
      </c>
      <c r="E1071" s="150"/>
      <c r="F1071" s="151" t="s">
        <v>168</v>
      </c>
      <c r="G1071" s="244" t="s">
        <v>682</v>
      </c>
      <c r="H1071" s="247" t="s">
        <v>390</v>
      </c>
      <c r="I1071" s="162" t="s">
        <v>658</v>
      </c>
      <c r="J1071" s="251">
        <v>2</v>
      </c>
      <c r="K1071" s="254">
        <v>1000000</v>
      </c>
      <c r="L1071" s="255">
        <f t="shared" si="82"/>
        <v>2000000</v>
      </c>
      <c r="M1071" s="257"/>
      <c r="N1071" s="262"/>
      <c r="O107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71" s="262"/>
      <c r="Q1071" s="264" t="str" cm="1">
        <f t="array" ref="Q1071">IF(T[[#This Row],[نوع عملیات]]="فروش", _xlfn.XLOOKUP(T[[#This Row],[کالا]], _xlfn._xlws.FILTER(T[کالا], T[نوع عملیات]="خرید"), _xlfn._xlws.FILTER(T[فروشنده / مشتری], T[نوع عملیات]="خرید")), "")</f>
        <v/>
      </c>
    </row>
    <row r="1072" spans="2:17" ht="16.5" x14ac:dyDescent="0.75">
      <c r="B1072" s="227">
        <v>4</v>
      </c>
      <c r="C1072" s="150">
        <v>5</v>
      </c>
      <c r="D1072" s="150">
        <v>17</v>
      </c>
      <c r="E1072" s="150"/>
      <c r="F1072" s="151" t="s">
        <v>168</v>
      </c>
      <c r="G1072" s="244" t="s">
        <v>683</v>
      </c>
      <c r="H1072" s="247" t="s">
        <v>390</v>
      </c>
      <c r="I1072" s="162" t="s">
        <v>658</v>
      </c>
      <c r="J1072" s="251">
        <v>2</v>
      </c>
      <c r="K1072" s="254">
        <v>1250000</v>
      </c>
      <c r="L1072" s="255">
        <f t="shared" si="82"/>
        <v>2500000</v>
      </c>
      <c r="M1072" s="257"/>
      <c r="N1072" s="262"/>
      <c r="O107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72" s="262"/>
      <c r="Q1072" s="264" t="str" cm="1">
        <f t="array" ref="Q1072">IF(T[[#This Row],[نوع عملیات]]="فروش", _xlfn.XLOOKUP(T[[#This Row],[کالا]], _xlfn._xlws.FILTER(T[کالا], T[نوع عملیات]="خرید"), _xlfn._xlws.FILTER(T[فروشنده / مشتری], T[نوع عملیات]="خرید")), "")</f>
        <v/>
      </c>
    </row>
    <row r="1073" spans="2:17" ht="16.5" x14ac:dyDescent="0.75">
      <c r="B1073" s="227">
        <v>4</v>
      </c>
      <c r="C1073" s="150">
        <v>5</v>
      </c>
      <c r="D1073" s="150">
        <v>17</v>
      </c>
      <c r="E1073" s="150"/>
      <c r="F1073" s="151" t="s">
        <v>168</v>
      </c>
      <c r="G1073" s="244" t="s">
        <v>667</v>
      </c>
      <c r="H1073" s="247" t="s">
        <v>390</v>
      </c>
      <c r="I1073" s="162" t="s">
        <v>658</v>
      </c>
      <c r="J1073" s="251">
        <v>2</v>
      </c>
      <c r="K1073" s="254">
        <v>1250000</v>
      </c>
      <c r="L1073" s="255">
        <f t="shared" si="82"/>
        <v>2500000</v>
      </c>
      <c r="M1073" s="257">
        <v>7000000</v>
      </c>
      <c r="N1073" s="262" t="s">
        <v>611</v>
      </c>
      <c r="O107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73" s="262"/>
      <c r="Q1073" s="264" t="str" cm="1">
        <f t="array" ref="Q1073">IF(T[[#This Row],[نوع عملیات]]="فروش", _xlfn.XLOOKUP(T[[#This Row],[کالا]], _xlfn._xlws.FILTER(T[کالا], T[نوع عملیات]="خرید"), _xlfn._xlws.FILTER(T[فروشنده / مشتری], T[نوع عملیات]="خرید")), "")</f>
        <v/>
      </c>
    </row>
    <row r="1074" spans="2:17" ht="16.5" hidden="1" x14ac:dyDescent="0.75">
      <c r="B1074" s="227">
        <v>4</v>
      </c>
      <c r="C1074" s="150">
        <v>5</v>
      </c>
      <c r="D1074" s="150">
        <v>17</v>
      </c>
      <c r="E1074" s="150"/>
      <c r="F1074" s="151" t="s">
        <v>302</v>
      </c>
      <c r="G1074" s="244"/>
      <c r="H1074" s="247" t="s">
        <v>352</v>
      </c>
      <c r="I1074" s="162"/>
      <c r="J1074" s="251"/>
      <c r="K1074" s="254"/>
      <c r="L1074" s="255">
        <f t="shared" si="78"/>
        <v>0</v>
      </c>
      <c r="M1074" s="257">
        <v>4000000</v>
      </c>
      <c r="N1074" s="262" t="s">
        <v>611</v>
      </c>
      <c r="O107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74" s="262"/>
      <c r="Q1074" s="264" t="str" cm="1">
        <f t="array" ref="Q1074">IF(T[[#This Row],[نوع عملیات]]="فروش", _xlfn.XLOOKUP(T[[#This Row],[کالا]], _xlfn._xlws.FILTER(T[کالا], T[نوع عملیات]="خرید"), _xlfn._xlws.FILTER(T[فروشنده / مشتری], T[نوع عملیات]="خرید")), "")</f>
        <v/>
      </c>
    </row>
    <row r="1075" spans="2:17" ht="16.5" hidden="1" x14ac:dyDescent="0.75">
      <c r="B1075" s="227">
        <v>4</v>
      </c>
      <c r="C1075" s="150">
        <v>5</v>
      </c>
      <c r="D1075" s="150">
        <v>17</v>
      </c>
      <c r="E1075" s="150"/>
      <c r="F1075" s="151" t="s">
        <v>302</v>
      </c>
      <c r="G1075" s="244"/>
      <c r="H1075" s="247" t="s">
        <v>480</v>
      </c>
      <c r="I1075" s="162"/>
      <c r="J1075" s="251"/>
      <c r="K1075" s="254"/>
      <c r="L1075" s="255">
        <f t="shared" si="74"/>
        <v>0</v>
      </c>
      <c r="M1075" s="257">
        <v>3870000</v>
      </c>
      <c r="N1075" s="262" t="s">
        <v>611</v>
      </c>
      <c r="O107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75" s="262"/>
      <c r="Q1075" s="264" t="str" cm="1">
        <f t="array" ref="Q1075">IF(T[[#This Row],[نوع عملیات]]="فروش", _xlfn.XLOOKUP(T[[#This Row],[کالا]], _xlfn._xlws.FILTER(T[کالا], T[نوع عملیات]="خرید"), _xlfn._xlws.FILTER(T[فروشنده / مشتری], T[نوع عملیات]="خرید")), "")</f>
        <v/>
      </c>
    </row>
    <row r="1076" spans="2:17" ht="16.5" hidden="1" x14ac:dyDescent="0.75">
      <c r="B1076" s="227">
        <v>4</v>
      </c>
      <c r="C1076" s="150">
        <v>5</v>
      </c>
      <c r="D1076" s="150">
        <v>18</v>
      </c>
      <c r="E1076" s="150" t="str">
        <f t="shared" ref="E1076:E1088" si="83">CHOOSE(C1076, "فروردین", "اردیبهشت", "خرداد", "تیر", "مرداد", "شهریور", "مهر", "آبان", "آذر", "دی", "بهمن", "اسفند")</f>
        <v>مرداد</v>
      </c>
      <c r="F1076" s="151" t="s">
        <v>167</v>
      </c>
      <c r="G1076" s="244" t="s">
        <v>659</v>
      </c>
      <c r="H1076" s="247" t="s">
        <v>539</v>
      </c>
      <c r="I1076" s="162"/>
      <c r="J1076" s="251">
        <v>1</v>
      </c>
      <c r="K1076" s="254">
        <v>1900000</v>
      </c>
      <c r="L1076" s="255">
        <f t="shared" ref="L1076:L1088" si="84">J1076*K1076</f>
        <v>1900000</v>
      </c>
      <c r="M1076" s="257"/>
      <c r="N1076" s="262"/>
      <c r="O107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520000</v>
      </c>
      <c r="P1076" s="262"/>
      <c r="Q1076" s="264" t="str" cm="1">
        <f t="array" ref="Q1076">IF(T[[#This Row],[نوع عملیات]]="فروش", _xlfn.XLOOKUP(T[[#This Row],[کالا]], _xlfn._xlws.FILTER(T[کالا], T[نوع عملیات]="خرید"), _xlfn._xlws.FILTER(T[فروشنده / مشتری], T[نوع عملیات]="خرید")), "")</f>
        <v>عبدل آباد</v>
      </c>
    </row>
    <row r="1077" spans="2:17" ht="16.5" hidden="1" x14ac:dyDescent="0.75">
      <c r="B1077" s="227">
        <v>4</v>
      </c>
      <c r="C1077" s="150">
        <v>5</v>
      </c>
      <c r="D1077" s="150">
        <v>19</v>
      </c>
      <c r="E1077" s="150" t="str">
        <f t="shared" si="83"/>
        <v>مرداد</v>
      </c>
      <c r="F1077" s="151" t="s">
        <v>167</v>
      </c>
      <c r="G1077" s="244" t="s">
        <v>638</v>
      </c>
      <c r="H1077" s="247" t="s">
        <v>435</v>
      </c>
      <c r="I1077" s="162"/>
      <c r="J1077" s="251">
        <v>1</v>
      </c>
      <c r="K1077" s="254">
        <v>1800000</v>
      </c>
      <c r="L1077" s="255">
        <f t="shared" si="84"/>
        <v>1800000</v>
      </c>
      <c r="M1077" s="257"/>
      <c r="N1077" s="262"/>
      <c r="O107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610000</v>
      </c>
      <c r="P1077" s="262"/>
      <c r="Q1077" s="264" t="str" cm="1">
        <f t="array" ref="Q1077">IF(T[[#This Row],[نوع عملیات]]="فروش", _xlfn.XLOOKUP(T[[#This Row],[کالا]], _xlfn._xlws.FILTER(T[کالا], T[نوع عملیات]="خرید"), _xlfn._xlws.FILTER(T[فروشنده / مشتری], T[نوع عملیات]="خرید")), "")</f>
        <v>عبدل آباد</v>
      </c>
    </row>
    <row r="1078" spans="2:17" ht="16.5" hidden="1" x14ac:dyDescent="0.75">
      <c r="B1078" s="227">
        <v>4</v>
      </c>
      <c r="C1078" s="150">
        <v>5</v>
      </c>
      <c r="D1078" s="150">
        <v>19</v>
      </c>
      <c r="E1078" s="150" t="str">
        <f t="shared" si="83"/>
        <v>مرداد</v>
      </c>
      <c r="F1078" s="151" t="s">
        <v>167</v>
      </c>
      <c r="G1078" s="244" t="s">
        <v>657</v>
      </c>
      <c r="H1078" s="247" t="s">
        <v>435</v>
      </c>
      <c r="I1078" s="162"/>
      <c r="J1078" s="251">
        <v>1</v>
      </c>
      <c r="K1078" s="254">
        <v>2200000</v>
      </c>
      <c r="L1078" s="255">
        <f t="shared" si="84"/>
        <v>2200000</v>
      </c>
      <c r="M1078" s="257"/>
      <c r="N1078" s="262"/>
      <c r="O107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950000</v>
      </c>
      <c r="P1078" s="262"/>
      <c r="Q1078" s="264" t="str" cm="1">
        <f t="array" ref="Q1078">IF(T[[#This Row],[نوع عملیات]]="فروش", _xlfn.XLOOKUP(T[[#This Row],[کالا]], _xlfn._xlws.FILTER(T[کالا], T[نوع عملیات]="خرید"), _xlfn._xlws.FILTER(T[فروشنده / مشتری], T[نوع عملیات]="خرید")), "")</f>
        <v>عبدل آباد</v>
      </c>
    </row>
    <row r="1079" spans="2:17" ht="16.5" hidden="1" x14ac:dyDescent="0.75">
      <c r="B1079" s="227">
        <v>4</v>
      </c>
      <c r="C1079" s="150">
        <v>5</v>
      </c>
      <c r="D1079" s="150">
        <v>19</v>
      </c>
      <c r="E1079" s="150" t="str">
        <f t="shared" si="83"/>
        <v>مرداد</v>
      </c>
      <c r="F1079" s="151" t="s">
        <v>167</v>
      </c>
      <c r="G1079" s="244" t="s">
        <v>457</v>
      </c>
      <c r="H1079" s="247" t="s">
        <v>435</v>
      </c>
      <c r="I1079" s="162"/>
      <c r="J1079" s="251">
        <v>1</v>
      </c>
      <c r="K1079" s="254">
        <v>1400000</v>
      </c>
      <c r="L1079" s="255">
        <f t="shared" si="84"/>
        <v>1400000</v>
      </c>
      <c r="M1079" s="257"/>
      <c r="N1079" s="262"/>
      <c r="O107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1079" s="262"/>
      <c r="Q1079" s="264" t="str" cm="1">
        <f t="array" ref="Q1079">IF(T[[#This Row],[نوع عملیات]]="فروش", _xlfn.XLOOKUP(T[[#This Row],[کالا]], _xlfn._xlws.FILTER(T[کالا], T[نوع عملیات]="خرید"), _xlfn._xlws.FILTER(T[فروشنده / مشتری], T[نوع عملیات]="خرید")), "")</f>
        <v>عبدل آباد</v>
      </c>
    </row>
    <row r="1080" spans="2:17" ht="16.5" hidden="1" x14ac:dyDescent="0.75">
      <c r="B1080" s="227">
        <v>4</v>
      </c>
      <c r="C1080" s="150">
        <v>5</v>
      </c>
      <c r="D1080" s="150">
        <v>19</v>
      </c>
      <c r="E1080" s="150" t="str">
        <f t="shared" si="83"/>
        <v>مرداد</v>
      </c>
      <c r="F1080" s="151" t="s">
        <v>167</v>
      </c>
      <c r="G1080" s="244" t="s">
        <v>667</v>
      </c>
      <c r="H1080" s="247" t="s">
        <v>435</v>
      </c>
      <c r="I1080" s="162"/>
      <c r="J1080" s="251">
        <v>1</v>
      </c>
      <c r="K1080" s="254">
        <v>1700000</v>
      </c>
      <c r="L1080" s="255">
        <f t="shared" si="84"/>
        <v>1700000</v>
      </c>
      <c r="M1080" s="257"/>
      <c r="N1080" s="262"/>
      <c r="O108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425000</v>
      </c>
      <c r="P1080" s="262"/>
      <c r="Q1080" s="264" t="str" cm="1">
        <f t="array" ref="Q1080">IF(T[[#This Row],[نوع عملیات]]="فروش", _xlfn.XLOOKUP(T[[#This Row],[کالا]], _xlfn._xlws.FILTER(T[کالا], T[نوع عملیات]="خرید"), _xlfn._xlws.FILTER(T[فروشنده / مشتری], T[نوع عملیات]="خرید")), "")</f>
        <v>عبدل آباد</v>
      </c>
    </row>
    <row r="1081" spans="2:17" ht="16.5" hidden="1" x14ac:dyDescent="0.75">
      <c r="B1081" s="227">
        <v>4</v>
      </c>
      <c r="C1081" s="150">
        <v>5</v>
      </c>
      <c r="D1081" s="150">
        <v>19</v>
      </c>
      <c r="E1081" s="150" t="str">
        <f t="shared" si="83"/>
        <v>مرداد</v>
      </c>
      <c r="F1081" s="151" t="s">
        <v>167</v>
      </c>
      <c r="G1081" s="244" t="s">
        <v>561</v>
      </c>
      <c r="H1081" s="247" t="s">
        <v>435</v>
      </c>
      <c r="I1081" s="162"/>
      <c r="J1081" s="251">
        <v>1</v>
      </c>
      <c r="K1081" s="254">
        <v>400000</v>
      </c>
      <c r="L1081" s="255">
        <f t="shared" si="84"/>
        <v>400000</v>
      </c>
      <c r="M1081" s="257"/>
      <c r="N1081" s="262"/>
      <c r="O108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172000</v>
      </c>
      <c r="P1081" s="262"/>
      <c r="Q1081" s="264" t="str" cm="1">
        <f t="array" ref="Q1081">IF(T[[#This Row],[نوع عملیات]]="فروش", _xlfn.XLOOKUP(T[[#This Row],[کالا]], _xlfn._xlws.FILTER(T[کالا], T[نوع عملیات]="خرید"), _xlfn._xlws.FILTER(T[فروشنده / مشتری], T[نوع عملیات]="خرید")), "")</f>
        <v>عبدل آباد</v>
      </c>
    </row>
    <row r="1082" spans="2:17" ht="16.5" hidden="1" x14ac:dyDescent="0.75">
      <c r="B1082" s="227">
        <v>4</v>
      </c>
      <c r="C1082" s="150">
        <v>5</v>
      </c>
      <c r="D1082" s="150">
        <v>19</v>
      </c>
      <c r="E1082" s="150" t="str">
        <f t="shared" si="83"/>
        <v>مرداد</v>
      </c>
      <c r="F1082" s="151" t="s">
        <v>167</v>
      </c>
      <c r="G1082" s="244" t="s">
        <v>679</v>
      </c>
      <c r="H1082" s="247" t="s">
        <v>435</v>
      </c>
      <c r="I1082" s="162"/>
      <c r="J1082" s="251">
        <v>1</v>
      </c>
      <c r="K1082" s="254">
        <v>400000</v>
      </c>
      <c r="L1082" s="255">
        <f t="shared" si="84"/>
        <v>400000</v>
      </c>
      <c r="M1082" s="257"/>
      <c r="N1082" s="262"/>
      <c r="O108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160000</v>
      </c>
      <c r="P1082" s="262"/>
      <c r="Q1082" s="264" t="str" cm="1">
        <f t="array" ref="Q1082">IF(T[[#This Row],[نوع عملیات]]="فروش", _xlfn.XLOOKUP(T[[#This Row],[کالا]], _xlfn._xlws.FILTER(T[کالا], T[نوع عملیات]="خرید"), _xlfn._xlws.FILTER(T[فروشنده / مشتری], T[نوع عملیات]="خرید")), "")</f>
        <v>عبدل آباد</v>
      </c>
    </row>
    <row r="1083" spans="2:17" ht="16.5" hidden="1" x14ac:dyDescent="0.75">
      <c r="B1083" s="227">
        <v>4</v>
      </c>
      <c r="C1083" s="150">
        <v>5</v>
      </c>
      <c r="D1083" s="150">
        <v>19</v>
      </c>
      <c r="E1083" s="150" t="str">
        <f t="shared" si="83"/>
        <v>مرداد</v>
      </c>
      <c r="F1083" s="151" t="s">
        <v>167</v>
      </c>
      <c r="G1083" s="244" t="s">
        <v>271</v>
      </c>
      <c r="H1083" s="247" t="s">
        <v>478</v>
      </c>
      <c r="I1083" s="162"/>
      <c r="J1083" s="251">
        <v>1</v>
      </c>
      <c r="K1083" s="254">
        <v>800000</v>
      </c>
      <c r="L1083" s="255">
        <f t="shared" si="84"/>
        <v>800000</v>
      </c>
      <c r="M1083" s="257"/>
      <c r="N1083" s="262"/>
      <c r="O108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222000</v>
      </c>
      <c r="P1083" s="262"/>
      <c r="Q1083" s="264" t="str" cm="1">
        <f t="array" ref="Q1083">IF(T[[#This Row],[نوع عملیات]]="فروش", _xlfn.XLOOKUP(T[[#This Row],[کالا]], _xlfn._xlws.FILTER(T[کالا], T[نوع عملیات]="خرید"), _xlfn._xlws.FILTER(T[فروشنده / مشتری], T[نوع عملیات]="خرید")), "")</f>
        <v>بازار</v>
      </c>
    </row>
    <row r="1084" spans="2:17" ht="16.5" hidden="1" x14ac:dyDescent="0.75">
      <c r="B1084" s="227">
        <v>4</v>
      </c>
      <c r="C1084" s="150">
        <v>5</v>
      </c>
      <c r="D1084" s="150">
        <v>20</v>
      </c>
      <c r="E1084" s="150" t="str">
        <f t="shared" si="83"/>
        <v>مرداد</v>
      </c>
      <c r="F1084" s="151" t="s">
        <v>167</v>
      </c>
      <c r="G1084" s="244" t="s">
        <v>668</v>
      </c>
      <c r="H1084" s="247" t="s">
        <v>211</v>
      </c>
      <c r="I1084" s="162"/>
      <c r="J1084" s="251">
        <v>1</v>
      </c>
      <c r="K1084" s="254">
        <v>900000</v>
      </c>
      <c r="L1084" s="255">
        <f t="shared" si="84"/>
        <v>900000</v>
      </c>
      <c r="M1084" s="257">
        <v>900000</v>
      </c>
      <c r="N1084" s="262" t="s">
        <v>299</v>
      </c>
      <c r="O108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207000</v>
      </c>
      <c r="P1084" s="262"/>
      <c r="Q1084" s="264" t="str" cm="1">
        <f t="array" ref="Q1084">IF(T[[#This Row],[نوع عملیات]]="فروش", _xlfn.XLOOKUP(T[[#This Row],[کالا]], _xlfn._xlws.FILTER(T[کالا], T[نوع عملیات]="خرید"), _xlfn._xlws.FILTER(T[فروشنده / مشتری], T[نوع عملیات]="خرید")), "")</f>
        <v>سرای ملی</v>
      </c>
    </row>
    <row r="1085" spans="2:17" ht="16.5" hidden="1" x14ac:dyDescent="0.75">
      <c r="B1085" s="227">
        <v>4</v>
      </c>
      <c r="C1085" s="150">
        <v>5</v>
      </c>
      <c r="D1085" s="150">
        <v>20</v>
      </c>
      <c r="E1085" s="150" t="str">
        <f t="shared" si="83"/>
        <v>مرداد</v>
      </c>
      <c r="F1085" s="151" t="s">
        <v>167</v>
      </c>
      <c r="G1085" s="244" t="s">
        <v>361</v>
      </c>
      <c r="H1085" s="247" t="s">
        <v>282</v>
      </c>
      <c r="I1085" s="162"/>
      <c r="J1085" s="251">
        <v>1</v>
      </c>
      <c r="K1085" s="254">
        <v>800000</v>
      </c>
      <c r="L1085" s="255">
        <f t="shared" si="84"/>
        <v>800000</v>
      </c>
      <c r="M1085" s="257">
        <v>800000</v>
      </c>
      <c r="N1085" s="262" t="s">
        <v>611</v>
      </c>
      <c r="O108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116666.66666666663</v>
      </c>
      <c r="P1085" s="262"/>
      <c r="Q1085" s="264" t="str" cm="1">
        <f t="array" ref="Q1085">IF(T[[#This Row],[نوع عملیات]]="فروش", _xlfn.XLOOKUP(T[[#This Row],[کالا]], _xlfn._xlws.FILTER(T[کالا], T[نوع عملیات]="خرید"), _xlfn._xlws.FILTER(T[فروشنده / مشتری], T[نوع عملیات]="خرید")), "")</f>
        <v>بازار</v>
      </c>
    </row>
    <row r="1086" spans="2:17" ht="16.5" hidden="1" x14ac:dyDescent="0.75">
      <c r="B1086" s="227">
        <v>4</v>
      </c>
      <c r="C1086" s="150">
        <v>5</v>
      </c>
      <c r="D1086" s="150">
        <v>20</v>
      </c>
      <c r="E1086" s="150" t="str">
        <f t="shared" si="83"/>
        <v>مرداد</v>
      </c>
      <c r="F1086" s="151" t="s">
        <v>167</v>
      </c>
      <c r="G1086" s="244" t="s">
        <v>468</v>
      </c>
      <c r="H1086" s="247" t="s">
        <v>211</v>
      </c>
      <c r="I1086" s="162"/>
      <c r="J1086" s="251">
        <v>1</v>
      </c>
      <c r="K1086" s="254">
        <v>350000</v>
      </c>
      <c r="L1086" s="255">
        <f t="shared" si="84"/>
        <v>350000</v>
      </c>
      <c r="M1086" s="257">
        <v>350000</v>
      </c>
      <c r="N1086" s="262" t="s">
        <v>299</v>
      </c>
      <c r="O108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1086" s="262"/>
      <c r="Q1086" s="264" t="str" cm="1">
        <f t="array" ref="Q1086">IF(T[[#This Row],[نوع عملیات]]="فروش", _xlfn.XLOOKUP(T[[#This Row],[کالا]], _xlfn._xlws.FILTER(T[کالا], T[نوع عملیات]="خرید"), _xlfn._xlws.FILTER(T[فروشنده / مشتری], T[نوع عملیات]="خرید")), "")</f>
        <v>سرای ملی</v>
      </c>
    </row>
    <row r="1087" spans="2:17" ht="16.5" hidden="1" x14ac:dyDescent="0.75">
      <c r="B1087" s="227">
        <v>4</v>
      </c>
      <c r="C1087" s="150">
        <v>5</v>
      </c>
      <c r="D1087" s="150">
        <v>20</v>
      </c>
      <c r="E1087" s="150" t="str">
        <f t="shared" si="83"/>
        <v>مرداد</v>
      </c>
      <c r="F1087" s="151" t="s">
        <v>167</v>
      </c>
      <c r="G1087" s="244" t="s">
        <v>361</v>
      </c>
      <c r="H1087" s="247" t="s">
        <v>211</v>
      </c>
      <c r="I1087" s="162"/>
      <c r="J1087" s="251">
        <v>1</v>
      </c>
      <c r="K1087" s="254">
        <v>800000</v>
      </c>
      <c r="L1087" s="255">
        <f t="shared" si="84"/>
        <v>800000</v>
      </c>
      <c r="M1087" s="257">
        <v>800000</v>
      </c>
      <c r="N1087" s="262" t="s">
        <v>611</v>
      </c>
      <c r="O108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116666.66666666663</v>
      </c>
      <c r="P1087" s="262"/>
      <c r="Q1087" s="264" t="str" cm="1">
        <f t="array" ref="Q1087">IF(T[[#This Row],[نوع عملیات]]="فروش", _xlfn.XLOOKUP(T[[#This Row],[کالا]], _xlfn._xlws.FILTER(T[کالا], T[نوع عملیات]="خرید"), _xlfn._xlws.FILTER(T[فروشنده / مشتری], T[نوع عملیات]="خرید")), "")</f>
        <v>بازار</v>
      </c>
    </row>
    <row r="1088" spans="2:17" ht="16.5" hidden="1" x14ac:dyDescent="0.75">
      <c r="B1088" s="227">
        <v>4</v>
      </c>
      <c r="C1088" s="150">
        <v>5</v>
      </c>
      <c r="D1088" s="150">
        <v>20</v>
      </c>
      <c r="E1088" s="150" t="str">
        <f t="shared" si="83"/>
        <v>مرداد</v>
      </c>
      <c r="F1088" s="151" t="s">
        <v>167</v>
      </c>
      <c r="G1088" s="244" t="s">
        <v>485</v>
      </c>
      <c r="H1088" s="247" t="s">
        <v>416</v>
      </c>
      <c r="I1088" s="162"/>
      <c r="J1088" s="251">
        <v>1</v>
      </c>
      <c r="K1088" s="254">
        <v>2200000</v>
      </c>
      <c r="L1088" s="255">
        <f t="shared" si="84"/>
        <v>2200000</v>
      </c>
      <c r="M1088" s="257"/>
      <c r="N1088" s="262"/>
      <c r="O108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620000</v>
      </c>
      <c r="P1088" s="262"/>
      <c r="Q1088" s="264" t="str" cm="1">
        <f t="array" ref="Q1088">IF(T[[#This Row],[نوع عملیات]]="فروش", _xlfn.XLOOKUP(T[[#This Row],[کالا]], _xlfn._xlws.FILTER(T[کالا], T[نوع عملیات]="خرید"), _xlfn._xlws.FILTER(T[فروشنده / مشتری], T[نوع عملیات]="خرید")), "")</f>
        <v>عبدل آباد</v>
      </c>
    </row>
    <row r="1089" spans="2:17" ht="16.5" hidden="1" x14ac:dyDescent="0.75">
      <c r="B1089" s="227">
        <v>4</v>
      </c>
      <c r="C1089" s="150">
        <v>5</v>
      </c>
      <c r="D1089" s="150">
        <v>21</v>
      </c>
      <c r="E1089" s="150"/>
      <c r="F1089" s="151" t="s">
        <v>302</v>
      </c>
      <c r="G1089" s="244"/>
      <c r="H1089" s="247" t="s">
        <v>416</v>
      </c>
      <c r="I1089" s="162"/>
      <c r="J1089" s="251"/>
      <c r="K1089" s="254"/>
      <c r="L1089" s="255">
        <f t="shared" si="71"/>
        <v>0</v>
      </c>
      <c r="M1089" s="257">
        <v>3000000</v>
      </c>
      <c r="N1089" s="262" t="s">
        <v>611</v>
      </c>
      <c r="O108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89" s="262"/>
      <c r="Q1089" s="264" t="str" cm="1">
        <f t="array" ref="Q1089">IF(T[[#This Row],[نوع عملیات]]="فروش", _xlfn.XLOOKUP(T[[#This Row],[کالا]], _xlfn._xlws.FILTER(T[کالا], T[نوع عملیات]="خرید"), _xlfn._xlws.FILTER(T[فروشنده / مشتری], T[نوع عملیات]="خرید")), "")</f>
        <v/>
      </c>
    </row>
    <row r="1090" spans="2:17" ht="16.5" hidden="1" x14ac:dyDescent="0.75">
      <c r="B1090" s="227">
        <v>4</v>
      </c>
      <c r="C1090" s="150">
        <v>5</v>
      </c>
      <c r="D1090" s="150">
        <v>21</v>
      </c>
      <c r="E1090" s="150" t="str">
        <f t="shared" ref="E1090:E1101" si="85">CHOOSE(C1090, "فروردین", "اردیبهشت", "خرداد", "تیر", "مرداد", "شهریور", "مهر", "آبان", "آذر", "دی", "بهمن", "اسفند")</f>
        <v>مرداد</v>
      </c>
      <c r="F1090" s="151" t="s">
        <v>167</v>
      </c>
      <c r="G1090" s="244" t="s">
        <v>667</v>
      </c>
      <c r="H1090" s="247" t="s">
        <v>416</v>
      </c>
      <c r="I1090" s="162"/>
      <c r="J1090" s="251">
        <v>1</v>
      </c>
      <c r="K1090" s="254">
        <v>1700000</v>
      </c>
      <c r="L1090" s="255">
        <f t="shared" ref="L1090:L1103" si="86">J1090*K1090</f>
        <v>1700000</v>
      </c>
      <c r="M1090" s="257"/>
      <c r="N1090" s="262"/>
      <c r="O109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425000</v>
      </c>
      <c r="P1090" s="262"/>
      <c r="Q1090" s="264" t="str" cm="1">
        <f t="array" ref="Q1090">IF(T[[#This Row],[نوع عملیات]]="فروش", _xlfn.XLOOKUP(T[[#This Row],[کالا]], _xlfn._xlws.FILTER(T[کالا], T[نوع عملیات]="خرید"), _xlfn._xlws.FILTER(T[فروشنده / مشتری], T[نوع عملیات]="خرید")), "")</f>
        <v>عبدل آباد</v>
      </c>
    </row>
    <row r="1091" spans="2:17" ht="16.5" hidden="1" x14ac:dyDescent="0.75">
      <c r="B1091" s="227">
        <v>4</v>
      </c>
      <c r="C1091" s="150">
        <v>5</v>
      </c>
      <c r="D1091" s="150">
        <v>21</v>
      </c>
      <c r="E1091" s="150" t="str">
        <f t="shared" si="85"/>
        <v>مرداد</v>
      </c>
      <c r="F1091" s="151" t="s">
        <v>167</v>
      </c>
      <c r="G1091" s="244" t="s">
        <v>667</v>
      </c>
      <c r="H1091" s="247" t="s">
        <v>352</v>
      </c>
      <c r="I1091" s="162"/>
      <c r="J1091" s="251">
        <v>1</v>
      </c>
      <c r="K1091" s="254">
        <v>1700000</v>
      </c>
      <c r="L1091" s="255">
        <f t="shared" si="86"/>
        <v>1700000</v>
      </c>
      <c r="M1091" s="257"/>
      <c r="N1091" s="262"/>
      <c r="O109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425000</v>
      </c>
      <c r="P1091" s="262"/>
      <c r="Q1091" s="264" t="str" cm="1">
        <f t="array" ref="Q1091">IF(T[[#This Row],[نوع عملیات]]="فروش", _xlfn.XLOOKUP(T[[#This Row],[کالا]], _xlfn._xlws.FILTER(T[کالا], T[نوع عملیات]="خرید"), _xlfn._xlws.FILTER(T[فروشنده / مشتری], T[نوع عملیات]="خرید")), "")</f>
        <v>عبدل آباد</v>
      </c>
    </row>
    <row r="1092" spans="2:17" ht="16.5" hidden="1" x14ac:dyDescent="0.75">
      <c r="B1092" s="227">
        <v>4</v>
      </c>
      <c r="C1092" s="150">
        <v>5</v>
      </c>
      <c r="D1092" s="150">
        <v>21</v>
      </c>
      <c r="E1092" s="150" t="str">
        <f t="shared" si="85"/>
        <v>مرداد</v>
      </c>
      <c r="F1092" s="151" t="s">
        <v>167</v>
      </c>
      <c r="G1092" s="244" t="s">
        <v>680</v>
      </c>
      <c r="H1092" s="247" t="s">
        <v>352</v>
      </c>
      <c r="I1092" s="162"/>
      <c r="J1092" s="251">
        <v>1</v>
      </c>
      <c r="K1092" s="254">
        <v>900000</v>
      </c>
      <c r="L1092" s="255">
        <f t="shared" si="86"/>
        <v>900000</v>
      </c>
      <c r="M1092" s="257"/>
      <c r="N1092" s="262"/>
      <c r="O109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310000</v>
      </c>
      <c r="P1092" s="262"/>
      <c r="Q1092" s="264" t="str" cm="1">
        <f t="array" ref="Q1092">IF(T[[#This Row],[نوع عملیات]]="فروش", _xlfn.XLOOKUP(T[[#This Row],[کالا]], _xlfn._xlws.FILTER(T[کالا], T[نوع عملیات]="خرید"), _xlfn._xlws.FILTER(T[فروشنده / مشتری], T[نوع عملیات]="خرید")), "")</f>
        <v>عبدل آباد</v>
      </c>
    </row>
    <row r="1093" spans="2:17" ht="16.5" hidden="1" x14ac:dyDescent="0.75">
      <c r="B1093" s="227">
        <v>4</v>
      </c>
      <c r="C1093" s="150">
        <v>5</v>
      </c>
      <c r="D1093" s="150">
        <v>21</v>
      </c>
      <c r="E1093" s="150" t="str">
        <f t="shared" si="85"/>
        <v>مرداد</v>
      </c>
      <c r="F1093" s="151" t="s">
        <v>167</v>
      </c>
      <c r="G1093" s="244" t="s">
        <v>468</v>
      </c>
      <c r="H1093" s="247" t="s">
        <v>640</v>
      </c>
      <c r="I1093" s="162"/>
      <c r="J1093" s="251">
        <v>2</v>
      </c>
      <c r="K1093" s="254">
        <v>300000</v>
      </c>
      <c r="L1093" s="255">
        <f t="shared" si="86"/>
        <v>600000</v>
      </c>
      <c r="M1093" s="257"/>
      <c r="N1093" s="262"/>
      <c r="O109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304000</v>
      </c>
      <c r="P1093" s="262"/>
      <c r="Q1093" s="264" t="str" cm="1">
        <f t="array" ref="Q1093">IF(T[[#This Row],[نوع عملیات]]="فروش", _xlfn.XLOOKUP(T[[#This Row],[کالا]], _xlfn._xlws.FILTER(T[کالا], T[نوع عملیات]="خرید"), _xlfn._xlws.FILTER(T[فروشنده / مشتری], T[نوع عملیات]="خرید")), "")</f>
        <v>سرای ملی</v>
      </c>
    </row>
    <row r="1094" spans="2:17" ht="16.5" hidden="1" x14ac:dyDescent="0.75">
      <c r="B1094" s="227">
        <v>4</v>
      </c>
      <c r="C1094" s="150">
        <v>5</v>
      </c>
      <c r="D1094" s="150">
        <v>21</v>
      </c>
      <c r="E1094" s="150" t="str">
        <f t="shared" si="85"/>
        <v>مرداد</v>
      </c>
      <c r="F1094" s="151" t="s">
        <v>167</v>
      </c>
      <c r="G1094" s="244" t="s">
        <v>570</v>
      </c>
      <c r="H1094" s="247" t="s">
        <v>640</v>
      </c>
      <c r="I1094" s="162"/>
      <c r="J1094" s="251">
        <v>2</v>
      </c>
      <c r="K1094" s="254">
        <v>500000</v>
      </c>
      <c r="L1094" s="255">
        <f t="shared" si="86"/>
        <v>1000000</v>
      </c>
      <c r="M1094" s="257"/>
      <c r="N1094" s="262"/>
      <c r="O109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544000</v>
      </c>
      <c r="P1094" s="262"/>
      <c r="Q1094" s="264" t="str" cm="1">
        <f t="array" ref="Q1094">IF(T[[#This Row],[نوع عملیات]]="فروش", _xlfn.XLOOKUP(T[[#This Row],[کالا]], _xlfn._xlws.FILTER(T[کالا], T[نوع عملیات]="خرید"), _xlfn._xlws.FILTER(T[فروشنده / مشتری], T[نوع عملیات]="خرید")), "")</f>
        <v>عبدل آباد</v>
      </c>
    </row>
    <row r="1095" spans="2:17" ht="16.5" hidden="1" x14ac:dyDescent="0.75">
      <c r="B1095" s="227">
        <v>4</v>
      </c>
      <c r="C1095" s="150">
        <v>5</v>
      </c>
      <c r="D1095" s="150">
        <v>21</v>
      </c>
      <c r="E1095" s="150" t="str">
        <f t="shared" si="85"/>
        <v>مرداد</v>
      </c>
      <c r="F1095" s="151" t="s">
        <v>167</v>
      </c>
      <c r="G1095" s="244" t="s">
        <v>511</v>
      </c>
      <c r="H1095" s="247" t="s">
        <v>640</v>
      </c>
      <c r="I1095" s="162"/>
      <c r="J1095" s="251">
        <v>1</v>
      </c>
      <c r="K1095" s="254">
        <v>1800000</v>
      </c>
      <c r="L1095" s="255">
        <f t="shared" si="86"/>
        <v>1800000</v>
      </c>
      <c r="M1095" s="257"/>
      <c r="N1095" s="262"/>
      <c r="O109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425000</v>
      </c>
      <c r="P1095" s="262"/>
      <c r="Q1095" s="264" t="str" cm="1">
        <f t="array" ref="Q1095">IF(T[[#This Row],[نوع عملیات]]="فروش", _xlfn.XLOOKUP(T[[#This Row],[کالا]], _xlfn._xlws.FILTER(T[کالا], T[نوع عملیات]="خرید"), _xlfn._xlws.FILTER(T[فروشنده / مشتری], T[نوع عملیات]="خرید")), "")</f>
        <v>عبدل آباد</v>
      </c>
    </row>
    <row r="1096" spans="2:17" ht="16.5" hidden="1" x14ac:dyDescent="0.75">
      <c r="B1096" s="227">
        <v>4</v>
      </c>
      <c r="C1096" s="150">
        <v>5</v>
      </c>
      <c r="D1096" s="150">
        <v>21</v>
      </c>
      <c r="E1096" s="150" t="str">
        <f t="shared" si="85"/>
        <v>مرداد</v>
      </c>
      <c r="F1096" s="151" t="s">
        <v>167</v>
      </c>
      <c r="G1096" s="244" t="s">
        <v>485</v>
      </c>
      <c r="H1096" s="247" t="s">
        <v>211</v>
      </c>
      <c r="I1096" s="162"/>
      <c r="J1096" s="251">
        <v>1</v>
      </c>
      <c r="K1096" s="254">
        <v>2200000</v>
      </c>
      <c r="L1096" s="255">
        <f t="shared" si="86"/>
        <v>2200000</v>
      </c>
      <c r="M1096" s="257">
        <v>2200000</v>
      </c>
      <c r="N1096" s="262" t="s">
        <v>611</v>
      </c>
      <c r="O109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620000</v>
      </c>
      <c r="P1096" s="262"/>
      <c r="Q1096" s="264" t="str" cm="1">
        <f t="array" ref="Q1096">IF(T[[#This Row],[نوع عملیات]]="فروش", _xlfn.XLOOKUP(T[[#This Row],[کالا]], _xlfn._xlws.FILTER(T[کالا], T[نوع عملیات]="خرید"), _xlfn._xlws.FILTER(T[فروشنده / مشتری], T[نوع عملیات]="خرید")), "")</f>
        <v>عبدل آباد</v>
      </c>
    </row>
    <row r="1097" spans="2:17" ht="16.5" hidden="1" x14ac:dyDescent="0.75">
      <c r="B1097" s="227">
        <v>4</v>
      </c>
      <c r="C1097" s="150">
        <v>5</v>
      </c>
      <c r="D1097" s="150">
        <v>22</v>
      </c>
      <c r="E1097" s="150" t="str">
        <f>CHOOSE(C1097, "فروردین", "اردیبهشت", "خرداد", "تیر", "مرداد", "شهریور", "مهر", "آبان", "آذر", "دی", "بهمن", "اسفند")</f>
        <v>مرداد</v>
      </c>
      <c r="F1097" s="151" t="s">
        <v>168</v>
      </c>
      <c r="G1097" s="244" t="s">
        <v>687</v>
      </c>
      <c r="H1097" s="247" t="s">
        <v>129</v>
      </c>
      <c r="I1097" s="162" t="s">
        <v>688</v>
      </c>
      <c r="J1097" s="251">
        <v>3</v>
      </c>
      <c r="K1097" s="373">
        <v>500000</v>
      </c>
      <c r="L1097" s="255">
        <f>J1097*K1097</f>
        <v>1500000</v>
      </c>
      <c r="M1097" s="257"/>
      <c r="N1097" s="262"/>
      <c r="O109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97" s="262"/>
      <c r="Q1097" s="264" t="str" cm="1">
        <f t="array" ref="Q1097">IF(T[[#This Row],[نوع عملیات]]="فروش", _xlfn.XLOOKUP(T[[#This Row],[کالا]], _xlfn._xlws.FILTER(T[کالا], T[نوع عملیات]="خرید"), _xlfn._xlws.FILTER(T[فروشنده / مشتری], T[نوع عملیات]="خرید")), "")</f>
        <v/>
      </c>
    </row>
    <row r="1098" spans="2:17" ht="16.5" hidden="1" x14ac:dyDescent="0.75">
      <c r="B1098" s="227">
        <v>4</v>
      </c>
      <c r="C1098" s="150">
        <v>5</v>
      </c>
      <c r="D1098" s="150">
        <v>24</v>
      </c>
      <c r="E1098" s="150" t="str">
        <f t="shared" si="85"/>
        <v>مرداد</v>
      </c>
      <c r="F1098" s="151" t="s">
        <v>167</v>
      </c>
      <c r="G1098" s="244" t="s">
        <v>668</v>
      </c>
      <c r="H1098" s="247" t="s">
        <v>429</v>
      </c>
      <c r="I1098" s="162"/>
      <c r="J1098" s="251">
        <v>1</v>
      </c>
      <c r="K1098" s="254">
        <v>950000</v>
      </c>
      <c r="L1098" s="255">
        <f t="shared" si="86"/>
        <v>950000</v>
      </c>
      <c r="M1098" s="257"/>
      <c r="N1098" s="262"/>
      <c r="O109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257000</v>
      </c>
      <c r="P1098" s="262"/>
      <c r="Q1098" s="264" t="str" cm="1">
        <f t="array" ref="Q1098">IF(T[[#This Row],[نوع عملیات]]="فروش", _xlfn.XLOOKUP(T[[#This Row],[کالا]], _xlfn._xlws.FILTER(T[کالا], T[نوع عملیات]="خرید"), _xlfn._xlws.FILTER(T[فروشنده / مشتری], T[نوع عملیات]="خرید")), "")</f>
        <v>سرای ملی</v>
      </c>
    </row>
    <row r="1099" spans="2:17" ht="16.5" hidden="1" x14ac:dyDescent="0.75">
      <c r="B1099" s="227">
        <v>4</v>
      </c>
      <c r="C1099" s="150">
        <v>5</v>
      </c>
      <c r="D1099" s="150">
        <v>24</v>
      </c>
      <c r="E1099" s="150" t="str">
        <f t="shared" si="85"/>
        <v>مرداد</v>
      </c>
      <c r="F1099" s="151" t="s">
        <v>302</v>
      </c>
      <c r="G1099" s="244"/>
      <c r="H1099" s="247" t="s">
        <v>521</v>
      </c>
      <c r="I1099" s="162"/>
      <c r="J1099" s="251"/>
      <c r="K1099" s="254"/>
      <c r="L1099" s="255">
        <f t="shared" si="86"/>
        <v>0</v>
      </c>
      <c r="M1099" s="257">
        <v>3600000</v>
      </c>
      <c r="N1099" s="262" t="s">
        <v>611</v>
      </c>
      <c r="O109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099" s="262"/>
      <c r="Q1099" s="264" t="str" cm="1">
        <f t="array" ref="Q1099">IF(T[[#This Row],[نوع عملیات]]="فروش", _xlfn.XLOOKUP(T[[#This Row],[کالا]], _xlfn._xlws.FILTER(T[کالا], T[نوع عملیات]="خرید"), _xlfn._xlws.FILTER(T[فروشنده / مشتری], T[نوع عملیات]="خرید")), "")</f>
        <v/>
      </c>
    </row>
    <row r="1100" spans="2:17" ht="16.5" hidden="1" x14ac:dyDescent="0.75">
      <c r="B1100" s="227">
        <v>4</v>
      </c>
      <c r="C1100" s="150">
        <v>5</v>
      </c>
      <c r="D1100" s="150">
        <v>25</v>
      </c>
      <c r="E1100" s="150" t="str">
        <f t="shared" si="85"/>
        <v>مرداد</v>
      </c>
      <c r="F1100" s="151" t="s">
        <v>167</v>
      </c>
      <c r="G1100" s="244" t="s">
        <v>680</v>
      </c>
      <c r="H1100" s="247" t="s">
        <v>211</v>
      </c>
      <c r="I1100" s="162"/>
      <c r="J1100" s="251">
        <v>1</v>
      </c>
      <c r="K1100" s="254">
        <v>900000</v>
      </c>
      <c r="L1100" s="255">
        <f t="shared" si="86"/>
        <v>900000</v>
      </c>
      <c r="M1100" s="257"/>
      <c r="N1100" s="262"/>
      <c r="O11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310000</v>
      </c>
      <c r="P1100" s="262"/>
      <c r="Q1100" s="264" t="str" cm="1">
        <f t="array" ref="Q1100">IF(T[[#This Row],[نوع عملیات]]="فروش", _xlfn.XLOOKUP(T[[#This Row],[کالا]], _xlfn._xlws.FILTER(T[کالا], T[نوع عملیات]="خرید"), _xlfn._xlws.FILTER(T[فروشنده / مشتری], T[نوع عملیات]="خرید")), "")</f>
        <v>عبدل آباد</v>
      </c>
    </row>
    <row r="1101" spans="2:17" ht="16.5" hidden="1" x14ac:dyDescent="0.75">
      <c r="B1101" s="227">
        <v>4</v>
      </c>
      <c r="C1101" s="150">
        <v>5</v>
      </c>
      <c r="D1101" s="150">
        <v>25</v>
      </c>
      <c r="E1101" s="150" t="str">
        <f t="shared" si="85"/>
        <v>مرداد</v>
      </c>
      <c r="F1101" s="151" t="s">
        <v>167</v>
      </c>
      <c r="G1101" s="244" t="s">
        <v>668</v>
      </c>
      <c r="H1101" s="247" t="s">
        <v>211</v>
      </c>
      <c r="I1101" s="162"/>
      <c r="J1101" s="251">
        <v>2</v>
      </c>
      <c r="K1101" s="254">
        <v>900000</v>
      </c>
      <c r="L1101" s="255">
        <f t="shared" si="86"/>
        <v>1800000</v>
      </c>
      <c r="M1101" s="257"/>
      <c r="N1101" s="262"/>
      <c r="O11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414000</v>
      </c>
      <c r="P1101" s="262"/>
      <c r="Q1101" s="264" t="str" cm="1">
        <f t="array" ref="Q1101">IF(T[[#This Row],[نوع عملیات]]="فروش", _xlfn.XLOOKUP(T[[#This Row],[کالا]], _xlfn._xlws.FILTER(T[کالا], T[نوع عملیات]="خرید"), _xlfn._xlws.FILTER(T[فروشنده / مشتری], T[نوع عملیات]="خرید")), "")</f>
        <v>سرای ملی</v>
      </c>
    </row>
    <row r="1102" spans="2:17" ht="16.5" hidden="1" x14ac:dyDescent="0.75">
      <c r="B1102" s="227">
        <v>4</v>
      </c>
      <c r="C1102" s="150">
        <v>5</v>
      </c>
      <c r="D1102" s="150">
        <v>25</v>
      </c>
      <c r="E1102" s="150" t="str">
        <f t="shared" ref="E1102:E1103" si="87">CHOOSE(C1102, "فروردین", "اردیبهشت", "خرداد", "تیر", "مرداد", "شهریور", "مهر", "آبان", "آذر", "دی", "بهمن", "اسفند")</f>
        <v>مرداد</v>
      </c>
      <c r="F1102" s="151" t="s">
        <v>167</v>
      </c>
      <c r="G1102" s="244" t="s">
        <v>342</v>
      </c>
      <c r="H1102" s="247" t="s">
        <v>211</v>
      </c>
      <c r="I1102" s="162"/>
      <c r="J1102" s="251">
        <v>1</v>
      </c>
      <c r="K1102" s="254">
        <v>700000</v>
      </c>
      <c r="L1102" s="255">
        <f t="shared" si="86"/>
        <v>700000</v>
      </c>
      <c r="M1102" s="257">
        <v>3400000</v>
      </c>
      <c r="N1102" s="262" t="s">
        <v>299</v>
      </c>
      <c r="O11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150000</v>
      </c>
      <c r="P1102" s="262"/>
      <c r="Q1102" s="264" t="str" cm="1">
        <f t="array" ref="Q1102">IF(T[[#This Row],[نوع عملیات]]="فروش", _xlfn.XLOOKUP(T[[#This Row],[کالا]], _xlfn._xlws.FILTER(T[کالا], T[نوع عملیات]="خرید"), _xlfn._xlws.FILTER(T[فروشنده / مشتری], T[نوع عملیات]="خرید")), "")</f>
        <v>دلگشا</v>
      </c>
    </row>
    <row r="1103" spans="2:17" ht="16.5" hidden="1" x14ac:dyDescent="0.75">
      <c r="B1103" s="227">
        <v>4</v>
      </c>
      <c r="C1103" s="150">
        <v>5</v>
      </c>
      <c r="D1103" s="150">
        <v>25</v>
      </c>
      <c r="E1103" s="150" t="str">
        <f t="shared" si="87"/>
        <v>مرداد</v>
      </c>
      <c r="F1103" s="151" t="s">
        <v>167</v>
      </c>
      <c r="G1103" s="244" t="s">
        <v>570</v>
      </c>
      <c r="H1103" s="247" t="s">
        <v>604</v>
      </c>
      <c r="I1103" s="162"/>
      <c r="J1103" s="251">
        <v>1</v>
      </c>
      <c r="K1103" s="254">
        <v>400000</v>
      </c>
      <c r="L1103" s="255">
        <f t="shared" si="86"/>
        <v>400000</v>
      </c>
      <c r="M1103" s="257"/>
      <c r="N1103" s="262"/>
      <c r="O11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172000</v>
      </c>
      <c r="P1103" s="262"/>
      <c r="Q1103" s="264" t="str" cm="1">
        <f t="array" ref="Q1103">IF(T[[#This Row],[نوع عملیات]]="فروش", _xlfn.XLOOKUP(T[[#This Row],[کالا]], _xlfn._xlws.FILTER(T[کالا], T[نوع عملیات]="خرید"), _xlfn._xlws.FILTER(T[فروشنده / مشتری], T[نوع عملیات]="خرید")), "")</f>
        <v>عبدل آباد</v>
      </c>
    </row>
    <row r="1104" spans="2:17" ht="16.5" x14ac:dyDescent="0.75">
      <c r="B1104" s="227">
        <v>4</v>
      </c>
      <c r="C1104" s="150">
        <v>5</v>
      </c>
      <c r="D1104" s="150">
        <v>25</v>
      </c>
      <c r="E1104" s="150"/>
      <c r="F1104" s="151" t="s">
        <v>168</v>
      </c>
      <c r="G1104" s="244" t="s">
        <v>667</v>
      </c>
      <c r="H1104" s="247" t="s">
        <v>390</v>
      </c>
      <c r="I1104" s="162" t="s">
        <v>675</v>
      </c>
      <c r="J1104" s="251">
        <v>4</v>
      </c>
      <c r="K1104" s="254">
        <v>1280000</v>
      </c>
      <c r="L1104" s="255">
        <f t="shared" ref="L1104:L1118" si="88">J1104*K1104</f>
        <v>5120000</v>
      </c>
      <c r="M1104" s="257"/>
      <c r="N1104" s="262"/>
      <c r="O11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04" s="262"/>
      <c r="Q1104" s="264" t="str" cm="1">
        <f t="array" ref="Q1104">IF(T[[#This Row],[نوع عملیات]]="فروش", _xlfn.XLOOKUP(T[[#This Row],[کالا]], _xlfn._xlws.FILTER(T[کالا], T[نوع عملیات]="خرید"), _xlfn._xlws.FILTER(T[فروشنده / مشتری], T[نوع عملیات]="خرید")), "")</f>
        <v/>
      </c>
    </row>
    <row r="1105" spans="2:17" ht="16.5" x14ac:dyDescent="0.75">
      <c r="B1105" s="227">
        <v>4</v>
      </c>
      <c r="C1105" s="150">
        <v>5</v>
      </c>
      <c r="D1105" s="150">
        <v>25</v>
      </c>
      <c r="E1105" s="150"/>
      <c r="F1105" s="151" t="s">
        <v>168</v>
      </c>
      <c r="G1105" s="244" t="s">
        <v>676</v>
      </c>
      <c r="H1105" s="247" t="s">
        <v>390</v>
      </c>
      <c r="I1105" s="162" t="s">
        <v>675</v>
      </c>
      <c r="J1105" s="251">
        <v>4</v>
      </c>
      <c r="K1105" s="254">
        <v>1080000</v>
      </c>
      <c r="L1105" s="255">
        <f t="shared" si="88"/>
        <v>4320000</v>
      </c>
      <c r="M1105" s="257"/>
      <c r="N1105" s="262"/>
      <c r="O11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05" s="262"/>
      <c r="Q1105" s="264" t="str" cm="1">
        <f t="array" ref="Q1105">IF(T[[#This Row],[نوع عملیات]]="فروش", _xlfn.XLOOKUP(T[[#This Row],[کالا]], _xlfn._xlws.FILTER(T[کالا], T[نوع عملیات]="خرید"), _xlfn._xlws.FILTER(T[فروشنده / مشتری], T[نوع عملیات]="خرید")), "")</f>
        <v/>
      </c>
    </row>
    <row r="1106" spans="2:17" ht="16.5" x14ac:dyDescent="0.75">
      <c r="B1106" s="227">
        <v>4</v>
      </c>
      <c r="C1106" s="150">
        <v>5</v>
      </c>
      <c r="D1106" s="150">
        <v>25</v>
      </c>
      <c r="E1106" s="150"/>
      <c r="F1106" s="151" t="s">
        <v>168</v>
      </c>
      <c r="G1106" s="244" t="s">
        <v>661</v>
      </c>
      <c r="H1106" s="247" t="s">
        <v>390</v>
      </c>
      <c r="I1106" s="162" t="s">
        <v>675</v>
      </c>
      <c r="J1106" s="251">
        <v>7</v>
      </c>
      <c r="K1106" s="254">
        <v>1050000</v>
      </c>
      <c r="L1106" s="255">
        <f t="shared" si="88"/>
        <v>7350000</v>
      </c>
      <c r="M1106" s="257"/>
      <c r="N1106" s="262"/>
      <c r="O11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06" s="262"/>
      <c r="Q1106" s="264" t="str" cm="1">
        <f t="array" ref="Q1106">IF(T[[#This Row],[نوع عملیات]]="فروش", _xlfn.XLOOKUP(T[[#This Row],[کالا]], _xlfn._xlws.FILTER(T[کالا], T[نوع عملیات]="خرید"), _xlfn._xlws.FILTER(T[فروشنده / مشتری], T[نوع عملیات]="خرید")), "")</f>
        <v/>
      </c>
    </row>
    <row r="1107" spans="2:17" ht="16.5" x14ac:dyDescent="0.75">
      <c r="B1107" s="227">
        <v>4</v>
      </c>
      <c r="C1107" s="150">
        <v>5</v>
      </c>
      <c r="D1107" s="150">
        <v>25</v>
      </c>
      <c r="E1107" s="150"/>
      <c r="F1107" s="151" t="s">
        <v>168</v>
      </c>
      <c r="G1107" s="244" t="s">
        <v>677</v>
      </c>
      <c r="H1107" s="247" t="s">
        <v>390</v>
      </c>
      <c r="I1107" s="162" t="s">
        <v>675</v>
      </c>
      <c r="J1107" s="251">
        <v>2</v>
      </c>
      <c r="K1107" s="254">
        <v>2505000</v>
      </c>
      <c r="L1107" s="255">
        <f t="shared" si="88"/>
        <v>5010000</v>
      </c>
      <c r="M1107" s="257">
        <v>11800000</v>
      </c>
      <c r="N1107" s="262" t="s">
        <v>611</v>
      </c>
      <c r="O11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07" s="262"/>
      <c r="Q1107" s="264" t="str" cm="1">
        <f t="array" ref="Q1107">IF(T[[#This Row],[نوع عملیات]]="فروش", _xlfn.XLOOKUP(T[[#This Row],[کالا]], _xlfn._xlws.FILTER(T[کالا], T[نوع عملیات]="خرید"), _xlfn._xlws.FILTER(T[فروشنده / مشتری], T[نوع عملیات]="خرید")), "")</f>
        <v/>
      </c>
    </row>
    <row r="1108" spans="2:17" ht="16.5" hidden="1" x14ac:dyDescent="0.75">
      <c r="B1108" s="227">
        <v>4</v>
      </c>
      <c r="C1108" s="150">
        <v>5</v>
      </c>
      <c r="D1108" s="150">
        <v>26</v>
      </c>
      <c r="E1108" s="150"/>
      <c r="F1108" s="151" t="s">
        <v>167</v>
      </c>
      <c r="G1108" s="244" t="s">
        <v>667</v>
      </c>
      <c r="H1108" s="247" t="s">
        <v>604</v>
      </c>
      <c r="I1108" s="162"/>
      <c r="J1108" s="251">
        <v>1</v>
      </c>
      <c r="K1108" s="254">
        <v>1750000</v>
      </c>
      <c r="L1108" s="255">
        <f t="shared" si="88"/>
        <v>1750000</v>
      </c>
      <c r="M1108" s="257"/>
      <c r="N1108" s="262"/>
      <c r="O11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475000</v>
      </c>
      <c r="P1108" s="262"/>
      <c r="Q1108" s="264" t="str" cm="1">
        <f t="array" ref="Q1108">IF(T[[#This Row],[نوع عملیات]]="فروش", _xlfn.XLOOKUP(T[[#This Row],[کالا]], _xlfn._xlws.FILTER(T[کالا], T[نوع عملیات]="خرید"), _xlfn._xlws.FILTER(T[فروشنده / مشتری], T[نوع عملیات]="خرید")), "")</f>
        <v>عبدل آباد</v>
      </c>
    </row>
    <row r="1109" spans="2:17" ht="16.5" hidden="1" x14ac:dyDescent="0.75">
      <c r="B1109" s="227">
        <v>4</v>
      </c>
      <c r="C1109" s="150">
        <v>5</v>
      </c>
      <c r="D1109" s="150">
        <v>26</v>
      </c>
      <c r="E1109" s="150"/>
      <c r="F1109" s="151" t="s">
        <v>167</v>
      </c>
      <c r="G1109" s="244" t="s">
        <v>634</v>
      </c>
      <c r="H1109" s="247" t="s">
        <v>604</v>
      </c>
      <c r="I1109" s="162"/>
      <c r="J1109" s="251">
        <v>1</v>
      </c>
      <c r="K1109" s="254">
        <v>1750000</v>
      </c>
      <c r="L1109" s="255">
        <f t="shared" si="88"/>
        <v>1750000</v>
      </c>
      <c r="M1109" s="257"/>
      <c r="N1109" s="262"/>
      <c r="O11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600000</v>
      </c>
      <c r="P1109" s="262"/>
      <c r="Q1109" s="264" t="str" cm="1">
        <f t="array" ref="Q1109">IF(T[[#This Row],[نوع عملیات]]="فروش", _xlfn.XLOOKUP(T[[#This Row],[کالا]], _xlfn._xlws.FILTER(T[کالا], T[نوع عملیات]="خرید"), _xlfn._xlws.FILTER(T[فروشنده / مشتری], T[نوع عملیات]="خرید")), "")</f>
        <v>عبدل آباد</v>
      </c>
    </row>
    <row r="1110" spans="2:17" ht="16.5" hidden="1" x14ac:dyDescent="0.75">
      <c r="B1110" s="227">
        <v>4</v>
      </c>
      <c r="C1110" s="150">
        <v>5</v>
      </c>
      <c r="D1110" s="150">
        <v>26</v>
      </c>
      <c r="E1110" s="150"/>
      <c r="F1110" s="151" t="s">
        <v>167</v>
      </c>
      <c r="G1110" s="244" t="s">
        <v>667</v>
      </c>
      <c r="H1110" s="247" t="s">
        <v>211</v>
      </c>
      <c r="I1110" s="162"/>
      <c r="J1110" s="251">
        <v>1</v>
      </c>
      <c r="K1110" s="254">
        <v>1800000</v>
      </c>
      <c r="L1110" s="255">
        <f t="shared" si="88"/>
        <v>1800000</v>
      </c>
      <c r="M1110" s="257"/>
      <c r="N1110" s="262"/>
      <c r="O11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525000</v>
      </c>
      <c r="P1110" s="262"/>
      <c r="Q1110" s="264" t="str" cm="1">
        <f t="array" ref="Q1110">IF(T[[#This Row],[نوع عملیات]]="فروش", _xlfn.XLOOKUP(T[[#This Row],[کالا]], _xlfn._xlws.FILTER(T[کالا], T[نوع عملیات]="خرید"), _xlfn._xlws.FILTER(T[فروشنده / مشتری], T[نوع عملیات]="خرید")), "")</f>
        <v>عبدل آباد</v>
      </c>
    </row>
    <row r="1111" spans="2:17" ht="16.5" hidden="1" x14ac:dyDescent="0.75">
      <c r="B1111" s="227">
        <v>4</v>
      </c>
      <c r="C1111" s="150">
        <v>5</v>
      </c>
      <c r="D1111" s="150">
        <v>26</v>
      </c>
      <c r="E1111" s="150"/>
      <c r="F1111" s="151" t="s">
        <v>167</v>
      </c>
      <c r="G1111" s="244" t="s">
        <v>682</v>
      </c>
      <c r="H1111" s="247" t="s">
        <v>211</v>
      </c>
      <c r="I1111" s="162"/>
      <c r="J1111" s="251">
        <v>1</v>
      </c>
      <c r="K1111" s="254">
        <v>1700000</v>
      </c>
      <c r="L1111" s="255">
        <f t="shared" si="88"/>
        <v>1700000</v>
      </c>
      <c r="M1111" s="257">
        <v>3500000</v>
      </c>
      <c r="N1111" s="262" t="s">
        <v>299</v>
      </c>
      <c r="O11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700000</v>
      </c>
      <c r="P1111" s="262"/>
      <c r="Q1111" s="264" t="str" cm="1">
        <f t="array" ref="Q1111">IF(T[[#This Row],[نوع عملیات]]="فروش", _xlfn.XLOOKUP(T[[#This Row],[کالا]], _xlfn._xlws.FILTER(T[کالا], T[نوع عملیات]="خرید"), _xlfn._xlws.FILTER(T[فروشنده / مشتری], T[نوع عملیات]="خرید")), "")</f>
        <v>عبدل آباد</v>
      </c>
    </row>
    <row r="1112" spans="2:17" ht="16.5" hidden="1" x14ac:dyDescent="0.75">
      <c r="B1112" s="227">
        <v>4</v>
      </c>
      <c r="C1112" s="150">
        <v>5</v>
      </c>
      <c r="D1112" s="150">
        <v>26</v>
      </c>
      <c r="E1112" s="150"/>
      <c r="F1112" s="151" t="s">
        <v>167</v>
      </c>
      <c r="G1112" s="244" t="s">
        <v>457</v>
      </c>
      <c r="H1112" s="247" t="s">
        <v>684</v>
      </c>
      <c r="I1112" s="162"/>
      <c r="J1112" s="251">
        <v>1</v>
      </c>
      <c r="K1112" s="254">
        <v>1200000</v>
      </c>
      <c r="L1112" s="255">
        <f t="shared" si="88"/>
        <v>1200000</v>
      </c>
      <c r="M1112" s="257"/>
      <c r="N1112" s="262"/>
      <c r="O11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213478.26086956519</v>
      </c>
      <c r="P1112" s="262"/>
      <c r="Q1112" s="264" t="str" cm="1">
        <f t="array" ref="Q1112">IF(T[[#This Row],[نوع عملیات]]="فروش", _xlfn.XLOOKUP(T[[#This Row],[کالا]], _xlfn._xlws.FILTER(T[کالا], T[نوع عملیات]="خرید"), _xlfn._xlws.FILTER(T[فروشنده / مشتری], T[نوع عملیات]="خرید")), "")</f>
        <v>عبدل آباد</v>
      </c>
    </row>
    <row r="1113" spans="2:17" ht="16.5" hidden="1" x14ac:dyDescent="0.75">
      <c r="B1113" s="227">
        <v>4</v>
      </c>
      <c r="C1113" s="150">
        <v>5</v>
      </c>
      <c r="D1113" s="150">
        <v>27</v>
      </c>
      <c r="E1113" s="150"/>
      <c r="F1113" s="151" t="s">
        <v>167</v>
      </c>
      <c r="G1113" s="244" t="s">
        <v>656</v>
      </c>
      <c r="H1113" s="247" t="s">
        <v>474</v>
      </c>
      <c r="I1113" s="162"/>
      <c r="J1113" s="251">
        <v>1</v>
      </c>
      <c r="K1113" s="254">
        <v>1200000</v>
      </c>
      <c r="L1113" s="255">
        <f t="shared" ref="L1113:L1116" si="89">J1113*K1113</f>
        <v>1200000</v>
      </c>
      <c r="M1113" s="257"/>
      <c r="N1113" s="262"/>
      <c r="O111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712500</v>
      </c>
      <c r="P1113" s="262"/>
      <c r="Q1113" s="264" t="str" cm="1">
        <f t="array" ref="Q1113">IF(T[[#This Row],[نوع عملیات]]="فروش", _xlfn.XLOOKUP(T[[#This Row],[کالا]], _xlfn._xlws.FILTER(T[کالا], T[نوع عملیات]="خرید"), _xlfn._xlws.FILTER(T[فروشنده / مشتری], T[نوع عملیات]="خرید")), "")</f>
        <v>سرای ملی</v>
      </c>
    </row>
    <row r="1114" spans="2:17" ht="16.5" hidden="1" x14ac:dyDescent="0.75">
      <c r="B1114" s="227">
        <v>4</v>
      </c>
      <c r="C1114" s="150">
        <v>5</v>
      </c>
      <c r="D1114" s="150">
        <v>27</v>
      </c>
      <c r="E1114" s="150"/>
      <c r="F1114" s="151" t="s">
        <v>167</v>
      </c>
      <c r="G1114" s="244" t="s">
        <v>465</v>
      </c>
      <c r="H1114" s="247" t="s">
        <v>685</v>
      </c>
      <c r="I1114" s="162"/>
      <c r="J1114" s="251">
        <v>1</v>
      </c>
      <c r="K1114" s="254">
        <v>1400000</v>
      </c>
      <c r="L1114" s="255">
        <f t="shared" si="89"/>
        <v>1400000</v>
      </c>
      <c r="M1114" s="257"/>
      <c r="N1114" s="262"/>
      <c r="O11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725000</v>
      </c>
      <c r="P1114" s="262"/>
      <c r="Q1114" s="264" t="str" cm="1">
        <f t="array" ref="Q1114">IF(T[[#This Row],[نوع عملیات]]="فروش", _xlfn.XLOOKUP(T[[#This Row],[کالا]], _xlfn._xlws.FILTER(T[کالا], T[نوع عملیات]="خرید"), _xlfn._xlws.FILTER(T[فروشنده / مشتری], T[نوع عملیات]="خرید")), "")</f>
        <v>سرای ملی</v>
      </c>
    </row>
    <row r="1115" spans="2:17" ht="16.5" hidden="1" x14ac:dyDescent="0.75">
      <c r="B1115" s="227">
        <v>4</v>
      </c>
      <c r="C1115" s="150">
        <v>5</v>
      </c>
      <c r="D1115" s="150">
        <v>27</v>
      </c>
      <c r="E1115" s="150"/>
      <c r="F1115" s="151" t="s">
        <v>167</v>
      </c>
      <c r="G1115" s="244" t="s">
        <v>643</v>
      </c>
      <c r="H1115" s="247" t="s">
        <v>685</v>
      </c>
      <c r="I1115" s="162"/>
      <c r="J1115" s="251">
        <v>1</v>
      </c>
      <c r="K1115" s="254">
        <v>200000</v>
      </c>
      <c r="L1115" s="255">
        <f t="shared" si="89"/>
        <v>200000</v>
      </c>
      <c r="M1115" s="257"/>
      <c r="N1115" s="262"/>
      <c r="O111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102000</v>
      </c>
      <c r="P1115" s="262"/>
      <c r="Q1115" s="264" t="str" cm="1">
        <f t="array" ref="Q1115">IF(T[[#This Row],[نوع عملیات]]="فروش", _xlfn.XLOOKUP(T[[#This Row],[کالا]], _xlfn._xlws.FILTER(T[کالا], T[نوع عملیات]="خرید"), _xlfn._xlws.FILTER(T[فروشنده / مشتری], T[نوع عملیات]="خرید")), "")</f>
        <v>عبدل آباد</v>
      </c>
    </row>
    <row r="1116" spans="2:17" ht="16.5" hidden="1" x14ac:dyDescent="0.75">
      <c r="B1116" s="227">
        <v>4</v>
      </c>
      <c r="C1116" s="150">
        <v>5</v>
      </c>
      <c r="D1116" s="150">
        <v>27</v>
      </c>
      <c r="E1116" s="150"/>
      <c r="F1116" s="151" t="s">
        <v>167</v>
      </c>
      <c r="G1116" s="244" t="s">
        <v>562</v>
      </c>
      <c r="H1116" s="247" t="s">
        <v>616</v>
      </c>
      <c r="I1116" s="162"/>
      <c r="J1116" s="251">
        <v>1</v>
      </c>
      <c r="K1116" s="254">
        <v>1100000</v>
      </c>
      <c r="L1116" s="255">
        <f t="shared" si="89"/>
        <v>1100000</v>
      </c>
      <c r="M1116" s="257"/>
      <c r="N1116" s="262"/>
      <c r="O111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604285.71428571432</v>
      </c>
      <c r="P1116" s="262"/>
      <c r="Q1116" s="264" t="str" cm="1">
        <f t="array" ref="Q1116">IF(T[[#This Row],[نوع عملیات]]="فروش", _xlfn.XLOOKUP(T[[#This Row],[کالا]], _xlfn._xlws.FILTER(T[کالا], T[نوع عملیات]="خرید"), _xlfn._xlws.FILTER(T[فروشنده / مشتری], T[نوع عملیات]="خرید")), "")</f>
        <v>بازار پارسیان</v>
      </c>
    </row>
    <row r="1117" spans="2:17" ht="16.5" hidden="1" x14ac:dyDescent="0.75">
      <c r="B1117" s="227">
        <v>4</v>
      </c>
      <c r="C1117" s="150">
        <v>5</v>
      </c>
      <c r="D1117" s="150">
        <v>27</v>
      </c>
      <c r="E1117" s="150"/>
      <c r="F1117" s="151" t="s">
        <v>167</v>
      </c>
      <c r="G1117" s="244" t="s">
        <v>457</v>
      </c>
      <c r="H1117" s="247" t="s">
        <v>422</v>
      </c>
      <c r="I1117" s="162"/>
      <c r="J1117" s="251">
        <v>1</v>
      </c>
      <c r="K1117" s="254">
        <v>1400000</v>
      </c>
      <c r="L1117" s="255">
        <f t="shared" si="88"/>
        <v>1400000</v>
      </c>
      <c r="M1117" s="257">
        <v>1400000</v>
      </c>
      <c r="N1117" s="262" t="s">
        <v>299</v>
      </c>
      <c r="O111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1117" s="262"/>
      <c r="Q1117" s="264" t="str" cm="1">
        <f t="array" ref="Q1117">IF(T[[#This Row],[نوع عملیات]]="فروش", _xlfn.XLOOKUP(T[[#This Row],[کالا]], _xlfn._xlws.FILTER(T[کالا], T[نوع عملیات]="خرید"), _xlfn._xlws.FILTER(T[فروشنده / مشتری], T[نوع عملیات]="خرید")), "")</f>
        <v>عبدل آباد</v>
      </c>
    </row>
    <row r="1118" spans="2:17" ht="16.5" hidden="1" x14ac:dyDescent="0.75">
      <c r="B1118" s="227">
        <v>4</v>
      </c>
      <c r="C1118" s="150">
        <v>5</v>
      </c>
      <c r="D1118" s="150">
        <v>27</v>
      </c>
      <c r="E1118" s="150"/>
      <c r="F1118" s="151" t="s">
        <v>167</v>
      </c>
      <c r="G1118" s="244" t="s">
        <v>266</v>
      </c>
      <c r="H1118" s="247" t="s">
        <v>211</v>
      </c>
      <c r="I1118" s="162"/>
      <c r="J1118" s="251">
        <v>1</v>
      </c>
      <c r="K1118" s="254">
        <v>400000</v>
      </c>
      <c r="L1118" s="255">
        <f t="shared" si="88"/>
        <v>400000</v>
      </c>
      <c r="M1118" s="257">
        <v>400000</v>
      </c>
      <c r="N1118" s="262" t="s">
        <v>216</v>
      </c>
      <c r="O111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200000</v>
      </c>
      <c r="P1118" s="262"/>
      <c r="Q1118" s="264" t="str" cm="1">
        <f t="array" ref="Q1118">IF(T[[#This Row],[نوع عملیات]]="فروش", _xlfn.XLOOKUP(T[[#This Row],[کالا]], _xlfn._xlws.FILTER(T[کالا], T[نوع عملیات]="خرید"), _xlfn._xlws.FILTER(T[فروشنده / مشتری], T[نوع عملیات]="خرید")), "")</f>
        <v>عبدل آباد</v>
      </c>
    </row>
    <row r="1119" spans="2:17" ht="16.5" hidden="1" x14ac:dyDescent="0.75">
      <c r="B1119" s="227">
        <v>4</v>
      </c>
      <c r="C1119" s="150">
        <v>5</v>
      </c>
      <c r="D1119" s="150">
        <v>27</v>
      </c>
      <c r="E1119" s="150" t="str">
        <f t="shared" ref="E1119:E1124" si="90">CHOOSE(C1119, "فروردین", "اردیبهشت", "خرداد", "تیر", "مرداد", "شهریور", "مهر", "آبان", "آذر", "دی", "بهمن", "اسفند")</f>
        <v>مرداد</v>
      </c>
      <c r="F1119" s="151" t="s">
        <v>167</v>
      </c>
      <c r="G1119" s="244" t="s">
        <v>503</v>
      </c>
      <c r="H1119" s="247" t="s">
        <v>686</v>
      </c>
      <c r="I1119" s="162"/>
      <c r="J1119" s="251">
        <v>1</v>
      </c>
      <c r="K1119" s="254">
        <v>600000</v>
      </c>
      <c r="L1119" s="255">
        <f t="shared" ref="L1119:L1147" si="91">J1119*K1119</f>
        <v>600000</v>
      </c>
      <c r="M1119" s="257"/>
      <c r="N1119" s="262"/>
      <c r="O111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120000</v>
      </c>
      <c r="P1119" s="262"/>
      <c r="Q1119" s="264" t="str" cm="1">
        <f t="array" ref="Q1119">IF(T[[#This Row],[نوع عملیات]]="فروش", _xlfn.XLOOKUP(T[[#This Row],[کالا]], _xlfn._xlws.FILTER(T[کالا], T[نوع عملیات]="خرید"), _xlfn._xlws.FILTER(T[فروشنده / مشتری], T[نوع عملیات]="خرید")), "")</f>
        <v>عبدل آباد</v>
      </c>
    </row>
    <row r="1120" spans="2:17" ht="16.5" hidden="1" x14ac:dyDescent="0.75">
      <c r="B1120" s="227">
        <v>4</v>
      </c>
      <c r="C1120" s="150">
        <v>5</v>
      </c>
      <c r="D1120" s="150">
        <v>27</v>
      </c>
      <c r="E1120" s="150" t="str">
        <f t="shared" si="90"/>
        <v>مرداد</v>
      </c>
      <c r="F1120" s="151" t="s">
        <v>167</v>
      </c>
      <c r="G1120" s="244" t="s">
        <v>635</v>
      </c>
      <c r="H1120" s="247" t="s">
        <v>686</v>
      </c>
      <c r="I1120" s="162"/>
      <c r="J1120" s="251">
        <v>1</v>
      </c>
      <c r="K1120" s="254">
        <v>400000</v>
      </c>
      <c r="L1120" s="255">
        <f t="shared" si="91"/>
        <v>400000</v>
      </c>
      <c r="M1120" s="257">
        <v>500000</v>
      </c>
      <c r="N1120" s="262" t="s">
        <v>299</v>
      </c>
      <c r="O112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80000</v>
      </c>
      <c r="P1120" s="262"/>
      <c r="Q1120" s="264" t="str" cm="1">
        <f t="array" ref="Q1120">IF(T[[#This Row],[نوع عملیات]]="فروش", _xlfn.XLOOKUP(T[[#This Row],[کالا]], _xlfn._xlws.FILTER(T[کالا], T[نوع عملیات]="خرید"), _xlfn._xlws.FILTER(T[فروشنده / مشتری], T[نوع عملیات]="خرید")), "")</f>
        <v>عبدل آباد</v>
      </c>
    </row>
    <row r="1121" spans="2:17" ht="16.5" hidden="1" x14ac:dyDescent="0.75">
      <c r="B1121" s="227">
        <v>4</v>
      </c>
      <c r="C1121" s="150">
        <v>5</v>
      </c>
      <c r="D1121" s="150">
        <v>27</v>
      </c>
      <c r="E1121" s="150" t="str">
        <f t="shared" si="90"/>
        <v>مرداد</v>
      </c>
      <c r="F1121" s="151" t="s">
        <v>167</v>
      </c>
      <c r="G1121" s="244" t="s">
        <v>457</v>
      </c>
      <c r="H1121" s="247" t="s">
        <v>211</v>
      </c>
      <c r="I1121" s="162"/>
      <c r="J1121" s="251">
        <v>1</v>
      </c>
      <c r="K1121" s="254">
        <v>1400000</v>
      </c>
      <c r="L1121" s="255">
        <f t="shared" si="91"/>
        <v>1400000</v>
      </c>
      <c r="M1121" s="257"/>
      <c r="N1121" s="262"/>
      <c r="O112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413478.26086956519</v>
      </c>
      <c r="P1121" s="262"/>
      <c r="Q1121" s="264" t="str" cm="1">
        <f t="array" ref="Q1121">IF(T[[#This Row],[نوع عملیات]]="فروش", _xlfn.XLOOKUP(T[[#This Row],[کالا]], _xlfn._xlws.FILTER(T[کالا], T[نوع عملیات]="خرید"), _xlfn._xlws.FILTER(T[فروشنده / مشتری], T[نوع عملیات]="خرید")), "")</f>
        <v>عبدل آباد</v>
      </c>
    </row>
    <row r="1122" spans="2:17" ht="16.5" hidden="1" x14ac:dyDescent="0.75">
      <c r="B1122" s="227">
        <v>4</v>
      </c>
      <c r="C1122" s="150">
        <v>5</v>
      </c>
      <c r="D1122" s="150">
        <v>27</v>
      </c>
      <c r="E1122" s="150" t="str">
        <f t="shared" si="90"/>
        <v>مرداد</v>
      </c>
      <c r="F1122" s="151" t="s">
        <v>167</v>
      </c>
      <c r="G1122" s="244" t="s">
        <v>486</v>
      </c>
      <c r="H1122" s="247" t="s">
        <v>211</v>
      </c>
      <c r="I1122" s="162"/>
      <c r="J1122" s="251">
        <v>1</v>
      </c>
      <c r="K1122" s="254">
        <v>2500000</v>
      </c>
      <c r="L1122" s="255">
        <f t="shared" si="91"/>
        <v>2500000</v>
      </c>
      <c r="M1122" s="257"/>
      <c r="N1122" s="262"/>
      <c r="O112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1122" s="262"/>
      <c r="Q1122" s="264" t="str" cm="1">
        <f t="array" ref="Q1122">IF(T[[#This Row],[نوع عملیات]]="فروش", _xlfn.XLOOKUP(T[[#This Row],[کالا]], _xlfn._xlws.FILTER(T[کالا], T[نوع عملیات]="خرید"), _xlfn._xlws.FILTER(T[فروشنده / مشتری], T[نوع عملیات]="خرید")), "")</f>
        <v>عبدل آباد</v>
      </c>
    </row>
    <row r="1123" spans="2:17" ht="16.5" hidden="1" x14ac:dyDescent="0.75">
      <c r="B1123" s="227">
        <v>4</v>
      </c>
      <c r="C1123" s="150">
        <v>5</v>
      </c>
      <c r="D1123" s="150">
        <v>27</v>
      </c>
      <c r="E1123" s="150" t="str">
        <f t="shared" si="90"/>
        <v>مرداد</v>
      </c>
      <c r="F1123" s="151" t="s">
        <v>167</v>
      </c>
      <c r="G1123" s="244" t="s">
        <v>644</v>
      </c>
      <c r="H1123" s="247" t="s">
        <v>211</v>
      </c>
      <c r="I1123" s="162"/>
      <c r="J1123" s="251">
        <v>2</v>
      </c>
      <c r="K1123" s="254">
        <v>1200000</v>
      </c>
      <c r="L1123" s="255">
        <f t="shared" si="91"/>
        <v>2400000</v>
      </c>
      <c r="M1123" s="257"/>
      <c r="N1123" s="262"/>
      <c r="O112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1004000</v>
      </c>
      <c r="P1123" s="262"/>
      <c r="Q1123" s="264" t="str" cm="1">
        <f t="array" ref="Q1123">IF(T[[#This Row],[نوع عملیات]]="فروش", _xlfn.XLOOKUP(T[[#This Row],[کالا]], _xlfn._xlws.FILTER(T[کالا], T[نوع عملیات]="خرید"), _xlfn._xlws.FILTER(T[فروشنده / مشتری], T[نوع عملیات]="خرید")), "")</f>
        <v>سرای ملی</v>
      </c>
    </row>
    <row r="1124" spans="2:17" ht="16.5" hidden="1" x14ac:dyDescent="0.75">
      <c r="B1124" s="227">
        <v>4</v>
      </c>
      <c r="C1124" s="150">
        <v>5</v>
      </c>
      <c r="D1124" s="150">
        <v>27</v>
      </c>
      <c r="E1124" s="150" t="str">
        <f t="shared" si="90"/>
        <v>مرداد</v>
      </c>
      <c r="F1124" s="151" t="s">
        <v>167</v>
      </c>
      <c r="G1124" s="244" t="s">
        <v>561</v>
      </c>
      <c r="H1124" s="247" t="s">
        <v>211</v>
      </c>
      <c r="I1124" s="162"/>
      <c r="J1124" s="251">
        <v>1</v>
      </c>
      <c r="K1124" s="254">
        <v>400000</v>
      </c>
      <c r="L1124" s="255">
        <f t="shared" si="91"/>
        <v>400000</v>
      </c>
      <c r="M1124" s="257">
        <v>6700000</v>
      </c>
      <c r="N1124" s="262" t="s">
        <v>299</v>
      </c>
      <c r="O112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172000</v>
      </c>
      <c r="P1124" s="262"/>
      <c r="Q1124" s="264" t="str" cm="1">
        <f t="array" ref="Q1124">IF(T[[#This Row],[نوع عملیات]]="فروش", _xlfn.XLOOKUP(T[[#This Row],[کالا]], _xlfn._xlws.FILTER(T[کالا], T[نوع عملیات]="خرید"), _xlfn._xlws.FILTER(T[فروشنده / مشتری], T[نوع عملیات]="خرید")), "")</f>
        <v>عبدل آباد</v>
      </c>
    </row>
    <row r="1125" spans="2:17" ht="16.5" hidden="1" x14ac:dyDescent="0.75">
      <c r="B1125" s="227">
        <v>4</v>
      </c>
      <c r="C1125" s="150">
        <v>5</v>
      </c>
      <c r="D1125" s="150">
        <v>28</v>
      </c>
      <c r="E1125" s="150" t="str">
        <f t="shared" ref="E1125:E1226" si="92">CHOOSE(C1125, "فروردین", "اردیبهشت", "خرداد", "تیر", "مرداد", "شهریور", "مهر", "آبان", "آذر", "دی", "بهمن", "اسفند")</f>
        <v>مرداد</v>
      </c>
      <c r="F1125" s="151" t="s">
        <v>167</v>
      </c>
      <c r="G1125" s="244" t="s">
        <v>654</v>
      </c>
      <c r="H1125" s="247" t="s">
        <v>211</v>
      </c>
      <c r="I1125" s="162"/>
      <c r="J1125" s="251">
        <v>1</v>
      </c>
      <c r="K1125" s="254">
        <v>1400000</v>
      </c>
      <c r="L1125" s="255">
        <f t="shared" si="91"/>
        <v>1400000</v>
      </c>
      <c r="M1125" s="257"/>
      <c r="N1125" s="262"/>
      <c r="O112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702000</v>
      </c>
      <c r="P1125" s="262"/>
      <c r="Q1125" s="264" t="str" cm="1">
        <f t="array" ref="Q1125">IF(T[[#This Row],[نوع عملیات]]="فروش", _xlfn.XLOOKUP(T[[#This Row],[کالا]], _xlfn._xlws.FILTER(T[کالا], T[نوع عملیات]="خرید"), _xlfn._xlws.FILTER(T[فروشنده / مشتری], T[نوع عملیات]="خرید")), "")</f>
        <v>سرای ملی</v>
      </c>
    </row>
    <row r="1126" spans="2:17" ht="16.5" hidden="1" x14ac:dyDescent="0.75">
      <c r="B1126" s="227">
        <v>4</v>
      </c>
      <c r="C1126" s="150">
        <v>5</v>
      </c>
      <c r="D1126" s="150">
        <v>28</v>
      </c>
      <c r="E1126" s="150" t="str">
        <f t="shared" si="92"/>
        <v>مرداد</v>
      </c>
      <c r="F1126" s="151" t="s">
        <v>167</v>
      </c>
      <c r="G1126" s="244" t="s">
        <v>563</v>
      </c>
      <c r="H1126" s="247" t="s">
        <v>211</v>
      </c>
      <c r="I1126" s="162"/>
      <c r="J1126" s="251">
        <v>1</v>
      </c>
      <c r="K1126" s="254">
        <v>200000</v>
      </c>
      <c r="L1126" s="255">
        <f t="shared" si="91"/>
        <v>200000</v>
      </c>
      <c r="M1126" s="257"/>
      <c r="N1126" s="262"/>
      <c r="O112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v>
      </c>
      <c r="P1126" s="262"/>
      <c r="Q1126" s="264" t="str" cm="1">
        <f t="array" ref="Q1126">IF(T[[#This Row],[نوع عملیات]]="فروش", _xlfn.XLOOKUP(T[[#This Row],[کالا]], _xlfn._xlws.FILTER(T[کالا], T[نوع عملیات]="خرید"), _xlfn._xlws.FILTER(T[فروشنده / مشتری], T[نوع عملیات]="خرید")), "")</f>
        <v>عبدل آباد</v>
      </c>
    </row>
    <row r="1127" spans="2:17" ht="16.5" hidden="1" x14ac:dyDescent="0.75">
      <c r="B1127" s="227">
        <v>4</v>
      </c>
      <c r="C1127" s="150">
        <v>5</v>
      </c>
      <c r="D1127" s="150">
        <v>28</v>
      </c>
      <c r="E1127" s="150" t="str">
        <f t="shared" si="92"/>
        <v>مرداد</v>
      </c>
      <c r="F1127" s="151" t="s">
        <v>167</v>
      </c>
      <c r="G1127" s="244" t="s">
        <v>668</v>
      </c>
      <c r="H1127" s="247" t="s">
        <v>211</v>
      </c>
      <c r="I1127" s="162"/>
      <c r="J1127" s="251">
        <v>1</v>
      </c>
      <c r="K1127" s="254">
        <v>900000</v>
      </c>
      <c r="L1127" s="255">
        <f t="shared" si="91"/>
        <v>900000</v>
      </c>
      <c r="M1127" s="257">
        <v>2500000</v>
      </c>
      <c r="N1127" s="262" t="s">
        <v>299</v>
      </c>
      <c r="O112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207000</v>
      </c>
      <c r="P1127" s="262"/>
      <c r="Q1127" s="264" t="str" cm="1">
        <f t="array" ref="Q1127">IF(T[[#This Row],[نوع عملیات]]="فروش", _xlfn.XLOOKUP(T[[#This Row],[کالا]], _xlfn._xlws.FILTER(T[کالا], T[نوع عملیات]="خرید"), _xlfn._xlws.FILTER(T[فروشنده / مشتری], T[نوع عملیات]="خرید")), "")</f>
        <v>سرای ملی</v>
      </c>
    </row>
    <row r="1128" spans="2:17" ht="16.5" hidden="1" x14ac:dyDescent="0.75">
      <c r="B1128" s="227">
        <v>4</v>
      </c>
      <c r="C1128" s="150">
        <v>5</v>
      </c>
      <c r="D1128" s="150">
        <v>28</v>
      </c>
      <c r="E1128" s="150" t="str">
        <f t="shared" si="92"/>
        <v>مرداد</v>
      </c>
      <c r="F1128" s="151" t="s">
        <v>167</v>
      </c>
      <c r="G1128" s="244" t="s">
        <v>667</v>
      </c>
      <c r="H1128" s="247" t="s">
        <v>422</v>
      </c>
      <c r="I1128" s="162"/>
      <c r="J1128" s="251">
        <v>1</v>
      </c>
      <c r="K1128" s="254">
        <v>1900000</v>
      </c>
      <c r="L1128" s="255">
        <f t="shared" si="91"/>
        <v>1900000</v>
      </c>
      <c r="M1128" s="257"/>
      <c r="N1128" s="262"/>
      <c r="O112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625000</v>
      </c>
      <c r="P1128" s="262"/>
      <c r="Q1128" s="264" t="str" cm="1">
        <f t="array" ref="Q1128">IF(T[[#This Row],[نوع عملیات]]="فروش", _xlfn.XLOOKUP(T[[#This Row],[کالا]], _xlfn._xlws.FILTER(T[کالا], T[نوع عملیات]="خرید"), _xlfn._xlws.FILTER(T[فروشنده / مشتری], T[نوع عملیات]="خرید")), "")</f>
        <v>عبدل آباد</v>
      </c>
    </row>
    <row r="1129" spans="2:17" ht="16.5" hidden="1" x14ac:dyDescent="0.75">
      <c r="B1129" s="227">
        <v>4</v>
      </c>
      <c r="C1129" s="150">
        <v>5</v>
      </c>
      <c r="D1129" s="150">
        <v>28</v>
      </c>
      <c r="E1129" s="150" t="str">
        <f t="shared" ref="E1129:E1147" si="93">CHOOSE(C1129, "فروردین", "اردیبهشت", "خرداد", "تیر", "مرداد", "شهریور", "مهر", "آبان", "آذر", "دی", "بهمن", "اسفند")</f>
        <v>مرداد</v>
      </c>
      <c r="F1129" s="151" t="s">
        <v>167</v>
      </c>
      <c r="G1129" s="244" t="s">
        <v>656</v>
      </c>
      <c r="H1129" s="247" t="s">
        <v>604</v>
      </c>
      <c r="I1129" s="162"/>
      <c r="J1129" s="251">
        <v>1</v>
      </c>
      <c r="K1129" s="254">
        <v>1200000</v>
      </c>
      <c r="L1129" s="255">
        <f t="shared" si="91"/>
        <v>1200000</v>
      </c>
      <c r="M1129" s="257"/>
      <c r="N1129" s="262"/>
      <c r="O112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712500</v>
      </c>
      <c r="P1129" s="262"/>
      <c r="Q1129" s="264" t="str" cm="1">
        <f t="array" ref="Q1129">IF(T[[#This Row],[نوع عملیات]]="فروش", _xlfn.XLOOKUP(T[[#This Row],[کالا]], _xlfn._xlws.FILTER(T[کالا], T[نوع عملیات]="خرید"), _xlfn._xlws.FILTER(T[فروشنده / مشتری], T[نوع عملیات]="خرید")), "")</f>
        <v>سرای ملی</v>
      </c>
    </row>
    <row r="1130" spans="2:17" ht="16.5" hidden="1" x14ac:dyDescent="0.75">
      <c r="B1130" s="227">
        <v>4</v>
      </c>
      <c r="C1130" s="150">
        <v>5</v>
      </c>
      <c r="D1130" s="150">
        <v>28</v>
      </c>
      <c r="E1130" s="150" t="str">
        <f t="shared" si="93"/>
        <v>مرداد</v>
      </c>
      <c r="F1130" s="151" t="s">
        <v>167</v>
      </c>
      <c r="G1130" s="244" t="s">
        <v>679</v>
      </c>
      <c r="H1130" s="247" t="s">
        <v>211</v>
      </c>
      <c r="I1130" s="162"/>
      <c r="J1130" s="251">
        <v>1</v>
      </c>
      <c r="K1130" s="254">
        <v>500000</v>
      </c>
      <c r="L1130" s="255">
        <f t="shared" si="91"/>
        <v>500000</v>
      </c>
      <c r="M1130" s="257">
        <v>500000</v>
      </c>
      <c r="N1130" s="262" t="s">
        <v>299</v>
      </c>
      <c r="O113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260000</v>
      </c>
      <c r="P1130" s="262"/>
      <c r="Q1130" s="264" t="str" cm="1">
        <f t="array" ref="Q1130">IF(T[[#This Row],[نوع عملیات]]="فروش", _xlfn.XLOOKUP(T[[#This Row],[کالا]], _xlfn._xlws.FILTER(T[کالا], T[نوع عملیات]="خرید"), _xlfn._xlws.FILTER(T[فروشنده / مشتری], T[نوع عملیات]="خرید")), "")</f>
        <v>عبدل آباد</v>
      </c>
    </row>
    <row r="1131" spans="2:17" ht="16.5" hidden="1" x14ac:dyDescent="0.75">
      <c r="B1131" s="227">
        <v>4</v>
      </c>
      <c r="C1131" s="150">
        <v>5</v>
      </c>
      <c r="D1131" s="150">
        <v>30</v>
      </c>
      <c r="E1131" s="150" t="str">
        <f t="shared" ref="E1131:E1132" si="94">CHOOSE(C1131, "فروردین", "اردیبهشت", "خرداد", "تیر", "مرداد", "شهریور", "مهر", "آبان", "آذر", "دی", "بهمن", "اسفند")</f>
        <v>مرداد</v>
      </c>
      <c r="F1131" s="151" t="s">
        <v>167</v>
      </c>
      <c r="G1131" s="244" t="s">
        <v>623</v>
      </c>
      <c r="H1131" s="247" t="s">
        <v>350</v>
      </c>
      <c r="I1131" s="162"/>
      <c r="J1131" s="251">
        <v>1</v>
      </c>
      <c r="K1131" s="254">
        <v>250000</v>
      </c>
      <c r="L1131" s="255">
        <f t="shared" ref="L1131:L1132" si="95">J1131*K1131</f>
        <v>250000</v>
      </c>
      <c r="M1131" s="257"/>
      <c r="N1131" s="262"/>
      <c r="O113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31" s="262"/>
      <c r="Q1131" s="264" t="str" cm="1">
        <f t="array" ref="Q1131">IF(T[[#This Row],[نوع عملیات]]="فروش", _xlfn.XLOOKUP(T[[#This Row],[کالا]], _xlfn._xlws.FILTER(T[کالا], T[نوع عملیات]="خرید"), _xlfn._xlws.FILTER(T[فروشنده / مشتری], T[نوع عملیات]="خرید")), "")</f>
        <v>هستی هنگامه</v>
      </c>
    </row>
    <row r="1132" spans="2:17" ht="16.5" hidden="1" x14ac:dyDescent="0.75">
      <c r="B1132" s="227">
        <v>4</v>
      </c>
      <c r="C1132" s="150">
        <v>5</v>
      </c>
      <c r="D1132" s="150">
        <v>30</v>
      </c>
      <c r="E1132" s="150" t="str">
        <f t="shared" si="94"/>
        <v>مرداد</v>
      </c>
      <c r="F1132" s="151" t="s">
        <v>167</v>
      </c>
      <c r="G1132" s="244" t="s">
        <v>687</v>
      </c>
      <c r="H1132" s="247" t="s">
        <v>350</v>
      </c>
      <c r="I1132" s="162"/>
      <c r="J1132" s="251">
        <v>1</v>
      </c>
      <c r="K1132" s="254">
        <v>750000</v>
      </c>
      <c r="L1132" s="255">
        <f t="shared" si="95"/>
        <v>750000</v>
      </c>
      <c r="M1132" s="257">
        <v>1000000</v>
      </c>
      <c r="N1132" s="262" t="s">
        <v>299</v>
      </c>
      <c r="O113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1132" s="262"/>
      <c r="Q1132" s="264" t="str" cm="1">
        <f t="array" ref="Q1132">IF(T[[#This Row],[نوع عملیات]]="فروش", _xlfn.XLOOKUP(T[[#This Row],[کالا]], _xlfn._xlws.FILTER(T[کالا], T[نوع عملیات]="خرید"), _xlfn._xlws.FILTER(T[فروشنده / مشتری], T[نوع عملیات]="خرید")), "")</f>
        <v>فریده</v>
      </c>
    </row>
    <row r="1133" spans="2:17" ht="16.5" hidden="1" x14ac:dyDescent="0.75">
      <c r="B1133" s="227">
        <v>4</v>
      </c>
      <c r="C1133" s="150">
        <v>5</v>
      </c>
      <c r="D1133" s="150">
        <v>30</v>
      </c>
      <c r="E1133" s="150" t="str">
        <f t="shared" si="93"/>
        <v>مرداد</v>
      </c>
      <c r="F1133" s="151" t="s">
        <v>167</v>
      </c>
      <c r="G1133" s="244" t="s">
        <v>676</v>
      </c>
      <c r="H1133" s="247" t="s">
        <v>350</v>
      </c>
      <c r="I1133" s="162"/>
      <c r="J1133" s="251">
        <v>1</v>
      </c>
      <c r="K1133" s="254">
        <v>1600000</v>
      </c>
      <c r="L1133" s="255">
        <f t="shared" si="91"/>
        <v>1600000</v>
      </c>
      <c r="M1133" s="257"/>
      <c r="N1133" s="262"/>
      <c r="O113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520000</v>
      </c>
      <c r="P1133" s="262"/>
      <c r="Q1133" s="264" t="str" cm="1">
        <f t="array" ref="Q1133">IF(T[[#This Row],[نوع عملیات]]="فروش", _xlfn.XLOOKUP(T[[#This Row],[کالا]], _xlfn._xlws.FILTER(T[کالا], T[نوع عملیات]="خرید"), _xlfn._xlws.FILTER(T[فروشنده / مشتری], T[نوع عملیات]="خرید")), "")</f>
        <v>عبدل آباد</v>
      </c>
    </row>
    <row r="1134" spans="2:17" ht="16.5" hidden="1" x14ac:dyDescent="0.75">
      <c r="B1134" s="227">
        <v>4</v>
      </c>
      <c r="C1134" s="150">
        <v>5</v>
      </c>
      <c r="D1134" s="150">
        <v>30</v>
      </c>
      <c r="E1134" s="150" t="str">
        <f t="shared" si="93"/>
        <v>مرداد</v>
      </c>
      <c r="F1134" s="151" t="s">
        <v>167</v>
      </c>
      <c r="G1134" s="244" t="s">
        <v>674</v>
      </c>
      <c r="H1134" s="247" t="s">
        <v>350</v>
      </c>
      <c r="I1134" s="162"/>
      <c r="J1134" s="251">
        <v>1</v>
      </c>
      <c r="K1134" s="254">
        <v>1400000</v>
      </c>
      <c r="L1134" s="255">
        <f t="shared" si="91"/>
        <v>1400000</v>
      </c>
      <c r="M1134" s="257">
        <v>3000000</v>
      </c>
      <c r="N1134" s="262" t="s">
        <v>299</v>
      </c>
      <c r="O113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1134" s="262"/>
      <c r="Q1134" s="264" t="str" cm="1">
        <f t="array" ref="Q1134">IF(T[[#This Row],[نوع عملیات]]="فروش", _xlfn.XLOOKUP(T[[#This Row],[کالا]], _xlfn._xlws.FILTER(T[کالا], T[نوع عملیات]="خرید"), _xlfn._xlws.FILTER(T[فروشنده / مشتری], T[نوع عملیات]="خرید")), "")</f>
        <v>عبدل آباد</v>
      </c>
    </row>
    <row r="1135" spans="2:17" ht="16.5" hidden="1" x14ac:dyDescent="0.75">
      <c r="B1135" s="227">
        <v>4</v>
      </c>
      <c r="C1135" s="150">
        <v>5</v>
      </c>
      <c r="D1135" s="150">
        <v>30</v>
      </c>
      <c r="E1135" s="150" t="str">
        <f t="shared" si="93"/>
        <v>مرداد</v>
      </c>
      <c r="F1135" s="151" t="s">
        <v>167</v>
      </c>
      <c r="G1135" s="244" t="s">
        <v>679</v>
      </c>
      <c r="H1135" s="247" t="s">
        <v>617</v>
      </c>
      <c r="I1135" s="162"/>
      <c r="J1135" s="251">
        <v>1</v>
      </c>
      <c r="K1135" s="254">
        <v>500000</v>
      </c>
      <c r="L1135" s="255">
        <f t="shared" si="91"/>
        <v>500000</v>
      </c>
      <c r="M1135" s="257"/>
      <c r="N1135" s="262"/>
      <c r="O113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260000</v>
      </c>
      <c r="P1135" s="262"/>
      <c r="Q1135" s="264" t="str" cm="1">
        <f t="array" ref="Q1135">IF(T[[#This Row],[نوع عملیات]]="فروش", _xlfn.XLOOKUP(T[[#This Row],[کالا]], _xlfn._xlws.FILTER(T[کالا], T[نوع عملیات]="خرید"), _xlfn._xlws.FILTER(T[فروشنده / مشتری], T[نوع عملیات]="خرید")), "")</f>
        <v>عبدل آباد</v>
      </c>
    </row>
    <row r="1136" spans="2:17" ht="16.5" hidden="1" x14ac:dyDescent="0.75">
      <c r="B1136" s="227">
        <v>4</v>
      </c>
      <c r="C1136" s="150">
        <v>5</v>
      </c>
      <c r="D1136" s="150">
        <v>30</v>
      </c>
      <c r="E1136" s="150" t="str">
        <f t="shared" si="93"/>
        <v>مرداد</v>
      </c>
      <c r="F1136" s="151" t="s">
        <v>167</v>
      </c>
      <c r="G1136" s="244" t="s">
        <v>249</v>
      </c>
      <c r="H1136" s="247" t="s">
        <v>617</v>
      </c>
      <c r="I1136" s="162"/>
      <c r="J1136" s="251">
        <v>1</v>
      </c>
      <c r="K1136" s="254">
        <v>450000</v>
      </c>
      <c r="L1136" s="255">
        <f t="shared" si="91"/>
        <v>450000</v>
      </c>
      <c r="M1136" s="257"/>
      <c r="N1136" s="262"/>
      <c r="O113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284000</v>
      </c>
      <c r="P1136" s="262"/>
      <c r="Q1136" s="264" t="str" cm="1">
        <f t="array" ref="Q1136">IF(T[[#This Row],[نوع عملیات]]="فروش", _xlfn.XLOOKUP(T[[#This Row],[کالا]], _xlfn._xlws.FILTER(T[کالا], T[نوع عملیات]="خرید"), _xlfn._xlws.FILTER(T[فروشنده / مشتری], T[نوع عملیات]="خرید")), "")</f>
        <v>بازار</v>
      </c>
    </row>
    <row r="1137" spans="2:17" ht="16.5" hidden="1" x14ac:dyDescent="0.75">
      <c r="B1137" s="227">
        <v>4</v>
      </c>
      <c r="C1137" s="150">
        <v>5</v>
      </c>
      <c r="D1137" s="150">
        <v>30</v>
      </c>
      <c r="E1137" s="150" t="str">
        <f t="shared" si="93"/>
        <v>مرداد</v>
      </c>
      <c r="F1137" s="151" t="s">
        <v>167</v>
      </c>
      <c r="G1137" s="244" t="s">
        <v>677</v>
      </c>
      <c r="H1137" s="247" t="s">
        <v>211</v>
      </c>
      <c r="I1137" s="162"/>
      <c r="J1137" s="251">
        <v>1</v>
      </c>
      <c r="K1137" s="254">
        <v>3300000</v>
      </c>
      <c r="L1137" s="255">
        <f t="shared" si="91"/>
        <v>3300000</v>
      </c>
      <c r="M1137" s="257"/>
      <c r="N1137" s="262"/>
      <c r="O113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795000</v>
      </c>
      <c r="P1137" s="262"/>
      <c r="Q1137" s="264" t="str" cm="1">
        <f t="array" ref="Q1137">IF(T[[#This Row],[نوع عملیات]]="فروش", _xlfn.XLOOKUP(T[[#This Row],[کالا]], _xlfn._xlws.FILTER(T[کالا], T[نوع عملیات]="خرید"), _xlfn._xlws.FILTER(T[فروشنده / مشتری], T[نوع عملیات]="خرید")), "")</f>
        <v>عبدل آباد</v>
      </c>
    </row>
    <row r="1138" spans="2:17" ht="16.5" hidden="1" x14ac:dyDescent="0.75">
      <c r="B1138" s="227">
        <v>4</v>
      </c>
      <c r="C1138" s="150">
        <v>5</v>
      </c>
      <c r="D1138" s="150">
        <v>30</v>
      </c>
      <c r="E1138" s="150" t="str">
        <f t="shared" si="93"/>
        <v>مرداد</v>
      </c>
      <c r="F1138" s="151" t="s">
        <v>167</v>
      </c>
      <c r="G1138" s="244" t="s">
        <v>674</v>
      </c>
      <c r="H1138" s="247" t="s">
        <v>211</v>
      </c>
      <c r="I1138" s="162"/>
      <c r="J1138" s="251">
        <v>1</v>
      </c>
      <c r="K1138" s="254">
        <v>1400000</v>
      </c>
      <c r="L1138" s="255">
        <f t="shared" si="91"/>
        <v>1400000</v>
      </c>
      <c r="M1138" s="257"/>
      <c r="N1138" s="262"/>
      <c r="O113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1138" s="262"/>
      <c r="Q1138" s="264" t="str" cm="1">
        <f t="array" ref="Q1138">IF(T[[#This Row],[نوع عملیات]]="فروش", _xlfn.XLOOKUP(T[[#This Row],[کالا]], _xlfn._xlws.FILTER(T[کالا], T[نوع عملیات]="خرید"), _xlfn._xlws.FILTER(T[فروشنده / مشتری], T[نوع عملیات]="خرید")), "")</f>
        <v>عبدل آباد</v>
      </c>
    </row>
    <row r="1139" spans="2:17" ht="16.5" hidden="1" x14ac:dyDescent="0.75">
      <c r="B1139" s="227">
        <v>4</v>
      </c>
      <c r="C1139" s="150">
        <v>5</v>
      </c>
      <c r="D1139" s="150">
        <v>30</v>
      </c>
      <c r="E1139" s="150" t="str">
        <f t="shared" si="93"/>
        <v>مرداد</v>
      </c>
      <c r="F1139" s="151" t="s">
        <v>167</v>
      </c>
      <c r="G1139" s="244" t="s">
        <v>651</v>
      </c>
      <c r="H1139" s="247" t="s">
        <v>211</v>
      </c>
      <c r="I1139" s="162"/>
      <c r="J1139" s="251">
        <v>1</v>
      </c>
      <c r="K1139" s="254">
        <v>500000</v>
      </c>
      <c r="L1139" s="255">
        <f t="shared" si="91"/>
        <v>500000</v>
      </c>
      <c r="M1139" s="257"/>
      <c r="N1139" s="262"/>
      <c r="O113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153333.33333333331</v>
      </c>
      <c r="P1139" s="262"/>
      <c r="Q1139" s="264" t="str" cm="1">
        <f t="array" ref="Q1139">IF(T[[#This Row],[نوع عملیات]]="فروش", _xlfn.XLOOKUP(T[[#This Row],[کالا]], _xlfn._xlws.FILTER(T[کالا], T[نوع عملیات]="خرید"), _xlfn._xlws.FILTER(T[فروشنده / مشتری], T[نوع عملیات]="خرید")), "")</f>
        <v>سرای ملی</v>
      </c>
    </row>
    <row r="1140" spans="2:17" ht="16.5" hidden="1" x14ac:dyDescent="0.75">
      <c r="B1140" s="227">
        <v>4</v>
      </c>
      <c r="C1140" s="150">
        <v>5</v>
      </c>
      <c r="D1140" s="150">
        <v>30</v>
      </c>
      <c r="E1140" s="150" t="str">
        <f t="shared" si="93"/>
        <v>مرداد</v>
      </c>
      <c r="F1140" s="151" t="s">
        <v>167</v>
      </c>
      <c r="G1140" s="244" t="s">
        <v>653</v>
      </c>
      <c r="H1140" s="247" t="s">
        <v>211</v>
      </c>
      <c r="I1140" s="162"/>
      <c r="J1140" s="251">
        <v>1</v>
      </c>
      <c r="K1140" s="254">
        <v>1400000</v>
      </c>
      <c r="L1140" s="255">
        <f t="shared" si="91"/>
        <v>1400000</v>
      </c>
      <c r="M1140" s="257"/>
      <c r="N1140" s="262"/>
      <c r="O114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704000</v>
      </c>
      <c r="P1140" s="262"/>
      <c r="Q1140" s="264" t="str" cm="1">
        <f t="array" ref="Q1140">IF(T[[#This Row],[نوع عملیات]]="فروش", _xlfn.XLOOKUP(T[[#This Row],[کالا]], _xlfn._xlws.FILTER(T[کالا], T[نوع عملیات]="خرید"), _xlfn._xlws.FILTER(T[فروشنده / مشتری], T[نوع عملیات]="خرید")), "")</f>
        <v>سرای ملی</v>
      </c>
    </row>
    <row r="1141" spans="2:17" ht="16.5" hidden="1" x14ac:dyDescent="0.75">
      <c r="B1141" s="227">
        <v>4</v>
      </c>
      <c r="C1141" s="150">
        <v>5</v>
      </c>
      <c r="D1141" s="150">
        <v>30</v>
      </c>
      <c r="E1141" s="150" t="str">
        <f t="shared" si="93"/>
        <v>مرداد</v>
      </c>
      <c r="F1141" s="151" t="s">
        <v>167</v>
      </c>
      <c r="G1141" s="244" t="s">
        <v>458</v>
      </c>
      <c r="H1141" s="247" t="s">
        <v>211</v>
      </c>
      <c r="I1141" s="162"/>
      <c r="J1141" s="251">
        <v>1</v>
      </c>
      <c r="K1141" s="254">
        <v>2400000</v>
      </c>
      <c r="L1141" s="255">
        <f t="shared" si="91"/>
        <v>2400000</v>
      </c>
      <c r="M1141" s="257">
        <v>9000000</v>
      </c>
      <c r="N1141" s="262" t="s">
        <v>299</v>
      </c>
      <c r="O114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820000</v>
      </c>
      <c r="P1141" s="262"/>
      <c r="Q1141" s="264" t="str" cm="1">
        <f t="array" ref="Q1141">IF(T[[#This Row],[نوع عملیات]]="فروش", _xlfn.XLOOKUP(T[[#This Row],[کالا]], _xlfn._xlws.FILTER(T[کالا], T[نوع عملیات]="خرید"), _xlfn._xlws.FILTER(T[فروشنده / مشتری], T[نوع عملیات]="خرید")), "")</f>
        <v>سرای ملی</v>
      </c>
    </row>
    <row r="1142" spans="2:17" ht="16.5" hidden="1" x14ac:dyDescent="0.75">
      <c r="B1142" s="227">
        <v>4</v>
      </c>
      <c r="C1142" s="150">
        <v>5</v>
      </c>
      <c r="D1142" s="150">
        <v>30</v>
      </c>
      <c r="E1142" s="150" t="str">
        <f t="shared" si="93"/>
        <v>مرداد</v>
      </c>
      <c r="F1142" s="151" t="s">
        <v>302</v>
      </c>
      <c r="G1142" s="244"/>
      <c r="H1142" s="247" t="s">
        <v>430</v>
      </c>
      <c r="I1142" s="162"/>
      <c r="J1142" s="251"/>
      <c r="K1142" s="254"/>
      <c r="L1142" s="255">
        <f t="shared" si="91"/>
        <v>0</v>
      </c>
      <c r="M1142" s="257">
        <v>5300000</v>
      </c>
      <c r="N1142" s="262" t="s">
        <v>346</v>
      </c>
      <c r="O114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42" s="262"/>
      <c r="Q1142" s="264" t="str" cm="1">
        <f t="array" ref="Q1142">IF(T[[#This Row],[نوع عملیات]]="فروش", _xlfn.XLOOKUP(T[[#This Row],[کالا]], _xlfn._xlws.FILTER(T[کالا], T[نوع عملیات]="خرید"), _xlfn._xlws.FILTER(T[فروشنده / مشتری], T[نوع عملیات]="خرید")), "")</f>
        <v/>
      </c>
    </row>
    <row r="1143" spans="2:17" ht="16.5" hidden="1" x14ac:dyDescent="0.75">
      <c r="B1143" s="227">
        <v>4</v>
      </c>
      <c r="C1143" s="150">
        <v>5</v>
      </c>
      <c r="D1143" s="150">
        <v>30</v>
      </c>
      <c r="E1143" s="150" t="str">
        <f t="shared" si="93"/>
        <v>مرداد</v>
      </c>
      <c r="F1143" s="151" t="s">
        <v>302</v>
      </c>
      <c r="G1143" s="244"/>
      <c r="H1143" s="247" t="s">
        <v>430</v>
      </c>
      <c r="I1143" s="162"/>
      <c r="J1143" s="251"/>
      <c r="K1143" s="254"/>
      <c r="L1143" s="255">
        <f t="shared" si="91"/>
        <v>0</v>
      </c>
      <c r="M1143" s="257">
        <v>4000000</v>
      </c>
      <c r="N1143" s="262" t="s">
        <v>299</v>
      </c>
      <c r="O114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43" s="262"/>
      <c r="Q1143" s="264" t="str" cm="1">
        <f t="array" ref="Q1143">IF(T[[#This Row],[نوع عملیات]]="فروش", _xlfn.XLOOKUP(T[[#This Row],[کالا]], _xlfn._xlws.FILTER(T[کالا], T[نوع عملیات]="خرید"), _xlfn._xlws.FILTER(T[فروشنده / مشتری], T[نوع عملیات]="خرید")), "")</f>
        <v/>
      </c>
    </row>
    <row r="1144" spans="2:17" ht="16.5" hidden="1" x14ac:dyDescent="0.75">
      <c r="B1144" s="227">
        <v>4</v>
      </c>
      <c r="C1144" s="150">
        <v>5</v>
      </c>
      <c r="D1144" s="150">
        <v>30</v>
      </c>
      <c r="E1144" s="150" t="str">
        <f t="shared" ref="E1144:E1146" si="96">CHOOSE(C1144, "فروردین", "اردیبهشت", "خرداد", "تیر", "مرداد", "شهریور", "مهر", "آبان", "آذر", "دی", "بهمن", "اسفند")</f>
        <v>مرداد</v>
      </c>
      <c r="F1144" s="151" t="s">
        <v>167</v>
      </c>
      <c r="G1144" s="244" t="s">
        <v>679</v>
      </c>
      <c r="H1144" s="247" t="s">
        <v>612</v>
      </c>
      <c r="I1144" s="162"/>
      <c r="J1144" s="251">
        <v>1</v>
      </c>
      <c r="K1144" s="254">
        <v>500000</v>
      </c>
      <c r="L1144" s="255">
        <f t="shared" si="91"/>
        <v>500000</v>
      </c>
      <c r="M1144" s="257"/>
      <c r="N1144" s="262"/>
      <c r="O114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260000</v>
      </c>
      <c r="P1144" s="262"/>
      <c r="Q1144" s="264" t="str" cm="1">
        <f t="array" ref="Q1144">IF(T[[#This Row],[نوع عملیات]]="فروش", _xlfn.XLOOKUP(T[[#This Row],[کالا]], _xlfn._xlws.FILTER(T[کالا], T[نوع عملیات]="خرید"), _xlfn._xlws.FILTER(T[فروشنده / مشتری], T[نوع عملیات]="خرید")), "")</f>
        <v>عبدل آباد</v>
      </c>
    </row>
    <row r="1145" spans="2:17" ht="16.5" hidden="1" x14ac:dyDescent="0.75">
      <c r="B1145" s="227">
        <v>4</v>
      </c>
      <c r="C1145" s="150">
        <v>5</v>
      </c>
      <c r="D1145" s="150">
        <v>30</v>
      </c>
      <c r="E1145" s="150" t="str">
        <f t="shared" si="96"/>
        <v>مرداد</v>
      </c>
      <c r="F1145" s="151" t="s">
        <v>167</v>
      </c>
      <c r="G1145" s="244" t="s">
        <v>134</v>
      </c>
      <c r="H1145" s="247" t="s">
        <v>211</v>
      </c>
      <c r="I1145" s="162"/>
      <c r="J1145" s="251">
        <v>1</v>
      </c>
      <c r="K1145" s="254">
        <v>950000</v>
      </c>
      <c r="L1145" s="255">
        <f t="shared" si="91"/>
        <v>950000</v>
      </c>
      <c r="M1145" s="257">
        <v>950000</v>
      </c>
      <c r="N1145" s="262" t="s">
        <v>216</v>
      </c>
      <c r="O114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210000</v>
      </c>
      <c r="P1145" s="262"/>
      <c r="Q1145" s="264" t="str" cm="1">
        <f t="array" ref="Q1145">IF(T[[#This Row],[نوع عملیات]]="فروش", _xlfn.XLOOKUP(T[[#This Row],[کالا]], _xlfn._xlws.FILTER(T[کالا], T[نوع عملیات]="خرید"), _xlfn._xlws.FILTER(T[فروشنده / مشتری], T[نوع عملیات]="خرید")), "")</f>
        <v>بازار</v>
      </c>
    </row>
    <row r="1146" spans="2:17" ht="16.5" hidden="1" x14ac:dyDescent="0.75">
      <c r="B1146" s="227">
        <v>4</v>
      </c>
      <c r="C1146" s="150">
        <v>5</v>
      </c>
      <c r="D1146" s="150">
        <v>30</v>
      </c>
      <c r="E1146" s="150" t="str">
        <f t="shared" si="96"/>
        <v>مرداد</v>
      </c>
      <c r="F1146" s="151" t="s">
        <v>167</v>
      </c>
      <c r="G1146" s="244" t="s">
        <v>486</v>
      </c>
      <c r="H1146" s="247" t="s">
        <v>604</v>
      </c>
      <c r="I1146" s="162"/>
      <c r="J1146" s="251">
        <v>1</v>
      </c>
      <c r="K1146" s="254">
        <v>2500000</v>
      </c>
      <c r="L1146" s="255">
        <f t="shared" si="91"/>
        <v>2500000</v>
      </c>
      <c r="M1146" s="257"/>
      <c r="N1146" s="262"/>
      <c r="O114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951250</v>
      </c>
      <c r="P1146" s="262"/>
      <c r="Q1146" s="264" t="str" cm="1">
        <f t="array" ref="Q1146">IF(T[[#This Row],[نوع عملیات]]="فروش", _xlfn.XLOOKUP(T[[#This Row],[کالا]], _xlfn._xlws.FILTER(T[کالا], T[نوع عملیات]="خرید"), _xlfn._xlws.FILTER(T[فروشنده / مشتری], T[نوع عملیات]="خرید")), "")</f>
        <v>عبدل آباد</v>
      </c>
    </row>
    <row r="1147" spans="2:17" ht="16.5" hidden="1" x14ac:dyDescent="0.75">
      <c r="B1147" s="227">
        <v>4</v>
      </c>
      <c r="C1147" s="150">
        <v>5</v>
      </c>
      <c r="D1147" s="150">
        <v>30</v>
      </c>
      <c r="E1147" s="150" t="str">
        <f t="shared" si="93"/>
        <v>مرداد</v>
      </c>
      <c r="F1147" s="151" t="s">
        <v>167</v>
      </c>
      <c r="G1147" s="244" t="s">
        <v>590</v>
      </c>
      <c r="H1147" s="247" t="s">
        <v>604</v>
      </c>
      <c r="I1147" s="162"/>
      <c r="J1147" s="251">
        <v>1</v>
      </c>
      <c r="K1147" s="254">
        <v>2200000</v>
      </c>
      <c r="L1147" s="255">
        <f t="shared" si="91"/>
        <v>2200000</v>
      </c>
      <c r="M1147" s="257"/>
      <c r="N1147" s="262"/>
      <c r="O114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850000</v>
      </c>
      <c r="P1147" s="262"/>
      <c r="Q1147" s="264" t="str" cm="1">
        <f t="array" ref="Q1147">IF(T[[#This Row],[نوع عملیات]]="فروش", _xlfn.XLOOKUP(T[[#This Row],[کالا]], _xlfn._xlws.FILTER(T[کالا], T[نوع عملیات]="خرید"), _xlfn._xlws.FILTER(T[فروشنده / مشتری], T[نوع عملیات]="خرید")), "")</f>
        <v>عبدل آباد</v>
      </c>
    </row>
    <row r="1148" spans="2:17" ht="16.5" hidden="1" x14ac:dyDescent="0.75">
      <c r="B1148" s="227">
        <v>4</v>
      </c>
      <c r="C1148" s="150">
        <v>5</v>
      </c>
      <c r="D1148" s="150">
        <v>30</v>
      </c>
      <c r="E1148" s="150" t="str">
        <f t="shared" si="92"/>
        <v>مرداد</v>
      </c>
      <c r="F1148" s="151" t="s">
        <v>167</v>
      </c>
      <c r="G1148" s="244" t="s">
        <v>574</v>
      </c>
      <c r="H1148" s="247" t="s">
        <v>604</v>
      </c>
      <c r="I1148" s="162"/>
      <c r="J1148" s="251">
        <v>1</v>
      </c>
      <c r="K1148" s="254">
        <v>300000</v>
      </c>
      <c r="L1148" s="255">
        <f t="shared" si="55"/>
        <v>300000</v>
      </c>
      <c r="M1148" s="257"/>
      <c r="N1148" s="262"/>
      <c r="O114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1148" s="262"/>
      <c r="Q1148" s="264" t="str" cm="1">
        <f t="array" ref="Q1148">IF(T[[#This Row],[نوع عملیات]]="فروش", _xlfn.XLOOKUP(T[[#This Row],[کالا]], _xlfn._xlws.FILTER(T[کالا], T[نوع عملیات]="خرید"), _xlfn._xlws.FILTER(T[فروشنده / مشتری], T[نوع عملیات]="خرید")), "")</f>
        <v>عبدل آباد</v>
      </c>
    </row>
    <row r="1149" spans="2:17" ht="16.5" hidden="1" x14ac:dyDescent="0.75">
      <c r="B1149" s="227">
        <v>4</v>
      </c>
      <c r="C1149" s="150">
        <v>5</v>
      </c>
      <c r="D1149" s="150">
        <v>31</v>
      </c>
      <c r="E1149" s="150" t="str">
        <f t="shared" ref="E1149:E1225" si="97">CHOOSE(C1149, "فروردین", "اردیبهشت", "خرداد", "تیر", "مرداد", "شهریور", "مهر", "آبان", "آذر", "دی", "بهمن", "اسفند")</f>
        <v>مرداد</v>
      </c>
      <c r="F1149" s="151" t="s">
        <v>167</v>
      </c>
      <c r="G1149" s="244" t="s">
        <v>545</v>
      </c>
      <c r="H1149" s="247" t="s">
        <v>211</v>
      </c>
      <c r="I1149" s="162"/>
      <c r="J1149" s="251">
        <v>1</v>
      </c>
      <c r="K1149" s="254">
        <v>1200000</v>
      </c>
      <c r="L1149" s="255">
        <f t="shared" ref="L1149:L1225" si="98">J1149*K1149</f>
        <v>1200000</v>
      </c>
      <c r="M1149" s="257">
        <v>1200000</v>
      </c>
      <c r="N1149" s="262" t="s">
        <v>611</v>
      </c>
      <c r="O114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302500</v>
      </c>
      <c r="P1149" s="262"/>
      <c r="Q1149" s="264" t="str" cm="1">
        <f t="array" ref="Q1149">IF(T[[#This Row],[نوع عملیات]]="فروش", _xlfn.XLOOKUP(T[[#This Row],[کالا]], _xlfn._xlws.FILTER(T[کالا], T[نوع عملیات]="خرید"), _xlfn._xlws.FILTER(T[فروشنده / مشتری], T[نوع عملیات]="خرید")), "")</f>
        <v>بازار پارسیان</v>
      </c>
    </row>
    <row r="1150" spans="2:17" ht="16.5" hidden="1" x14ac:dyDescent="0.75">
      <c r="B1150" s="227">
        <v>4</v>
      </c>
      <c r="C1150" s="150">
        <v>5</v>
      </c>
      <c r="D1150" s="150">
        <v>31</v>
      </c>
      <c r="E1150" s="150" t="str">
        <f t="shared" si="97"/>
        <v>مرداد</v>
      </c>
      <c r="F1150" s="151" t="s">
        <v>167</v>
      </c>
      <c r="G1150" s="244" t="s">
        <v>574</v>
      </c>
      <c r="H1150" s="247" t="s">
        <v>429</v>
      </c>
      <c r="I1150" s="162"/>
      <c r="J1150" s="251">
        <v>1</v>
      </c>
      <c r="K1150" s="254">
        <v>300000</v>
      </c>
      <c r="L1150" s="255">
        <f t="shared" si="98"/>
        <v>300000</v>
      </c>
      <c r="M1150" s="257"/>
      <c r="N1150" s="262"/>
      <c r="O115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1150" s="262"/>
      <c r="Q1150" s="264" t="str" cm="1">
        <f t="array" ref="Q1150">IF(T[[#This Row],[نوع عملیات]]="فروش", _xlfn.XLOOKUP(T[[#This Row],[کالا]], _xlfn._xlws.FILTER(T[کالا], T[نوع عملیات]="خرید"), _xlfn._xlws.FILTER(T[فروشنده / مشتری], T[نوع عملیات]="خرید")), "")</f>
        <v>عبدل آباد</v>
      </c>
    </row>
    <row r="1151" spans="2:17" ht="16.5" hidden="1" x14ac:dyDescent="0.75">
      <c r="B1151" s="227">
        <v>4</v>
      </c>
      <c r="C1151" s="150">
        <v>5</v>
      </c>
      <c r="D1151" s="150">
        <v>31</v>
      </c>
      <c r="E1151" s="150" t="str">
        <f t="shared" si="97"/>
        <v>مرداد</v>
      </c>
      <c r="F1151" s="151" t="s">
        <v>167</v>
      </c>
      <c r="G1151" s="244" t="s">
        <v>654</v>
      </c>
      <c r="H1151" s="247" t="s">
        <v>288</v>
      </c>
      <c r="I1151" s="162"/>
      <c r="J1151" s="251">
        <v>1</v>
      </c>
      <c r="K1151" s="254">
        <v>1400000</v>
      </c>
      <c r="L1151" s="255">
        <f t="shared" si="98"/>
        <v>1400000</v>
      </c>
      <c r="M1151" s="257"/>
      <c r="N1151" s="262"/>
      <c r="O115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702000</v>
      </c>
      <c r="P1151" s="262"/>
      <c r="Q1151" s="264" t="str" cm="1">
        <f t="array" ref="Q1151">IF(T[[#This Row],[نوع عملیات]]="فروش", _xlfn.XLOOKUP(T[[#This Row],[کالا]], _xlfn._xlws.FILTER(T[کالا], T[نوع عملیات]="خرید"), _xlfn._xlws.FILTER(T[فروشنده / مشتری], T[نوع عملیات]="خرید")), "")</f>
        <v>سرای ملی</v>
      </c>
    </row>
    <row r="1152" spans="2:17" ht="16.5" hidden="1" x14ac:dyDescent="0.75">
      <c r="B1152" s="227">
        <v>4</v>
      </c>
      <c r="C1152" s="150">
        <v>5</v>
      </c>
      <c r="D1152" s="150">
        <v>31</v>
      </c>
      <c r="E1152" s="150" t="str">
        <f t="shared" si="97"/>
        <v>مرداد</v>
      </c>
      <c r="F1152" s="151" t="s">
        <v>167</v>
      </c>
      <c r="G1152" s="244" t="s">
        <v>656</v>
      </c>
      <c r="H1152" s="247" t="s">
        <v>288</v>
      </c>
      <c r="I1152" s="162"/>
      <c r="J1152" s="251">
        <v>1</v>
      </c>
      <c r="K1152" s="254">
        <v>1100000</v>
      </c>
      <c r="L1152" s="255">
        <f t="shared" si="98"/>
        <v>1100000</v>
      </c>
      <c r="M1152" s="257"/>
      <c r="N1152" s="262"/>
      <c r="O115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612500</v>
      </c>
      <c r="P1152" s="262"/>
      <c r="Q1152" s="264" t="str" cm="1">
        <f t="array" ref="Q1152">IF(T[[#This Row],[نوع عملیات]]="فروش", _xlfn.XLOOKUP(T[[#This Row],[کالا]], _xlfn._xlws.FILTER(T[کالا], T[نوع عملیات]="خرید"), _xlfn._xlws.FILTER(T[فروشنده / مشتری], T[نوع عملیات]="خرید")), "")</f>
        <v>سرای ملی</v>
      </c>
    </row>
    <row r="1153" spans="2:17" ht="16.5" hidden="1" x14ac:dyDescent="0.75">
      <c r="B1153" s="227">
        <v>4</v>
      </c>
      <c r="C1153" s="150">
        <v>5</v>
      </c>
      <c r="D1153" s="150">
        <v>31</v>
      </c>
      <c r="E1153" s="150" t="str">
        <f>CHOOSE(C1153, "فروردین", "اردیبهشت", "خرداد", "تیر", "مرداد", "شهریور", "مهر", "آبان", "آذر", "دی", "بهمن", "اسفند")</f>
        <v>مرداد</v>
      </c>
      <c r="F1153" s="151" t="s">
        <v>325</v>
      </c>
      <c r="G1153" s="244" t="s">
        <v>574</v>
      </c>
      <c r="H1153" s="247" t="s">
        <v>451</v>
      </c>
      <c r="I1153" s="162"/>
      <c r="J1153" s="251">
        <v>1</v>
      </c>
      <c r="K1153" s="254">
        <v>0</v>
      </c>
      <c r="L1153" s="255">
        <f>J1153*K1153</f>
        <v>0</v>
      </c>
      <c r="M1153" s="257"/>
      <c r="N1153" s="262"/>
      <c r="O115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-118000</v>
      </c>
      <c r="P1153" s="262"/>
      <c r="Q1153" s="264" t="str" cm="1">
        <f t="array" ref="Q1153">IF(T[[#This Row],[نوع عملیات]]="فروش", _xlfn.XLOOKUP(T[[#This Row],[کالا]], _xlfn._xlws.FILTER(T[کالا], T[نوع عملیات]="خرید"), _xlfn._xlws.FILTER(T[فروشنده / مشتری], T[نوع عملیات]="خرید")), "")</f>
        <v/>
      </c>
    </row>
    <row r="1154" spans="2:17" ht="16.5" hidden="1" x14ac:dyDescent="0.75">
      <c r="B1154" s="227">
        <v>4</v>
      </c>
      <c r="C1154" s="150">
        <v>5</v>
      </c>
      <c r="D1154" s="150">
        <v>31</v>
      </c>
      <c r="E1154" s="150" t="str">
        <f>CHOOSE(C1154, "فروردین", "اردیبهشت", "خرداد", "تیر", "مرداد", "شهریور", "مهر", "آبان", "آذر", "دی", "بهمن", "اسفند")</f>
        <v>مرداد</v>
      </c>
      <c r="F1154" s="151" t="s">
        <v>325</v>
      </c>
      <c r="G1154" s="244" t="s">
        <v>274</v>
      </c>
      <c r="H1154" s="247" t="s">
        <v>451</v>
      </c>
      <c r="I1154" s="162"/>
      <c r="J1154" s="251">
        <v>2</v>
      </c>
      <c r="K1154" s="254"/>
      <c r="L1154" s="255">
        <f>J1154*K1154</f>
        <v>0</v>
      </c>
      <c r="M1154" s="257"/>
      <c r="N1154" s="262"/>
      <c r="O115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-108571.42857142857</v>
      </c>
      <c r="P1154" s="262"/>
      <c r="Q1154" s="264" t="str" cm="1">
        <f t="array" ref="Q1154">IF(T[[#This Row],[نوع عملیات]]="فروش", _xlfn.XLOOKUP(T[[#This Row],[کالا]], _xlfn._xlws.FILTER(T[کالا], T[نوع عملیات]="خرید"), _xlfn._xlws.FILTER(T[فروشنده / مشتری], T[نوع عملیات]="خرید")), "")</f>
        <v/>
      </c>
    </row>
    <row r="1155" spans="2:17" ht="16.5" hidden="1" x14ac:dyDescent="0.75">
      <c r="B1155" s="227">
        <v>4</v>
      </c>
      <c r="C1155" s="150">
        <v>6</v>
      </c>
      <c r="D1155" s="150">
        <v>3</v>
      </c>
      <c r="E1155" s="150" t="str">
        <f t="shared" si="97"/>
        <v>شهریور</v>
      </c>
      <c r="F1155" s="151" t="s">
        <v>167</v>
      </c>
      <c r="G1155" s="244" t="s">
        <v>468</v>
      </c>
      <c r="H1155" s="247" t="s">
        <v>689</v>
      </c>
      <c r="I1155" s="162"/>
      <c r="J1155" s="251">
        <v>1</v>
      </c>
      <c r="K1155" s="254">
        <v>350000</v>
      </c>
      <c r="L1155" s="255">
        <f t="shared" si="98"/>
        <v>350000</v>
      </c>
      <c r="M1155" s="257">
        <v>350000</v>
      </c>
      <c r="N1155" s="262" t="s">
        <v>611</v>
      </c>
      <c r="O115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202000</v>
      </c>
      <c r="P1155" s="262"/>
      <c r="Q1155" s="264" t="str" cm="1">
        <f t="array" ref="Q1155">IF(T[[#This Row],[نوع عملیات]]="فروش", _xlfn.XLOOKUP(T[[#This Row],[کالا]], _xlfn._xlws.FILTER(T[کالا], T[نوع عملیات]="خرید"), _xlfn._xlws.FILTER(T[فروشنده / مشتری], T[نوع عملیات]="خرید")), "")</f>
        <v>سرای ملی</v>
      </c>
    </row>
    <row r="1156" spans="2:17" ht="16.5" hidden="1" x14ac:dyDescent="0.75">
      <c r="B1156" s="227">
        <v>4</v>
      </c>
      <c r="C1156" s="150">
        <v>6</v>
      </c>
      <c r="D1156" s="150">
        <v>3</v>
      </c>
      <c r="E1156" s="150" t="str">
        <f>CHOOSE(C1156, "فروردین", "اردیبهشت", "خرداد", "تیر", "مرداد", "شهریور", "مهر", "آبان", "آذر", "دی", "بهمن", "اسفند")</f>
        <v>شهریور</v>
      </c>
      <c r="F1156" s="151" t="s">
        <v>167</v>
      </c>
      <c r="G1156" s="244" t="s">
        <v>457</v>
      </c>
      <c r="H1156" s="247" t="s">
        <v>130</v>
      </c>
      <c r="I1156" s="162"/>
      <c r="J1156" s="251">
        <v>1</v>
      </c>
      <c r="K1156" s="254">
        <v>1100000</v>
      </c>
      <c r="L1156" s="255">
        <f t="shared" ref="L1156:L1188" si="99">J1156*K1156</f>
        <v>1100000</v>
      </c>
      <c r="M1156" s="257"/>
      <c r="N1156" s="262"/>
      <c r="O115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113478.26086956519</v>
      </c>
      <c r="P1156" s="262"/>
      <c r="Q1156" s="264" t="str" cm="1">
        <f t="array" ref="Q1156">IF(T[[#This Row],[نوع عملیات]]="فروش", _xlfn.XLOOKUP(T[[#This Row],[کالا]], _xlfn._xlws.FILTER(T[کالا], T[نوع عملیات]="خرید"), _xlfn._xlws.FILTER(T[فروشنده / مشتری], T[نوع عملیات]="خرید")), "")</f>
        <v>عبدل آباد</v>
      </c>
    </row>
    <row r="1157" spans="2:17" ht="16.5" hidden="1" x14ac:dyDescent="0.75">
      <c r="B1157" s="227">
        <v>4</v>
      </c>
      <c r="C1157" s="150">
        <v>6</v>
      </c>
      <c r="D1157" s="150">
        <v>3</v>
      </c>
      <c r="E1157" s="150" t="str">
        <f t="shared" ref="E1157:E1177" si="100">CHOOSE(C1157, "فروردین", "اردیبهشت", "خرداد", "تیر", "مرداد", "شهریور", "مهر", "آبان", "آذر", "دی", "بهمن", "اسفند")</f>
        <v>شهریور</v>
      </c>
      <c r="F1157" s="151" t="s">
        <v>167</v>
      </c>
      <c r="G1157" s="244" t="s">
        <v>646</v>
      </c>
      <c r="H1157" s="247" t="s">
        <v>130</v>
      </c>
      <c r="I1157" s="162"/>
      <c r="J1157" s="251">
        <v>1</v>
      </c>
      <c r="K1157" s="254">
        <v>1400000</v>
      </c>
      <c r="L1157" s="255">
        <f t="shared" si="99"/>
        <v>1400000</v>
      </c>
      <c r="M1157" s="257">
        <v>2500000</v>
      </c>
      <c r="N1157" s="262" t="s">
        <v>611</v>
      </c>
      <c r="O115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101000</v>
      </c>
      <c r="P1157" s="262"/>
      <c r="Q1157" s="264" t="str" cm="1">
        <f t="array" ref="Q1157">IF(T[[#This Row],[نوع عملیات]]="فروش", _xlfn.XLOOKUP(T[[#This Row],[کالا]], _xlfn._xlws.FILTER(T[کالا], T[نوع عملیات]="خرید"), _xlfn._xlws.FILTER(T[فروشنده / مشتری], T[نوع عملیات]="خرید")), "")</f>
        <v>سرای ملی</v>
      </c>
    </row>
    <row r="1158" spans="2:17" ht="16.5" hidden="1" x14ac:dyDescent="0.75">
      <c r="B1158" s="227">
        <v>4</v>
      </c>
      <c r="C1158" s="150">
        <v>6</v>
      </c>
      <c r="D1158" s="150">
        <v>3</v>
      </c>
      <c r="E1158" s="150" t="str">
        <f t="shared" si="100"/>
        <v>شهریور</v>
      </c>
      <c r="F1158" s="151" t="s">
        <v>167</v>
      </c>
      <c r="G1158" s="244" t="s">
        <v>654</v>
      </c>
      <c r="H1158" s="247" t="s">
        <v>539</v>
      </c>
      <c r="I1158" s="162"/>
      <c r="J1158" s="251">
        <v>1</v>
      </c>
      <c r="K1158" s="254">
        <v>1400000</v>
      </c>
      <c r="L1158" s="255">
        <f t="shared" si="99"/>
        <v>1400000</v>
      </c>
      <c r="M1158" s="257"/>
      <c r="N1158" s="262"/>
      <c r="O115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702000</v>
      </c>
      <c r="P1158" s="262"/>
      <c r="Q1158" s="264" t="str" cm="1">
        <f t="array" ref="Q1158">IF(T[[#This Row],[نوع عملیات]]="فروش", _xlfn.XLOOKUP(T[[#This Row],[کالا]], _xlfn._xlws.FILTER(T[کالا], T[نوع عملیات]="خرید"), _xlfn._xlws.FILTER(T[فروشنده / مشتری], T[نوع عملیات]="خرید")), "")</f>
        <v>سرای ملی</v>
      </c>
    </row>
    <row r="1159" spans="2:17" ht="16.5" hidden="1" x14ac:dyDescent="0.75">
      <c r="B1159" s="227">
        <v>4</v>
      </c>
      <c r="C1159" s="150">
        <v>6</v>
      </c>
      <c r="D1159" s="150">
        <v>3</v>
      </c>
      <c r="E1159" s="150" t="str">
        <f t="shared" si="100"/>
        <v>شهریور</v>
      </c>
      <c r="F1159" s="151" t="s">
        <v>167</v>
      </c>
      <c r="G1159" s="244" t="s">
        <v>364</v>
      </c>
      <c r="H1159" s="247" t="s">
        <v>211</v>
      </c>
      <c r="I1159" s="162"/>
      <c r="J1159" s="251">
        <v>1</v>
      </c>
      <c r="K1159" s="254">
        <v>1250000</v>
      </c>
      <c r="L1159" s="255">
        <f t="shared" si="99"/>
        <v>1250000</v>
      </c>
      <c r="M1159" s="257"/>
      <c r="N1159" s="262"/>
      <c r="O115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720000</v>
      </c>
      <c r="P1159" s="262"/>
      <c r="Q1159" s="264" t="str" cm="1">
        <f t="array" ref="Q1159">IF(T[[#This Row],[نوع عملیات]]="فروش", _xlfn.XLOOKUP(T[[#This Row],[کالا]], _xlfn._xlws.FILTER(T[کالا], T[نوع عملیات]="خرید"), _xlfn._xlws.FILTER(T[فروشنده / مشتری], T[نوع عملیات]="خرید")), "")</f>
        <v>بازار</v>
      </c>
    </row>
    <row r="1160" spans="2:17" ht="16.5" hidden="1" x14ac:dyDescent="0.75">
      <c r="B1160" s="227">
        <v>4</v>
      </c>
      <c r="C1160" s="150">
        <v>6</v>
      </c>
      <c r="D1160" s="150">
        <v>3</v>
      </c>
      <c r="E1160" s="150" t="str">
        <f t="shared" si="100"/>
        <v>شهریور</v>
      </c>
      <c r="F1160" s="151" t="s">
        <v>167</v>
      </c>
      <c r="G1160" s="244" t="s">
        <v>622</v>
      </c>
      <c r="H1160" s="247" t="s">
        <v>211</v>
      </c>
      <c r="I1160" s="162"/>
      <c r="J1160" s="251">
        <v>1</v>
      </c>
      <c r="K1160" s="254">
        <v>600000</v>
      </c>
      <c r="L1160" s="255">
        <f t="shared" si="99"/>
        <v>600000</v>
      </c>
      <c r="M1160" s="257">
        <v>1850000</v>
      </c>
      <c r="N1160" s="262" t="s">
        <v>299</v>
      </c>
      <c r="O116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v>
      </c>
      <c r="P1160" s="262"/>
      <c r="Q1160" s="264" t="str" cm="1">
        <f t="array" ref="Q1160">IF(T[[#This Row],[نوع عملیات]]="فروش", _xlfn.XLOOKUP(T[[#This Row],[کالا]], _xlfn._xlws.FILTER(T[کالا], T[نوع عملیات]="خرید"), _xlfn._xlws.FILTER(T[فروشنده / مشتری], T[نوع عملیات]="خرید")), "")</f>
        <v>هستی هنگامه</v>
      </c>
    </row>
    <row r="1161" spans="2:17" ht="16.5" hidden="1" x14ac:dyDescent="0.75">
      <c r="B1161" s="227">
        <v>4</v>
      </c>
      <c r="C1161" s="150">
        <v>6</v>
      </c>
      <c r="D1161" s="150">
        <v>3</v>
      </c>
      <c r="E1161" s="150" t="str">
        <f t="shared" si="100"/>
        <v>شهریور</v>
      </c>
      <c r="F1161" s="151" t="s">
        <v>167</v>
      </c>
      <c r="G1161" s="244" t="s">
        <v>642</v>
      </c>
      <c r="H1161" s="247" t="s">
        <v>436</v>
      </c>
      <c r="I1161" s="162"/>
      <c r="J1161" s="251">
        <v>1</v>
      </c>
      <c r="K1161" s="254">
        <v>280000</v>
      </c>
      <c r="L1161" s="255">
        <f t="shared" si="99"/>
        <v>280000</v>
      </c>
      <c r="M1161" s="257">
        <v>280000</v>
      </c>
      <c r="N1161" s="262" t="s">
        <v>611</v>
      </c>
      <c r="O116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1161" s="262"/>
      <c r="Q1161" s="264" t="str" cm="1">
        <f t="array" ref="Q1161">IF(T[[#This Row],[نوع عملیات]]="فروش", _xlfn.XLOOKUP(T[[#This Row],[کالا]], _xlfn._xlws.FILTER(T[کالا], T[نوع عملیات]="خرید"), _xlfn._xlws.FILTER(T[فروشنده / مشتری], T[نوع عملیات]="خرید")), "")</f>
        <v>عبدل آباد</v>
      </c>
    </row>
    <row r="1162" spans="2:17" ht="16.5" hidden="1" x14ac:dyDescent="0.75">
      <c r="B1162" s="227">
        <v>4</v>
      </c>
      <c r="C1162" s="150">
        <v>6</v>
      </c>
      <c r="D1162" s="150">
        <v>3</v>
      </c>
      <c r="E1162" s="150" t="str">
        <f t="shared" si="100"/>
        <v>شهریور</v>
      </c>
      <c r="F1162" s="151" t="s">
        <v>167</v>
      </c>
      <c r="G1162" s="244" t="s">
        <v>563</v>
      </c>
      <c r="H1162" s="247" t="s">
        <v>422</v>
      </c>
      <c r="I1162" s="162"/>
      <c r="J1162" s="251">
        <v>1</v>
      </c>
      <c r="K1162" s="254">
        <v>300000</v>
      </c>
      <c r="L1162" s="255">
        <f t="shared" si="99"/>
        <v>300000</v>
      </c>
      <c r="M1162" s="257"/>
      <c r="N1162" s="262"/>
      <c r="O116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102000</v>
      </c>
      <c r="P1162" s="262"/>
      <c r="Q1162" s="264" t="str" cm="1">
        <f t="array" ref="Q1162">IF(T[[#This Row],[نوع عملیات]]="فروش", _xlfn.XLOOKUP(T[[#This Row],[کالا]], _xlfn._xlws.FILTER(T[کالا], T[نوع عملیات]="خرید"), _xlfn._xlws.FILTER(T[فروشنده / مشتری], T[نوع عملیات]="خرید")), "")</f>
        <v>عبدل آباد</v>
      </c>
    </row>
    <row r="1163" spans="2:17" ht="16.5" hidden="1" x14ac:dyDescent="0.75">
      <c r="B1163" s="227">
        <v>4</v>
      </c>
      <c r="C1163" s="150">
        <v>6</v>
      </c>
      <c r="D1163" s="150">
        <v>3</v>
      </c>
      <c r="E1163" s="150" t="str">
        <f>CHOOSE(C1163, "فروردین", "اردیبهشت", "خرداد", "تیر", "مرداد", "شهریور", "مهر", "آبان", "آذر", "دی", "بهمن", "اسفند")</f>
        <v>شهریور</v>
      </c>
      <c r="F1163" s="151" t="s">
        <v>325</v>
      </c>
      <c r="G1163" s="244" t="s">
        <v>667</v>
      </c>
      <c r="H1163" s="247" t="s">
        <v>451</v>
      </c>
      <c r="I1163" s="162"/>
      <c r="J1163" s="251">
        <v>3</v>
      </c>
      <c r="K1163" s="254">
        <v>0</v>
      </c>
      <c r="L1163" s="255">
        <f t="shared" si="99"/>
        <v>0</v>
      </c>
      <c r="M1163" s="257"/>
      <c r="N1163" s="262"/>
      <c r="O116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-3825000</v>
      </c>
      <c r="P1163" s="262"/>
      <c r="Q1163" s="264" t="str" cm="1">
        <f t="array" ref="Q1163">IF(T[[#This Row],[نوع عملیات]]="فروش", _xlfn.XLOOKUP(T[[#This Row],[کالا]], _xlfn._xlws.FILTER(T[کالا], T[نوع عملیات]="خرید"), _xlfn._xlws.FILTER(T[فروشنده / مشتری], T[نوع عملیات]="خرید")), "")</f>
        <v/>
      </c>
    </row>
    <row r="1164" spans="2:17" ht="16.5" hidden="1" x14ac:dyDescent="0.75">
      <c r="B1164" s="227">
        <v>4</v>
      </c>
      <c r="C1164" s="150">
        <v>6</v>
      </c>
      <c r="D1164" s="150">
        <v>3</v>
      </c>
      <c r="E1164" s="150" t="str">
        <f>CHOOSE(C1164, "فروردین", "اردیبهشت", "خرداد", "تیر", "مرداد", "شهریور", "مهر", "آبان", "آذر", "دی", "بهمن", "اسفند")</f>
        <v>شهریور</v>
      </c>
      <c r="F1164" s="151" t="s">
        <v>325</v>
      </c>
      <c r="G1164" s="244" t="s">
        <v>592</v>
      </c>
      <c r="H1164" s="247" t="s">
        <v>451</v>
      </c>
      <c r="I1164" s="162"/>
      <c r="J1164" s="251">
        <v>1</v>
      </c>
      <c r="K1164" s="254">
        <v>0</v>
      </c>
      <c r="L1164" s="255">
        <f t="shared" si="99"/>
        <v>0</v>
      </c>
      <c r="M1164" s="257"/>
      <c r="N1164" s="262"/>
      <c r="O116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-1150000</v>
      </c>
      <c r="P1164" s="262"/>
      <c r="Q1164" s="264" t="str" cm="1">
        <f t="array" ref="Q1164">IF(T[[#This Row],[نوع عملیات]]="فروش", _xlfn.XLOOKUP(T[[#This Row],[کالا]], _xlfn._xlws.FILTER(T[کالا], T[نوع عملیات]="خرید"), _xlfn._xlws.FILTER(T[فروشنده / مشتری], T[نوع عملیات]="خرید")), "")</f>
        <v/>
      </c>
    </row>
    <row r="1165" spans="2:17" ht="16.5" hidden="1" x14ac:dyDescent="0.75">
      <c r="B1165" s="227">
        <v>4</v>
      </c>
      <c r="C1165" s="150">
        <v>6</v>
      </c>
      <c r="D1165" s="150">
        <v>3</v>
      </c>
      <c r="E1165" s="150" t="str">
        <f>CHOOSE(C1165, "فروردین", "اردیبهشت", "خرداد", "تیر", "مرداد", "شهریور", "مهر", "آبان", "آذر", "دی", "بهمن", "اسفند")</f>
        <v>شهریور</v>
      </c>
      <c r="F1165" s="151" t="s">
        <v>325</v>
      </c>
      <c r="G1165" s="244" t="s">
        <v>682</v>
      </c>
      <c r="H1165" s="247" t="s">
        <v>451</v>
      </c>
      <c r="I1165" s="162"/>
      <c r="J1165" s="251">
        <v>1</v>
      </c>
      <c r="K1165" s="254">
        <v>0</v>
      </c>
      <c r="L1165" s="255">
        <f t="shared" si="99"/>
        <v>0</v>
      </c>
      <c r="M1165" s="257"/>
      <c r="N1165" s="262"/>
      <c r="O116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-1000000</v>
      </c>
      <c r="P1165" s="262"/>
      <c r="Q1165" s="264" t="str" cm="1">
        <f t="array" ref="Q1165">IF(T[[#This Row],[نوع عملیات]]="فروش", _xlfn.XLOOKUP(T[[#This Row],[کالا]], _xlfn._xlws.FILTER(T[کالا], T[نوع عملیات]="خرید"), _xlfn._xlws.FILTER(T[فروشنده / مشتری], T[نوع عملیات]="خرید")), "")</f>
        <v/>
      </c>
    </row>
    <row r="1166" spans="2:17" ht="16.5" hidden="1" x14ac:dyDescent="0.75">
      <c r="B1166" s="227">
        <v>4</v>
      </c>
      <c r="C1166" s="150">
        <v>6</v>
      </c>
      <c r="D1166" s="150">
        <v>3</v>
      </c>
      <c r="E1166" s="150" t="str">
        <f>CHOOSE(C1166, "فروردین", "اردیبهشت", "خرداد", "تیر", "مرداد", "شهریور", "مهر", "آبان", "آذر", "دی", "بهمن", "اسفند")</f>
        <v>شهریور</v>
      </c>
      <c r="F1166" s="151" t="s">
        <v>325</v>
      </c>
      <c r="G1166" s="244" t="s">
        <v>139</v>
      </c>
      <c r="H1166" s="247" t="s">
        <v>451</v>
      </c>
      <c r="I1166" s="162"/>
      <c r="J1166" s="251">
        <v>1</v>
      </c>
      <c r="K1166" s="254"/>
      <c r="L1166" s="255">
        <f t="shared" si="99"/>
        <v>0</v>
      </c>
      <c r="M1166" s="257"/>
      <c r="N1166" s="262"/>
      <c r="O116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-350000</v>
      </c>
      <c r="P1166" s="262"/>
      <c r="Q1166" s="264" t="str" cm="1">
        <f t="array" ref="Q1166">IF(T[[#This Row],[نوع عملیات]]="فروش", _xlfn.XLOOKUP(T[[#This Row],[کالا]], _xlfn._xlws.FILTER(T[کالا], T[نوع عملیات]="خرید"), _xlfn._xlws.FILTER(T[فروشنده / مشتری], T[نوع عملیات]="خرید")), "")</f>
        <v/>
      </c>
    </row>
    <row r="1167" spans="2:17" ht="16.5" hidden="1" x14ac:dyDescent="0.75">
      <c r="B1167" s="227">
        <v>4</v>
      </c>
      <c r="C1167" s="150">
        <v>6</v>
      </c>
      <c r="D1167" s="150">
        <v>3</v>
      </c>
      <c r="E1167" s="150" t="str">
        <f>CHOOSE(C1167, "فروردین", "اردیبهشت", "خرداد", "تیر", "مرداد", "شهریور", "مهر", "آبان", "آذر", "دی", "بهمن", "اسفند")</f>
        <v>شهریور</v>
      </c>
      <c r="F1167" s="151" t="s">
        <v>167</v>
      </c>
      <c r="G1167" s="244" t="s">
        <v>560</v>
      </c>
      <c r="H1167" s="247" t="s">
        <v>451</v>
      </c>
      <c r="I1167" s="162"/>
      <c r="J1167" s="251">
        <v>1</v>
      </c>
      <c r="K1167" s="254"/>
      <c r="L1167" s="255">
        <f t="shared" si="99"/>
        <v>0</v>
      </c>
      <c r="M1167" s="257"/>
      <c r="N1167" s="262"/>
      <c r="O116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-168000</v>
      </c>
      <c r="P1167" s="262"/>
      <c r="Q1167" s="264" t="str" cm="1">
        <f t="array" ref="Q1167">IF(T[[#This Row],[نوع عملیات]]="فروش", _xlfn.XLOOKUP(T[[#This Row],[کالا]], _xlfn._xlws.FILTER(T[کالا], T[نوع عملیات]="خرید"), _xlfn._xlws.FILTER(T[فروشنده / مشتری], T[نوع عملیات]="خرید")), "")</f>
        <v>عبدل آباد</v>
      </c>
    </row>
    <row r="1168" spans="2:17" ht="16.5" hidden="1" x14ac:dyDescent="0.75">
      <c r="B1168" s="227">
        <v>4</v>
      </c>
      <c r="C1168" s="150">
        <v>6</v>
      </c>
      <c r="D1168" s="150">
        <v>4</v>
      </c>
      <c r="E1168" s="150" t="str">
        <f t="shared" si="100"/>
        <v>شهریور</v>
      </c>
      <c r="F1168" s="151" t="s">
        <v>167</v>
      </c>
      <c r="G1168" s="244" t="s">
        <v>646</v>
      </c>
      <c r="H1168" s="247" t="s">
        <v>211</v>
      </c>
      <c r="I1168" s="162"/>
      <c r="J1168" s="251">
        <v>1</v>
      </c>
      <c r="K1168" s="254">
        <v>1800000</v>
      </c>
      <c r="L1168" s="255">
        <f t="shared" si="99"/>
        <v>1800000</v>
      </c>
      <c r="M1168" s="257">
        <v>1800000</v>
      </c>
      <c r="N1168" s="262" t="s">
        <v>346</v>
      </c>
      <c r="O116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501000</v>
      </c>
      <c r="P1168" s="262"/>
      <c r="Q1168" s="264" t="str" cm="1">
        <f t="array" ref="Q1168">IF(T[[#This Row],[نوع عملیات]]="فروش", _xlfn.XLOOKUP(T[[#This Row],[کالا]], _xlfn._xlws.FILTER(T[کالا], T[نوع عملیات]="خرید"), _xlfn._xlws.FILTER(T[فروشنده / مشتری], T[نوع عملیات]="خرید")), "")</f>
        <v>سرای ملی</v>
      </c>
    </row>
    <row r="1169" spans="2:17" ht="16.5" hidden="1" x14ac:dyDescent="0.75">
      <c r="B1169" s="227">
        <v>4</v>
      </c>
      <c r="C1169" s="150">
        <v>6</v>
      </c>
      <c r="D1169" s="150">
        <v>4</v>
      </c>
      <c r="E1169" s="150" t="str">
        <f t="shared" si="100"/>
        <v>شهریور</v>
      </c>
      <c r="F1169" s="151" t="s">
        <v>167</v>
      </c>
      <c r="G1169" s="244" t="s">
        <v>668</v>
      </c>
      <c r="H1169" s="247" t="s">
        <v>539</v>
      </c>
      <c r="I1169" s="162"/>
      <c r="J1169" s="251">
        <v>1</v>
      </c>
      <c r="K1169" s="254">
        <v>950000</v>
      </c>
      <c r="L1169" s="255">
        <f t="shared" si="99"/>
        <v>950000</v>
      </c>
      <c r="M1169" s="257"/>
      <c r="N1169" s="262"/>
      <c r="O116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257000</v>
      </c>
      <c r="P1169" s="262"/>
      <c r="Q1169" s="264" t="str" cm="1">
        <f t="array" ref="Q1169">IF(T[[#This Row],[نوع عملیات]]="فروش", _xlfn.XLOOKUP(T[[#This Row],[کالا]], _xlfn._xlws.FILTER(T[کالا], T[نوع عملیات]="خرید"), _xlfn._xlws.FILTER(T[فروشنده / مشتری], T[نوع عملیات]="خرید")), "")</f>
        <v>سرای ملی</v>
      </c>
    </row>
    <row r="1170" spans="2:17" ht="16.5" hidden="1" x14ac:dyDescent="0.75">
      <c r="B1170" s="227">
        <v>4</v>
      </c>
      <c r="C1170" s="150">
        <v>6</v>
      </c>
      <c r="D1170" s="150">
        <v>4</v>
      </c>
      <c r="E1170" s="150" t="str">
        <f t="shared" si="100"/>
        <v>شهریور</v>
      </c>
      <c r="F1170" s="151" t="s">
        <v>167</v>
      </c>
      <c r="G1170" s="244" t="s">
        <v>638</v>
      </c>
      <c r="H1170" s="247" t="s">
        <v>539</v>
      </c>
      <c r="I1170" s="162"/>
      <c r="J1170" s="251">
        <v>1</v>
      </c>
      <c r="K1170" s="254">
        <v>1900000</v>
      </c>
      <c r="L1170" s="255">
        <f t="shared" si="99"/>
        <v>1900000</v>
      </c>
      <c r="M1170" s="257"/>
      <c r="N1170" s="262"/>
      <c r="O117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710000</v>
      </c>
      <c r="P1170" s="262"/>
      <c r="Q1170" s="264" t="str" cm="1">
        <f t="array" ref="Q1170">IF(T[[#This Row],[نوع عملیات]]="فروش", _xlfn.XLOOKUP(T[[#This Row],[کالا]], _xlfn._xlws.FILTER(T[کالا], T[نوع عملیات]="خرید"), _xlfn._xlws.FILTER(T[فروشنده / مشتری], T[نوع عملیات]="خرید")), "")</f>
        <v>عبدل آباد</v>
      </c>
    </row>
    <row r="1171" spans="2:17" ht="16.5" hidden="1" x14ac:dyDescent="0.75">
      <c r="B1171" s="227">
        <v>4</v>
      </c>
      <c r="C1171" s="150">
        <v>6</v>
      </c>
      <c r="D1171" s="150">
        <v>4</v>
      </c>
      <c r="E1171" s="150" t="str">
        <f t="shared" si="100"/>
        <v>شهریور</v>
      </c>
      <c r="F1171" s="151" t="s">
        <v>167</v>
      </c>
      <c r="G1171" s="244" t="s">
        <v>540</v>
      </c>
      <c r="H1171" s="247" t="s">
        <v>539</v>
      </c>
      <c r="I1171" s="162"/>
      <c r="J1171" s="251">
        <v>1</v>
      </c>
      <c r="K1171" s="254">
        <v>1150000</v>
      </c>
      <c r="L1171" s="255">
        <f t="shared" si="99"/>
        <v>1150000</v>
      </c>
      <c r="M1171" s="257"/>
      <c r="N1171" s="262"/>
      <c r="O117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518947.36842105258</v>
      </c>
      <c r="P1171" s="262"/>
      <c r="Q1171" s="264" t="str" cm="1">
        <f t="array" ref="Q1171">IF(T[[#This Row],[نوع عملیات]]="فروش", _xlfn.XLOOKUP(T[[#This Row],[کالا]], _xlfn._xlws.FILTER(T[کالا], T[نوع عملیات]="خرید"), _xlfn._xlws.FILTER(T[فروشنده / مشتری], T[نوع عملیات]="خرید")), "")</f>
        <v>بازار پارسیان</v>
      </c>
    </row>
    <row r="1172" spans="2:17" ht="16.5" hidden="1" x14ac:dyDescent="0.75">
      <c r="B1172" s="227">
        <v>4</v>
      </c>
      <c r="C1172" s="150">
        <v>6</v>
      </c>
      <c r="D1172" s="150">
        <v>4</v>
      </c>
      <c r="E1172" s="150" t="str">
        <f t="shared" si="100"/>
        <v>شهریور</v>
      </c>
      <c r="F1172" s="151" t="s">
        <v>167</v>
      </c>
      <c r="G1172" s="244" t="s">
        <v>606</v>
      </c>
      <c r="H1172" s="247" t="s">
        <v>352</v>
      </c>
      <c r="I1172" s="162"/>
      <c r="J1172" s="251">
        <v>1</v>
      </c>
      <c r="K1172" s="254">
        <v>500000</v>
      </c>
      <c r="L1172" s="255">
        <f t="shared" si="99"/>
        <v>500000</v>
      </c>
      <c r="M1172" s="257"/>
      <c r="N1172" s="262"/>
      <c r="O117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-150000</v>
      </c>
      <c r="P1172" s="262"/>
      <c r="Q1172" s="264" t="str" cm="1">
        <f t="array" ref="Q1172">IF(T[[#This Row],[نوع عملیات]]="فروش", _xlfn.XLOOKUP(T[[#This Row],[کالا]], _xlfn._xlws.FILTER(T[کالا], T[نوع عملیات]="خرید"), _xlfn._xlws.FILTER(T[فروشنده / مشتری], T[نوع عملیات]="خرید")), "")</f>
        <v>هستی هنگامه</v>
      </c>
    </row>
    <row r="1173" spans="2:17" ht="16.5" hidden="1" x14ac:dyDescent="0.75">
      <c r="B1173" s="227">
        <v>4</v>
      </c>
      <c r="C1173" s="150">
        <v>6</v>
      </c>
      <c r="D1173" s="150">
        <v>4</v>
      </c>
      <c r="E1173" s="150" t="str">
        <f t="shared" si="100"/>
        <v>شهریور</v>
      </c>
      <c r="F1173" s="151" t="s">
        <v>167</v>
      </c>
      <c r="G1173" s="244" t="s">
        <v>560</v>
      </c>
      <c r="H1173" s="247" t="s">
        <v>211</v>
      </c>
      <c r="I1173" s="162"/>
      <c r="J1173" s="251">
        <v>1</v>
      </c>
      <c r="K1173" s="254">
        <v>350000</v>
      </c>
      <c r="L1173" s="255">
        <f t="shared" si="99"/>
        <v>350000</v>
      </c>
      <c r="M1173" s="257">
        <v>350000</v>
      </c>
      <c r="N1173" s="262" t="s">
        <v>299</v>
      </c>
      <c r="O117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1173" s="262"/>
      <c r="Q1173" s="264" t="str" cm="1">
        <f t="array" ref="Q1173">IF(T[[#This Row],[نوع عملیات]]="فروش", _xlfn.XLOOKUP(T[[#This Row],[کالا]], _xlfn._xlws.FILTER(T[کالا], T[نوع عملیات]="خرید"), _xlfn._xlws.FILTER(T[فروشنده / مشتری], T[نوع عملیات]="خرید")), "")</f>
        <v>عبدل آباد</v>
      </c>
    </row>
    <row r="1174" spans="2:17" ht="16.5" hidden="1" x14ac:dyDescent="0.75">
      <c r="B1174" s="227">
        <v>4</v>
      </c>
      <c r="C1174" s="150">
        <v>6</v>
      </c>
      <c r="D1174" s="150">
        <v>4</v>
      </c>
      <c r="E1174" s="150" t="str">
        <f t="shared" si="100"/>
        <v>شهریور</v>
      </c>
      <c r="F1174" s="151" t="s">
        <v>167</v>
      </c>
      <c r="G1174" s="244" t="s">
        <v>362</v>
      </c>
      <c r="H1174" s="247" t="s">
        <v>211</v>
      </c>
      <c r="I1174" s="162"/>
      <c r="J1174" s="251">
        <v>1</v>
      </c>
      <c r="K1174" s="254">
        <v>300000</v>
      </c>
      <c r="L1174" s="255">
        <f t="shared" si="99"/>
        <v>300000</v>
      </c>
      <c r="M1174" s="257">
        <v>300000</v>
      </c>
      <c r="N1174" s="262" t="s">
        <v>299</v>
      </c>
      <c r="O117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202500</v>
      </c>
      <c r="P1174" s="262"/>
      <c r="Q1174" s="264" t="str" cm="1">
        <f t="array" ref="Q1174">IF(T[[#This Row],[نوع عملیات]]="فروش", _xlfn.XLOOKUP(T[[#This Row],[کالا]], _xlfn._xlws.FILTER(T[کالا], T[نوع عملیات]="خرید"), _xlfn._xlws.FILTER(T[فروشنده / مشتری], T[نوع عملیات]="خرید")), "")</f>
        <v>بازار</v>
      </c>
    </row>
    <row r="1175" spans="2:17" ht="16.5" hidden="1" x14ac:dyDescent="0.75">
      <c r="B1175" s="227">
        <v>4</v>
      </c>
      <c r="C1175" s="150">
        <v>6</v>
      </c>
      <c r="D1175" s="150">
        <v>4</v>
      </c>
      <c r="E1175" s="150" t="str">
        <f t="shared" si="100"/>
        <v>شهریور</v>
      </c>
      <c r="F1175" s="151" t="s">
        <v>302</v>
      </c>
      <c r="G1175" s="244"/>
      <c r="H1175" s="247" t="s">
        <v>604</v>
      </c>
      <c r="I1175" s="162"/>
      <c r="J1175" s="251"/>
      <c r="K1175" s="254"/>
      <c r="L1175" s="255">
        <f t="shared" si="99"/>
        <v>0</v>
      </c>
      <c r="M1175" s="257">
        <v>2000000</v>
      </c>
      <c r="N1175" s="262" t="s">
        <v>216</v>
      </c>
      <c r="O117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75" s="262"/>
      <c r="Q1175" s="264" t="str" cm="1">
        <f t="array" ref="Q1175">IF(T[[#This Row],[نوع عملیات]]="فروش", _xlfn.XLOOKUP(T[[#This Row],[کالا]], _xlfn._xlws.FILTER(T[کالا], T[نوع عملیات]="خرید"), _xlfn._xlws.FILTER(T[فروشنده / مشتری], T[نوع عملیات]="خرید")), "")</f>
        <v/>
      </c>
    </row>
    <row r="1176" spans="2:17" ht="16.5" hidden="1" x14ac:dyDescent="0.75">
      <c r="B1176" s="227">
        <v>4</v>
      </c>
      <c r="C1176" s="150">
        <v>6</v>
      </c>
      <c r="D1176" s="150">
        <v>4</v>
      </c>
      <c r="E1176" s="150" t="str">
        <f t="shared" si="100"/>
        <v>شهریور</v>
      </c>
      <c r="F1176" s="151" t="s">
        <v>167</v>
      </c>
      <c r="G1176" s="244" t="s">
        <v>679</v>
      </c>
      <c r="H1176" s="247" t="s">
        <v>211</v>
      </c>
      <c r="I1176" s="162"/>
      <c r="J1176" s="251">
        <v>1</v>
      </c>
      <c r="K1176" s="254">
        <v>500000</v>
      </c>
      <c r="L1176" s="255">
        <f t="shared" si="99"/>
        <v>500000</v>
      </c>
      <c r="M1176" s="257">
        <v>500000</v>
      </c>
      <c r="N1176" s="262" t="s">
        <v>299</v>
      </c>
      <c r="O117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260000</v>
      </c>
      <c r="P1176" s="262"/>
      <c r="Q1176" s="264" t="str" cm="1">
        <f t="array" ref="Q1176">IF(T[[#This Row],[نوع عملیات]]="فروش", _xlfn.XLOOKUP(T[[#This Row],[کالا]], _xlfn._xlws.FILTER(T[کالا], T[نوع عملیات]="خرید"), _xlfn._xlws.FILTER(T[فروشنده / مشتری], T[نوع عملیات]="خرید")), "")</f>
        <v>عبدل آباد</v>
      </c>
    </row>
    <row r="1177" spans="2:17" ht="16.5" hidden="1" x14ac:dyDescent="0.75">
      <c r="B1177" s="227">
        <v>4</v>
      </c>
      <c r="C1177" s="150">
        <v>6</v>
      </c>
      <c r="D1177" s="150">
        <v>4</v>
      </c>
      <c r="E1177" s="150" t="str">
        <f t="shared" si="100"/>
        <v>شهریور</v>
      </c>
      <c r="F1177" s="151" t="s">
        <v>167</v>
      </c>
      <c r="G1177" s="244" t="s">
        <v>268</v>
      </c>
      <c r="H1177" s="247" t="s">
        <v>211</v>
      </c>
      <c r="I1177" s="162"/>
      <c r="J1177" s="251">
        <v>1</v>
      </c>
      <c r="K1177" s="254">
        <v>1500000</v>
      </c>
      <c r="L1177" s="255">
        <f t="shared" si="99"/>
        <v>1500000</v>
      </c>
      <c r="M1177" s="257">
        <v>1500000</v>
      </c>
      <c r="N1177" s="262" t="s">
        <v>299</v>
      </c>
      <c r="O117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920000</v>
      </c>
      <c r="P1177" s="262"/>
      <c r="Q1177" s="264" t="str" cm="1">
        <f t="array" ref="Q1177">IF(T[[#This Row],[نوع عملیات]]="فروش", _xlfn.XLOOKUP(T[[#This Row],[کالا]], _xlfn._xlws.FILTER(T[کالا], T[نوع عملیات]="خرید"), _xlfn._xlws.FILTER(T[فروشنده / مشتری], T[نوع عملیات]="خرید")), "")</f>
        <v>بازار</v>
      </c>
    </row>
    <row r="1178" spans="2:17" ht="16.5" hidden="1" x14ac:dyDescent="0.75">
      <c r="B1178" s="227">
        <v>4</v>
      </c>
      <c r="C1178" s="150">
        <v>6</v>
      </c>
      <c r="D1178" s="150">
        <v>4</v>
      </c>
      <c r="E1178" s="150" t="str">
        <f t="shared" ref="E1178:E1183" si="101">CHOOSE(C1178, "فروردین", "اردیبهشت", "خرداد", "تیر", "مرداد", "شهریور", "مهر", "آبان", "آذر", "دی", "بهمن", "اسفند")</f>
        <v>شهریور</v>
      </c>
      <c r="F1178" s="151" t="s">
        <v>167</v>
      </c>
      <c r="G1178" s="244" t="s">
        <v>388</v>
      </c>
      <c r="H1178" s="247" t="s">
        <v>211</v>
      </c>
      <c r="I1178" s="162"/>
      <c r="J1178" s="251">
        <v>1</v>
      </c>
      <c r="K1178" s="254">
        <v>900000</v>
      </c>
      <c r="L1178" s="255">
        <f t="shared" si="99"/>
        <v>900000</v>
      </c>
      <c r="M1178" s="257"/>
      <c r="N1178" s="262"/>
      <c r="O117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20000</v>
      </c>
      <c r="P1178" s="262"/>
      <c r="Q1178" s="264" t="str" cm="1">
        <f t="array" ref="Q1178">IF(T[[#This Row],[نوع عملیات]]="فروش", _xlfn.XLOOKUP(T[[#This Row],[کالا]], _xlfn._xlws.FILTER(T[کالا], T[نوع عملیات]="خرید"), _xlfn._xlws.FILTER(T[فروشنده / مشتری], T[نوع عملیات]="خرید")), "")</f>
        <v>عبدل آباد</v>
      </c>
    </row>
    <row r="1179" spans="2:17" ht="16.5" hidden="1" x14ac:dyDescent="0.75">
      <c r="B1179" s="227">
        <v>4</v>
      </c>
      <c r="C1179" s="150">
        <v>6</v>
      </c>
      <c r="D1179" s="150">
        <v>4</v>
      </c>
      <c r="E1179" s="150" t="str">
        <f t="shared" si="101"/>
        <v>شهریور</v>
      </c>
      <c r="F1179" s="151" t="s">
        <v>167</v>
      </c>
      <c r="G1179" s="244" t="s">
        <v>676</v>
      </c>
      <c r="H1179" s="247" t="s">
        <v>211</v>
      </c>
      <c r="I1179" s="162"/>
      <c r="J1179" s="251">
        <v>1</v>
      </c>
      <c r="K1179" s="254">
        <v>1700000</v>
      </c>
      <c r="L1179" s="255">
        <f t="shared" si="99"/>
        <v>1700000</v>
      </c>
      <c r="M1179" s="257"/>
      <c r="N1179" s="262"/>
      <c r="O117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620000</v>
      </c>
      <c r="P1179" s="262"/>
      <c r="Q1179" s="264" t="str" cm="1">
        <f t="array" ref="Q1179">IF(T[[#This Row],[نوع عملیات]]="فروش", _xlfn.XLOOKUP(T[[#This Row],[کالا]], _xlfn._xlws.FILTER(T[کالا], T[نوع عملیات]="خرید"), _xlfn._xlws.FILTER(T[فروشنده / مشتری], T[نوع عملیات]="خرید")), "")</f>
        <v>عبدل آباد</v>
      </c>
    </row>
    <row r="1180" spans="2:17" ht="16.5" hidden="1" x14ac:dyDescent="0.75">
      <c r="B1180" s="227">
        <v>4</v>
      </c>
      <c r="C1180" s="150">
        <v>6</v>
      </c>
      <c r="D1180" s="150">
        <v>4</v>
      </c>
      <c r="E1180" s="150" t="str">
        <f t="shared" si="101"/>
        <v>شهریور</v>
      </c>
      <c r="F1180" s="151" t="s">
        <v>167</v>
      </c>
      <c r="G1180" s="244" t="s">
        <v>560</v>
      </c>
      <c r="H1180" s="247" t="s">
        <v>211</v>
      </c>
      <c r="I1180" s="162"/>
      <c r="J1180" s="251">
        <v>1</v>
      </c>
      <c r="K1180" s="254">
        <v>300000</v>
      </c>
      <c r="L1180" s="255">
        <f t="shared" si="99"/>
        <v>300000</v>
      </c>
      <c r="M1180" s="257"/>
      <c r="N1180" s="262"/>
      <c r="O118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132000</v>
      </c>
      <c r="P1180" s="262"/>
      <c r="Q1180" s="264" t="str" cm="1">
        <f t="array" ref="Q1180">IF(T[[#This Row],[نوع عملیات]]="فروش", _xlfn.XLOOKUP(T[[#This Row],[کالا]], _xlfn._xlws.FILTER(T[کالا], T[نوع عملیات]="خرید"), _xlfn._xlws.FILTER(T[فروشنده / مشتری], T[نوع عملیات]="خرید")), "")</f>
        <v>عبدل آباد</v>
      </c>
    </row>
    <row r="1181" spans="2:17" ht="16.5" hidden="1" x14ac:dyDescent="0.75">
      <c r="B1181" s="227">
        <v>4</v>
      </c>
      <c r="C1181" s="150">
        <v>6</v>
      </c>
      <c r="D1181" s="150">
        <v>4</v>
      </c>
      <c r="E1181" s="150" t="str">
        <f t="shared" si="101"/>
        <v>شهریور</v>
      </c>
      <c r="F1181" s="151" t="s">
        <v>167</v>
      </c>
      <c r="G1181" s="244" t="s">
        <v>622</v>
      </c>
      <c r="H1181" s="247" t="s">
        <v>211</v>
      </c>
      <c r="I1181" s="162"/>
      <c r="J1181" s="251">
        <v>1</v>
      </c>
      <c r="K1181" s="254">
        <v>600000</v>
      </c>
      <c r="L1181" s="255">
        <f t="shared" si="99"/>
        <v>600000</v>
      </c>
      <c r="M1181" s="257">
        <v>3500000</v>
      </c>
      <c r="N1181" s="262" t="s">
        <v>611</v>
      </c>
      <c r="O118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v>
      </c>
      <c r="P1181" s="262"/>
      <c r="Q1181" s="264" t="str" cm="1">
        <f t="array" ref="Q1181">IF(T[[#This Row],[نوع عملیات]]="فروش", _xlfn.XLOOKUP(T[[#This Row],[کالا]], _xlfn._xlws.FILTER(T[کالا], T[نوع عملیات]="خرید"), _xlfn._xlws.FILTER(T[فروشنده / مشتری], T[نوع عملیات]="خرید")), "")</f>
        <v>هستی هنگامه</v>
      </c>
    </row>
    <row r="1182" spans="2:17" ht="16.5" hidden="1" x14ac:dyDescent="0.75">
      <c r="B1182" s="227">
        <v>4</v>
      </c>
      <c r="C1182" s="150">
        <v>6</v>
      </c>
      <c r="D1182" s="150">
        <v>4</v>
      </c>
      <c r="E1182" s="150" t="str">
        <f t="shared" si="101"/>
        <v>شهریور</v>
      </c>
      <c r="F1182" s="151" t="s">
        <v>167</v>
      </c>
      <c r="G1182" s="244" t="s">
        <v>570</v>
      </c>
      <c r="H1182" s="247" t="s">
        <v>211</v>
      </c>
      <c r="I1182" s="162"/>
      <c r="J1182" s="251">
        <v>1</v>
      </c>
      <c r="K1182" s="254">
        <v>500000</v>
      </c>
      <c r="L1182" s="255">
        <f t="shared" si="99"/>
        <v>500000</v>
      </c>
      <c r="M1182" s="257"/>
      <c r="N1182" s="262"/>
      <c r="O118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272000</v>
      </c>
      <c r="P1182" s="262"/>
      <c r="Q1182" s="264" t="str" cm="1">
        <f t="array" ref="Q1182">IF(T[[#This Row],[نوع عملیات]]="فروش", _xlfn.XLOOKUP(T[[#This Row],[کالا]], _xlfn._xlws.FILTER(T[کالا], T[نوع عملیات]="خرید"), _xlfn._xlws.FILTER(T[فروشنده / مشتری], T[نوع عملیات]="خرید")), "")</f>
        <v>عبدل آباد</v>
      </c>
    </row>
    <row r="1183" spans="2:17" ht="16.5" hidden="1" x14ac:dyDescent="0.75">
      <c r="B1183" s="227">
        <v>4</v>
      </c>
      <c r="C1183" s="150">
        <v>6</v>
      </c>
      <c r="D1183" s="150">
        <v>4</v>
      </c>
      <c r="E1183" s="150" t="str">
        <f t="shared" si="101"/>
        <v>شهریور</v>
      </c>
      <c r="F1183" s="151" t="s">
        <v>167</v>
      </c>
      <c r="G1183" s="244" t="s">
        <v>663</v>
      </c>
      <c r="H1183" s="247" t="s">
        <v>211</v>
      </c>
      <c r="I1183" s="162"/>
      <c r="J1183" s="251">
        <v>1</v>
      </c>
      <c r="K1183" s="254">
        <v>420000</v>
      </c>
      <c r="L1183" s="255">
        <f t="shared" si="99"/>
        <v>420000</v>
      </c>
      <c r="M1183" s="257">
        <v>920000</v>
      </c>
      <c r="N1183" s="262" t="s">
        <v>299</v>
      </c>
      <c r="O118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233000</v>
      </c>
      <c r="P1183" s="262"/>
      <c r="Q1183" s="264" t="str" cm="1">
        <f t="array" ref="Q1183">IF(T[[#This Row],[نوع عملیات]]="فروش", _xlfn.XLOOKUP(T[[#This Row],[کالا]], _xlfn._xlws.FILTER(T[کالا], T[نوع عملیات]="خرید"), _xlfn._xlws.FILTER(T[فروشنده / مشتری], T[نوع عملیات]="خرید")), "")</f>
        <v>عبدل آباد</v>
      </c>
    </row>
    <row r="1184" spans="2:17" ht="16.5" hidden="1" x14ac:dyDescent="0.75">
      <c r="B1184" s="227">
        <v>4</v>
      </c>
      <c r="C1184" s="150">
        <v>6</v>
      </c>
      <c r="D1184" s="150">
        <v>5</v>
      </c>
      <c r="E1184" s="150" t="str">
        <f t="shared" ref="E1184:E1188" si="102">CHOOSE(C1184, "فروردین", "اردیبهشت", "خرداد", "تیر", "مرداد", "شهریور", "مهر", "آبان", "آذر", "دی", "بهمن", "اسفند")</f>
        <v>شهریور</v>
      </c>
      <c r="F1184" s="151" t="s">
        <v>167</v>
      </c>
      <c r="G1184" s="244" t="s">
        <v>597</v>
      </c>
      <c r="H1184" s="247" t="s">
        <v>211</v>
      </c>
      <c r="I1184" s="162"/>
      <c r="J1184" s="251">
        <v>1</v>
      </c>
      <c r="K1184" s="254">
        <v>2200000</v>
      </c>
      <c r="L1184" s="255">
        <f t="shared" si="99"/>
        <v>2200000</v>
      </c>
      <c r="M1184" s="257">
        <v>2200000</v>
      </c>
      <c r="N1184" s="262" t="s">
        <v>299</v>
      </c>
      <c r="O118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650000</v>
      </c>
      <c r="P1184" s="262"/>
      <c r="Q1184" s="264" t="str" cm="1">
        <f t="array" ref="Q1184">IF(T[[#This Row],[نوع عملیات]]="فروش", _xlfn.XLOOKUP(T[[#This Row],[کالا]], _xlfn._xlws.FILTER(T[کالا], T[نوع عملیات]="خرید"), _xlfn._xlws.FILTER(T[فروشنده / مشتری], T[نوع عملیات]="خرید")), "")</f>
        <v>عبدل آباد</v>
      </c>
    </row>
    <row r="1185" spans="2:17" ht="16.5" hidden="1" x14ac:dyDescent="0.75">
      <c r="B1185" s="227">
        <v>4</v>
      </c>
      <c r="C1185" s="150">
        <v>6</v>
      </c>
      <c r="D1185" s="150">
        <v>5</v>
      </c>
      <c r="E1185" s="150" t="str">
        <f t="shared" si="102"/>
        <v>شهریور</v>
      </c>
      <c r="F1185" s="151" t="s">
        <v>167</v>
      </c>
      <c r="G1185" s="244" t="s">
        <v>653</v>
      </c>
      <c r="H1185" s="247" t="s">
        <v>211</v>
      </c>
      <c r="I1185" s="162"/>
      <c r="J1185" s="251">
        <v>1</v>
      </c>
      <c r="K1185" s="254">
        <v>1300000</v>
      </c>
      <c r="L1185" s="255">
        <f t="shared" si="99"/>
        <v>1300000</v>
      </c>
      <c r="M1185" s="257">
        <v>1300000</v>
      </c>
      <c r="N1185" s="262" t="s">
        <v>299</v>
      </c>
      <c r="O118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604000</v>
      </c>
      <c r="P1185" s="262"/>
      <c r="Q1185" s="264" t="str" cm="1">
        <f t="array" ref="Q1185">IF(T[[#This Row],[نوع عملیات]]="فروش", _xlfn.XLOOKUP(T[[#This Row],[کالا]], _xlfn._xlws.FILTER(T[کالا], T[نوع عملیات]="خرید"), _xlfn._xlws.FILTER(T[فروشنده / مشتری], T[نوع عملیات]="خرید")), "")</f>
        <v>سرای ملی</v>
      </c>
    </row>
    <row r="1186" spans="2:17" ht="16.5" hidden="1" x14ac:dyDescent="0.75">
      <c r="B1186" s="227">
        <v>4</v>
      </c>
      <c r="C1186" s="150">
        <v>6</v>
      </c>
      <c r="D1186" s="150">
        <v>5</v>
      </c>
      <c r="E1186" s="150" t="str">
        <f t="shared" si="102"/>
        <v>شهریور</v>
      </c>
      <c r="F1186" s="151" t="s">
        <v>167</v>
      </c>
      <c r="G1186" s="244" t="s">
        <v>623</v>
      </c>
      <c r="H1186" s="247" t="s">
        <v>430</v>
      </c>
      <c r="I1186" s="162"/>
      <c r="J1186" s="251">
        <v>1</v>
      </c>
      <c r="K1186" s="254">
        <v>250000</v>
      </c>
      <c r="L1186" s="255">
        <f t="shared" si="99"/>
        <v>250000</v>
      </c>
      <c r="M1186" s="257">
        <v>250000</v>
      </c>
      <c r="N1186" s="262" t="s">
        <v>299</v>
      </c>
      <c r="O118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86" s="262"/>
      <c r="Q1186" s="264" t="str" cm="1">
        <f t="array" ref="Q1186">IF(T[[#This Row],[نوع عملیات]]="فروش", _xlfn.XLOOKUP(T[[#This Row],[کالا]], _xlfn._xlws.FILTER(T[کالا], T[نوع عملیات]="خرید"), _xlfn._xlws.FILTER(T[فروشنده / مشتری], T[نوع عملیات]="خرید")), "")</f>
        <v>هستی هنگامه</v>
      </c>
    </row>
    <row r="1187" spans="2:17" ht="16.5" hidden="1" x14ac:dyDescent="0.75">
      <c r="B1187" s="227">
        <v>4</v>
      </c>
      <c r="C1187" s="150">
        <v>6</v>
      </c>
      <c r="D1187" s="150">
        <v>5</v>
      </c>
      <c r="E1187" s="150" t="str">
        <f t="shared" si="102"/>
        <v>شهریور</v>
      </c>
      <c r="F1187" s="151" t="s">
        <v>302</v>
      </c>
      <c r="G1187" s="244"/>
      <c r="H1187" s="247" t="s">
        <v>685</v>
      </c>
      <c r="I1187" s="162"/>
      <c r="J1187" s="251"/>
      <c r="K1187" s="254"/>
      <c r="L1187" s="255">
        <f t="shared" si="99"/>
        <v>0</v>
      </c>
      <c r="M1187" s="257">
        <v>1600000</v>
      </c>
      <c r="N1187" s="262" t="s">
        <v>299</v>
      </c>
      <c r="O118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87" s="262"/>
      <c r="Q1187" s="264" t="str" cm="1">
        <f t="array" ref="Q1187">IF(T[[#This Row],[نوع عملیات]]="فروش", _xlfn.XLOOKUP(T[[#This Row],[کالا]], _xlfn._xlws.FILTER(T[کالا], T[نوع عملیات]="خرید"), _xlfn._xlws.FILTER(T[فروشنده / مشتری], T[نوع عملیات]="خرید")), "")</f>
        <v/>
      </c>
    </row>
    <row r="1188" spans="2:17" ht="16.5" hidden="1" x14ac:dyDescent="0.75">
      <c r="B1188" s="227">
        <v>4</v>
      </c>
      <c r="C1188" s="150">
        <v>6</v>
      </c>
      <c r="D1188" s="150">
        <v>5</v>
      </c>
      <c r="E1188" s="150" t="str">
        <f t="shared" si="102"/>
        <v>شهریور</v>
      </c>
      <c r="F1188" s="151" t="s">
        <v>302</v>
      </c>
      <c r="G1188" s="244"/>
      <c r="H1188" s="247" t="s">
        <v>624</v>
      </c>
      <c r="I1188" s="162"/>
      <c r="J1188" s="251"/>
      <c r="K1188" s="254"/>
      <c r="L1188" s="255">
        <f t="shared" si="99"/>
        <v>0</v>
      </c>
      <c r="M1188" s="257">
        <v>1200000</v>
      </c>
      <c r="N1188" s="262" t="s">
        <v>216</v>
      </c>
      <c r="O118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88" s="262"/>
      <c r="Q1188" s="264" t="str" cm="1">
        <f t="array" ref="Q1188">IF(T[[#This Row],[نوع عملیات]]="فروش", _xlfn.XLOOKUP(T[[#This Row],[کالا]], _xlfn._xlws.FILTER(T[کالا], T[نوع عملیات]="خرید"), _xlfn._xlws.FILTER(T[فروشنده / مشتری], T[نوع عملیات]="خرید")), "")</f>
        <v/>
      </c>
    </row>
    <row r="1189" spans="2:17" ht="16.5" hidden="1" x14ac:dyDescent="0.75">
      <c r="B1189" s="227">
        <v>4</v>
      </c>
      <c r="C1189" s="150">
        <v>6</v>
      </c>
      <c r="D1189" s="150">
        <v>5</v>
      </c>
      <c r="E1189" s="150" t="str">
        <f t="shared" ref="E1189:E1201" si="103">CHOOSE(C1189, "فروردین", "اردیبهشت", "خرداد", "تیر", "مرداد", "شهریور", "مهر", "آبان", "آذر", "دی", "بهمن", "اسفند")</f>
        <v>شهریور</v>
      </c>
      <c r="F1189" s="151" t="s">
        <v>302</v>
      </c>
      <c r="G1189" s="244"/>
      <c r="H1189" s="247" t="s">
        <v>624</v>
      </c>
      <c r="I1189" s="162"/>
      <c r="J1189" s="251"/>
      <c r="K1189" s="254"/>
      <c r="L1189" s="255">
        <f t="shared" ref="L1189:L1201" si="104">J1189*K1189</f>
        <v>0</v>
      </c>
      <c r="M1189" s="257">
        <v>1700000</v>
      </c>
      <c r="N1189" s="262" t="s">
        <v>611</v>
      </c>
      <c r="O118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89" s="262"/>
      <c r="Q1189" s="264" t="str" cm="1">
        <f t="array" ref="Q1189">IF(T[[#This Row],[نوع عملیات]]="فروش", _xlfn.XLOOKUP(T[[#This Row],[کالا]], _xlfn._xlws.FILTER(T[کالا], T[نوع عملیات]="خرید"), _xlfn._xlws.FILTER(T[فروشنده / مشتری], T[نوع عملیات]="خرید")), "")</f>
        <v/>
      </c>
    </row>
    <row r="1190" spans="2:17" ht="16.5" hidden="1" x14ac:dyDescent="0.75">
      <c r="B1190" s="227">
        <v>4</v>
      </c>
      <c r="C1190" s="150">
        <v>6</v>
      </c>
      <c r="D1190" s="150">
        <v>7</v>
      </c>
      <c r="E1190" s="150" t="str">
        <f t="shared" si="103"/>
        <v>شهریور</v>
      </c>
      <c r="F1190" s="151" t="s">
        <v>167</v>
      </c>
      <c r="G1190" s="244" t="s">
        <v>354</v>
      </c>
      <c r="H1190" s="247" t="s">
        <v>211</v>
      </c>
      <c r="I1190" s="162"/>
      <c r="J1190" s="251">
        <v>1</v>
      </c>
      <c r="K1190" s="254">
        <v>450000</v>
      </c>
      <c r="L1190" s="255">
        <f t="shared" si="104"/>
        <v>450000</v>
      </c>
      <c r="M1190" s="257">
        <v>450000</v>
      </c>
      <c r="N1190" s="262" t="s">
        <v>611</v>
      </c>
      <c r="O119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1190" s="262"/>
      <c r="Q1190" s="264" t="str" cm="1">
        <f t="array" ref="Q1190">IF(T[[#This Row],[نوع عملیات]]="فروش", _xlfn.XLOOKUP(T[[#This Row],[کالا]], _xlfn._xlws.FILTER(T[کالا], T[نوع عملیات]="خرید"), _xlfn._xlws.FILTER(T[فروشنده / مشتری], T[نوع عملیات]="خرید")), "")</f>
        <v>بازار</v>
      </c>
    </row>
    <row r="1191" spans="2:17" ht="16.5" hidden="1" x14ac:dyDescent="0.75">
      <c r="B1191" s="227">
        <v>4</v>
      </c>
      <c r="C1191" s="150">
        <v>6</v>
      </c>
      <c r="D1191" s="150">
        <v>8</v>
      </c>
      <c r="E1191" s="150" t="str">
        <f t="shared" si="103"/>
        <v>شهریور</v>
      </c>
      <c r="F1191" s="151" t="s">
        <v>302</v>
      </c>
      <c r="G1191" s="244"/>
      <c r="H1191" s="247" t="s">
        <v>510</v>
      </c>
      <c r="I1191" s="162"/>
      <c r="J1191" s="251"/>
      <c r="K1191" s="254"/>
      <c r="L1191" s="255">
        <f t="shared" si="104"/>
        <v>0</v>
      </c>
      <c r="M1191" s="257">
        <v>4600000</v>
      </c>
      <c r="N1191" s="262" t="s">
        <v>611</v>
      </c>
      <c r="O119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91" s="262"/>
      <c r="Q1191" s="264" t="str" cm="1">
        <f t="array" ref="Q1191">IF(T[[#This Row],[نوع عملیات]]="فروش", _xlfn.XLOOKUP(T[[#This Row],[کالا]], _xlfn._xlws.FILTER(T[کالا], T[نوع عملیات]="خرید"), _xlfn._xlws.FILTER(T[فروشنده / مشتری], T[نوع عملیات]="خرید")), "")</f>
        <v/>
      </c>
    </row>
    <row r="1192" spans="2:17" ht="16.5" hidden="1" x14ac:dyDescent="0.75">
      <c r="B1192" s="227">
        <v>4</v>
      </c>
      <c r="C1192" s="150">
        <v>6</v>
      </c>
      <c r="D1192" s="150">
        <v>8</v>
      </c>
      <c r="E1192" s="150" t="str">
        <f>CHOOSE(C1192, "فروردین", "اردیبهشت", "خرداد", "تیر", "مرداد", "شهریور", "مهر", "آبان", "آذر", "دی", "بهمن", "اسفند")</f>
        <v>شهریور</v>
      </c>
      <c r="F1192" s="151" t="s">
        <v>167</v>
      </c>
      <c r="G1192" s="244" t="s">
        <v>652</v>
      </c>
      <c r="H1192" s="247" t="s">
        <v>211</v>
      </c>
      <c r="I1192" s="162"/>
      <c r="J1192" s="251">
        <v>1</v>
      </c>
      <c r="K1192" s="254">
        <v>1200000</v>
      </c>
      <c r="L1192" s="255">
        <f>J1192*K1192</f>
        <v>1200000</v>
      </c>
      <c r="M1192" s="257"/>
      <c r="N1192" s="262"/>
      <c r="O119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450000</v>
      </c>
      <c r="P1192" s="262"/>
      <c r="Q1192" s="264" t="str" cm="1">
        <f t="array" ref="Q1192">IF(T[[#This Row],[نوع عملیات]]="فروش", _xlfn.XLOOKUP(T[[#This Row],[کالا]], _xlfn._xlws.FILTER(T[کالا], T[نوع عملیات]="خرید"), _xlfn._xlws.FILTER(T[فروشنده / مشتری], T[نوع عملیات]="خرید")), "")</f>
        <v>سرای ملی</v>
      </c>
    </row>
    <row r="1193" spans="2:17" ht="16.5" hidden="1" x14ac:dyDescent="0.75">
      <c r="B1193" s="227">
        <v>4</v>
      </c>
      <c r="C1193" s="150">
        <v>6</v>
      </c>
      <c r="D1193" s="150">
        <v>8</v>
      </c>
      <c r="E1193" s="150" t="str">
        <f>CHOOSE(C1193, "فروردین", "اردیبهشت", "خرداد", "تیر", "مرداد", "شهریور", "مهر", "آبان", "آذر", "دی", "بهمن", "اسفند")</f>
        <v>شهریور</v>
      </c>
      <c r="F1193" s="151" t="s">
        <v>167</v>
      </c>
      <c r="G1193" s="244" t="s">
        <v>468</v>
      </c>
      <c r="H1193" s="247" t="s">
        <v>211</v>
      </c>
      <c r="I1193" s="162"/>
      <c r="J1193" s="251">
        <v>1</v>
      </c>
      <c r="K1193" s="254">
        <v>300000</v>
      </c>
      <c r="L1193" s="255">
        <f>J1193*K1193</f>
        <v>300000</v>
      </c>
      <c r="M1193" s="257">
        <v>1500000</v>
      </c>
      <c r="N1193" s="262" t="s">
        <v>299</v>
      </c>
      <c r="O119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152000</v>
      </c>
      <c r="P1193" s="262"/>
      <c r="Q1193" s="264" t="str" cm="1">
        <f t="array" ref="Q1193">IF(T[[#This Row],[نوع عملیات]]="فروش", _xlfn.XLOOKUP(T[[#This Row],[کالا]], _xlfn._xlws.FILTER(T[کالا], T[نوع عملیات]="خرید"), _xlfn._xlws.FILTER(T[فروشنده / مشتری], T[نوع عملیات]="خرید")), "")</f>
        <v>سرای ملی</v>
      </c>
    </row>
    <row r="1194" spans="2:17" ht="16.5" hidden="1" x14ac:dyDescent="0.75">
      <c r="B1194" s="227">
        <v>4</v>
      </c>
      <c r="C1194" s="150">
        <v>6</v>
      </c>
      <c r="D1194" s="150">
        <v>8</v>
      </c>
      <c r="E1194" s="150" t="str">
        <f t="shared" si="103"/>
        <v>شهریور</v>
      </c>
      <c r="F1194" s="151" t="s">
        <v>167</v>
      </c>
      <c r="G1194" s="244" t="s">
        <v>676</v>
      </c>
      <c r="H1194" s="247" t="s">
        <v>211</v>
      </c>
      <c r="I1194" s="162"/>
      <c r="J1194" s="251">
        <v>1</v>
      </c>
      <c r="K1194" s="254">
        <v>1500000</v>
      </c>
      <c r="L1194" s="255">
        <f t="shared" si="104"/>
        <v>1500000</v>
      </c>
      <c r="M1194" s="257"/>
      <c r="N1194" s="262"/>
      <c r="O119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420000</v>
      </c>
      <c r="P1194" s="262"/>
      <c r="Q1194" s="264" t="str" cm="1">
        <f t="array" ref="Q1194">IF(T[[#This Row],[نوع عملیات]]="فروش", _xlfn.XLOOKUP(T[[#This Row],[کالا]], _xlfn._xlws.FILTER(T[کالا], T[نوع عملیات]="خرید"), _xlfn._xlws.FILTER(T[فروشنده / مشتری], T[نوع عملیات]="خرید")), "")</f>
        <v>عبدل آباد</v>
      </c>
    </row>
    <row r="1195" spans="2:17" ht="16.5" hidden="1" x14ac:dyDescent="0.75">
      <c r="B1195" s="227">
        <v>4</v>
      </c>
      <c r="C1195" s="150">
        <v>6</v>
      </c>
      <c r="D1195" s="150">
        <v>8</v>
      </c>
      <c r="E1195" s="150" t="str">
        <f t="shared" si="103"/>
        <v>شهریور</v>
      </c>
      <c r="F1195" s="151" t="s">
        <v>167</v>
      </c>
      <c r="G1195" s="244" t="s">
        <v>560</v>
      </c>
      <c r="H1195" s="247" t="s">
        <v>211</v>
      </c>
      <c r="I1195" s="162"/>
      <c r="J1195" s="251">
        <v>1</v>
      </c>
      <c r="K1195" s="254">
        <v>250000</v>
      </c>
      <c r="L1195" s="255">
        <f t="shared" si="104"/>
        <v>250000</v>
      </c>
      <c r="M1195" s="257">
        <v>1750000</v>
      </c>
      <c r="N1195" s="262" t="s">
        <v>611</v>
      </c>
      <c r="O119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82000</v>
      </c>
      <c r="P1195" s="262"/>
      <c r="Q1195" s="264" t="str" cm="1">
        <f t="array" ref="Q1195">IF(T[[#This Row],[نوع عملیات]]="فروش", _xlfn.XLOOKUP(T[[#This Row],[کالا]], _xlfn._xlws.FILTER(T[کالا], T[نوع عملیات]="خرید"), _xlfn._xlws.FILTER(T[فروشنده / مشتری], T[نوع عملیات]="خرید")), "")</f>
        <v>عبدل آباد</v>
      </c>
    </row>
    <row r="1196" spans="2:17" ht="16.5" hidden="1" x14ac:dyDescent="0.75">
      <c r="B1196" s="227">
        <v>4</v>
      </c>
      <c r="C1196" s="150">
        <v>6</v>
      </c>
      <c r="D1196" s="150">
        <v>8</v>
      </c>
      <c r="E1196" s="150" t="str">
        <f t="shared" si="103"/>
        <v>شهریور</v>
      </c>
      <c r="F1196" s="151" t="s">
        <v>167</v>
      </c>
      <c r="G1196" s="244" t="s">
        <v>274</v>
      </c>
      <c r="H1196" s="247" t="s">
        <v>312</v>
      </c>
      <c r="I1196" s="162"/>
      <c r="J1196" s="251">
        <v>1</v>
      </c>
      <c r="K1196" s="254">
        <v>100000</v>
      </c>
      <c r="L1196" s="255">
        <f t="shared" si="104"/>
        <v>100000</v>
      </c>
      <c r="M1196" s="257"/>
      <c r="N1196" s="262"/>
      <c r="O119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45714.285714285717</v>
      </c>
      <c r="P1196" s="262"/>
      <c r="Q1196" s="264" t="str" cm="1">
        <f t="array" ref="Q1196">IF(T[[#This Row],[نوع عملیات]]="فروش", _xlfn.XLOOKUP(T[[#This Row],[کالا]], _xlfn._xlws.FILTER(T[کالا], T[نوع عملیات]="خرید"), _xlfn._xlws.FILTER(T[فروشنده / مشتری], T[نوع عملیات]="خرید")), "")</f>
        <v>بازار</v>
      </c>
    </row>
    <row r="1197" spans="2:17" ht="16.5" hidden="1" x14ac:dyDescent="0.75">
      <c r="B1197" s="227">
        <v>4</v>
      </c>
      <c r="C1197" s="150">
        <v>6</v>
      </c>
      <c r="D1197" s="150">
        <v>9</v>
      </c>
      <c r="E1197" s="150" t="str">
        <f t="shared" si="103"/>
        <v>شهریور</v>
      </c>
      <c r="F1197" s="151" t="s">
        <v>302</v>
      </c>
      <c r="G1197" s="244"/>
      <c r="H1197" s="247" t="s">
        <v>573</v>
      </c>
      <c r="I1197" s="162"/>
      <c r="J1197" s="251"/>
      <c r="K1197" s="254"/>
      <c r="L1197" s="255">
        <f t="shared" si="104"/>
        <v>0</v>
      </c>
      <c r="M1197" s="257">
        <v>750000</v>
      </c>
      <c r="N1197" s="262" t="s">
        <v>611</v>
      </c>
      <c r="O119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197" s="262"/>
      <c r="Q1197" s="264" t="str" cm="1">
        <f t="array" ref="Q1197">IF(T[[#This Row],[نوع عملیات]]="فروش", _xlfn.XLOOKUP(T[[#This Row],[کالا]], _xlfn._xlws.FILTER(T[کالا], T[نوع عملیات]="خرید"), _xlfn._xlws.FILTER(T[فروشنده / مشتری], T[نوع عملیات]="خرید")), "")</f>
        <v/>
      </c>
    </row>
    <row r="1198" spans="2:17" ht="16.5" hidden="1" x14ac:dyDescent="0.75">
      <c r="B1198" s="227">
        <v>4</v>
      </c>
      <c r="C1198" s="150">
        <v>6</v>
      </c>
      <c r="D1198" s="150">
        <v>9</v>
      </c>
      <c r="E1198" s="150" t="str">
        <f t="shared" si="103"/>
        <v>شهریور</v>
      </c>
      <c r="F1198" s="151" t="s">
        <v>325</v>
      </c>
      <c r="G1198" s="244" t="s">
        <v>676</v>
      </c>
      <c r="H1198" s="247" t="s">
        <v>451</v>
      </c>
      <c r="I1198" s="162"/>
      <c r="J1198" s="251">
        <v>1</v>
      </c>
      <c r="K1198" s="254">
        <v>0</v>
      </c>
      <c r="L1198" s="255">
        <f t="shared" si="104"/>
        <v>0</v>
      </c>
      <c r="M1198" s="257"/>
      <c r="N1198" s="262"/>
      <c r="O119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-1080000</v>
      </c>
      <c r="P1198" s="262"/>
      <c r="Q1198" s="264" t="str" cm="1">
        <f t="array" ref="Q1198">IF(T[[#This Row],[نوع عملیات]]="فروش", _xlfn.XLOOKUP(T[[#This Row],[کالا]], _xlfn._xlws.FILTER(T[کالا], T[نوع عملیات]="خرید"), _xlfn._xlws.FILTER(T[فروشنده / مشتری], T[نوع عملیات]="خرید")), "")</f>
        <v/>
      </c>
    </row>
    <row r="1199" spans="2:17" ht="16.5" hidden="1" x14ac:dyDescent="0.75">
      <c r="B1199" s="227">
        <v>4</v>
      </c>
      <c r="C1199" s="150">
        <v>6</v>
      </c>
      <c r="D1199" s="150">
        <v>9</v>
      </c>
      <c r="E1199" s="150" t="str">
        <f t="shared" si="103"/>
        <v>شهریور</v>
      </c>
      <c r="F1199" s="151" t="s">
        <v>325</v>
      </c>
      <c r="G1199" s="244" t="s">
        <v>574</v>
      </c>
      <c r="H1199" s="247" t="s">
        <v>451</v>
      </c>
      <c r="I1199" s="162"/>
      <c r="J1199" s="251">
        <v>1</v>
      </c>
      <c r="K1199" s="254">
        <v>0</v>
      </c>
      <c r="L1199" s="255">
        <f t="shared" si="104"/>
        <v>0</v>
      </c>
      <c r="M1199" s="257"/>
      <c r="N1199" s="262"/>
      <c r="O119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-118000</v>
      </c>
      <c r="P1199" s="262"/>
      <c r="Q1199" s="264" t="str" cm="1">
        <f t="array" ref="Q1199">IF(T[[#This Row],[نوع عملیات]]="فروش", _xlfn.XLOOKUP(T[[#This Row],[کالا]], _xlfn._xlws.FILTER(T[کالا], T[نوع عملیات]="خرید"), _xlfn._xlws.FILTER(T[فروشنده / مشتری], T[نوع عملیات]="خرید")), "")</f>
        <v/>
      </c>
    </row>
    <row r="1200" spans="2:17" ht="16.5" hidden="1" x14ac:dyDescent="0.75">
      <c r="B1200" s="227">
        <v>4</v>
      </c>
      <c r="C1200" s="150">
        <v>6</v>
      </c>
      <c r="D1200" s="150">
        <v>9</v>
      </c>
      <c r="E1200" s="150" t="str">
        <f t="shared" si="103"/>
        <v>شهریور</v>
      </c>
      <c r="F1200" s="151" t="s">
        <v>302</v>
      </c>
      <c r="G1200" s="244"/>
      <c r="H1200" s="247" t="s">
        <v>434</v>
      </c>
      <c r="I1200" s="162"/>
      <c r="J1200" s="251"/>
      <c r="K1200" s="254"/>
      <c r="L1200" s="255">
        <f t="shared" si="104"/>
        <v>0</v>
      </c>
      <c r="M1200" s="257">
        <v>5000000</v>
      </c>
      <c r="N1200" s="262" t="s">
        <v>611</v>
      </c>
      <c r="O120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0" s="262"/>
      <c r="Q1200" s="264" t="str" cm="1">
        <f t="array" ref="Q1200">IF(T[[#This Row],[نوع عملیات]]="فروش", _xlfn.XLOOKUP(T[[#This Row],[کالا]], _xlfn._xlws.FILTER(T[کالا], T[نوع عملیات]="خرید"), _xlfn._xlws.FILTER(T[فروشنده / مشتری], T[نوع عملیات]="خرید")), "")</f>
        <v/>
      </c>
    </row>
    <row r="1201" spans="2:17" ht="16.5" hidden="1" x14ac:dyDescent="0.75">
      <c r="B1201" s="227">
        <v>4</v>
      </c>
      <c r="C1201" s="150">
        <v>6</v>
      </c>
      <c r="D1201" s="150">
        <v>10</v>
      </c>
      <c r="E1201" s="150" t="str">
        <f t="shared" si="103"/>
        <v>شهریور</v>
      </c>
      <c r="F1201" s="151" t="s">
        <v>302</v>
      </c>
      <c r="G1201" s="244"/>
      <c r="H1201" s="247" t="s">
        <v>684</v>
      </c>
      <c r="I1201" s="162"/>
      <c r="J1201" s="251"/>
      <c r="K1201" s="254"/>
      <c r="L1201" s="255">
        <f t="shared" si="104"/>
        <v>0</v>
      </c>
      <c r="M1201" s="257">
        <v>1200000</v>
      </c>
      <c r="N1201" s="262" t="s">
        <v>299</v>
      </c>
      <c r="O120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1" s="262"/>
      <c r="Q1201" s="264" t="str" cm="1">
        <f t="array" ref="Q1201">IF(T[[#This Row],[نوع عملیات]]="فروش", _xlfn.XLOOKUP(T[[#This Row],[کالا]], _xlfn._xlws.FILTER(T[کالا], T[نوع عملیات]="خرید"), _xlfn._xlws.FILTER(T[فروشنده / مشتری], T[نوع عملیات]="خرید")), "")</f>
        <v/>
      </c>
    </row>
    <row r="1202" spans="2:17" ht="16.5" hidden="1" x14ac:dyDescent="0.75">
      <c r="B1202" s="227">
        <v>4</v>
      </c>
      <c r="C1202" s="150">
        <v>6</v>
      </c>
      <c r="D1202" s="150">
        <v>10</v>
      </c>
      <c r="E1202" s="150" t="str">
        <f t="shared" ref="E1202:E1210" si="105">CHOOSE(C1202, "فروردین", "اردیبهشت", "خرداد", "تیر", "مرداد", "شهریور", "مهر", "آبان", "آذر", "دی", "بهمن", "اسفند")</f>
        <v>شهریور</v>
      </c>
      <c r="F1202" s="151" t="s">
        <v>302</v>
      </c>
      <c r="G1202" s="244"/>
      <c r="H1202" s="247" t="s">
        <v>476</v>
      </c>
      <c r="I1202" s="162"/>
      <c r="J1202" s="251"/>
      <c r="K1202" s="254"/>
      <c r="L1202" s="255">
        <f t="shared" ref="L1202:L1210" si="106">J1202*K1202</f>
        <v>0</v>
      </c>
      <c r="M1202" s="257">
        <v>1700000</v>
      </c>
      <c r="N1202" s="262" t="s">
        <v>299</v>
      </c>
      <c r="O120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2" s="262"/>
      <c r="Q1202" s="264" t="str" cm="1">
        <f t="array" ref="Q1202">IF(T[[#This Row],[نوع عملیات]]="فروش", _xlfn.XLOOKUP(T[[#This Row],[کالا]], _xlfn._xlws.FILTER(T[کالا], T[نوع عملیات]="خرید"), _xlfn._xlws.FILTER(T[فروشنده / مشتری], T[نوع عملیات]="خرید")), "")</f>
        <v/>
      </c>
    </row>
    <row r="1203" spans="2:17" ht="16.5" hidden="1" x14ac:dyDescent="0.75">
      <c r="B1203" s="227">
        <v>4</v>
      </c>
      <c r="C1203" s="150">
        <v>6</v>
      </c>
      <c r="D1203" s="150">
        <v>10</v>
      </c>
      <c r="E1203" s="150" t="str">
        <f t="shared" si="105"/>
        <v>شهریور</v>
      </c>
      <c r="F1203" s="151" t="s">
        <v>302</v>
      </c>
      <c r="G1203" s="244"/>
      <c r="H1203" s="247" t="s">
        <v>288</v>
      </c>
      <c r="I1203" s="162"/>
      <c r="J1203" s="251"/>
      <c r="K1203" s="254"/>
      <c r="L1203" s="255">
        <f t="shared" si="106"/>
        <v>0</v>
      </c>
      <c r="M1203" s="257">
        <v>1250000</v>
      </c>
      <c r="N1203" s="262" t="s">
        <v>299</v>
      </c>
      <c r="O120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3" s="262"/>
      <c r="Q1203" s="264" t="str" cm="1">
        <f t="array" ref="Q1203">IF(T[[#This Row],[نوع عملیات]]="فروش", _xlfn.XLOOKUP(T[[#This Row],[کالا]], _xlfn._xlws.FILTER(T[کالا], T[نوع عملیات]="خرید"), _xlfn._xlws.FILTER(T[فروشنده / مشتری], T[نوع عملیات]="خرید")), "")</f>
        <v/>
      </c>
    </row>
    <row r="1204" spans="2:17" ht="16.5" hidden="1" x14ac:dyDescent="0.75">
      <c r="B1204" s="227">
        <v>4</v>
      </c>
      <c r="C1204" s="150">
        <v>6</v>
      </c>
      <c r="D1204" s="150">
        <v>10</v>
      </c>
      <c r="E1204" s="150" t="str">
        <f t="shared" si="105"/>
        <v>شهریور</v>
      </c>
      <c r="F1204" s="151" t="s">
        <v>302</v>
      </c>
      <c r="G1204" s="244"/>
      <c r="H1204" s="247" t="s">
        <v>690</v>
      </c>
      <c r="I1204" s="162"/>
      <c r="J1204" s="251"/>
      <c r="K1204" s="254"/>
      <c r="L1204" s="255">
        <f t="shared" si="106"/>
        <v>0</v>
      </c>
      <c r="M1204" s="257">
        <v>180000</v>
      </c>
      <c r="N1204" s="262" t="s">
        <v>611</v>
      </c>
      <c r="O120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4" s="262"/>
      <c r="Q1204" s="264" t="str" cm="1">
        <f t="array" ref="Q1204">IF(T[[#This Row],[نوع عملیات]]="فروش", _xlfn.XLOOKUP(T[[#This Row],[کالا]], _xlfn._xlws.FILTER(T[کالا], T[نوع عملیات]="خرید"), _xlfn._xlws.FILTER(T[فروشنده / مشتری], T[نوع عملیات]="خرید")), "")</f>
        <v/>
      </c>
    </row>
    <row r="1205" spans="2:17" ht="16.5" hidden="1" x14ac:dyDescent="0.75">
      <c r="B1205" s="227">
        <v>4</v>
      </c>
      <c r="C1205" s="150">
        <v>6</v>
      </c>
      <c r="D1205" s="150">
        <v>10</v>
      </c>
      <c r="E1205" s="150" t="str">
        <f t="shared" si="105"/>
        <v>شهریور</v>
      </c>
      <c r="F1205" s="151" t="s">
        <v>302</v>
      </c>
      <c r="G1205" s="244"/>
      <c r="H1205" s="247" t="s">
        <v>589</v>
      </c>
      <c r="I1205" s="162"/>
      <c r="J1205" s="251"/>
      <c r="K1205" s="254"/>
      <c r="L1205" s="255">
        <f t="shared" si="106"/>
        <v>0</v>
      </c>
      <c r="M1205" s="257">
        <v>400000</v>
      </c>
      <c r="N1205" s="262" t="s">
        <v>299</v>
      </c>
      <c r="O120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5" s="262"/>
      <c r="Q1205" s="264" t="str" cm="1">
        <f t="array" ref="Q1205">IF(T[[#This Row],[نوع عملیات]]="فروش", _xlfn.XLOOKUP(T[[#This Row],[کالا]], _xlfn._xlws.FILTER(T[کالا], T[نوع عملیات]="خرید"), _xlfn._xlws.FILTER(T[فروشنده / مشتری], T[نوع عملیات]="خرید")), "")</f>
        <v/>
      </c>
    </row>
    <row r="1206" spans="2:17" ht="16.5" hidden="1" x14ac:dyDescent="0.75">
      <c r="B1206" s="227">
        <v>4</v>
      </c>
      <c r="C1206" s="150">
        <v>6</v>
      </c>
      <c r="D1206" s="150">
        <v>10</v>
      </c>
      <c r="E1206" s="150" t="str">
        <f t="shared" si="105"/>
        <v>شهریور</v>
      </c>
      <c r="F1206" s="151" t="s">
        <v>302</v>
      </c>
      <c r="G1206" s="244"/>
      <c r="H1206" s="247" t="s">
        <v>686</v>
      </c>
      <c r="I1206" s="162"/>
      <c r="J1206" s="251"/>
      <c r="K1206" s="254"/>
      <c r="L1206" s="255">
        <f t="shared" si="106"/>
        <v>0</v>
      </c>
      <c r="M1206" s="257">
        <v>500000</v>
      </c>
      <c r="N1206" s="262" t="s">
        <v>299</v>
      </c>
      <c r="O120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6" s="262"/>
      <c r="Q1206" s="264" t="str" cm="1">
        <f t="array" ref="Q1206">IF(T[[#This Row],[نوع عملیات]]="فروش", _xlfn.XLOOKUP(T[[#This Row],[کالا]], _xlfn._xlws.FILTER(T[کالا], T[نوع عملیات]="خرید"), _xlfn._xlws.FILTER(T[فروشنده / مشتری], T[نوع عملیات]="خرید")), "")</f>
        <v/>
      </c>
    </row>
    <row r="1207" spans="2:17" ht="16.5" hidden="1" x14ac:dyDescent="0.75">
      <c r="B1207" s="227">
        <v>4</v>
      </c>
      <c r="C1207" s="150">
        <v>6</v>
      </c>
      <c r="D1207" s="150">
        <v>10</v>
      </c>
      <c r="E1207" s="150" t="str">
        <f t="shared" si="105"/>
        <v>شهریور</v>
      </c>
      <c r="F1207" s="151" t="s">
        <v>302</v>
      </c>
      <c r="G1207" s="244"/>
      <c r="H1207" s="247" t="s">
        <v>352</v>
      </c>
      <c r="I1207" s="162"/>
      <c r="J1207" s="251"/>
      <c r="K1207" s="254"/>
      <c r="L1207" s="255">
        <f t="shared" si="106"/>
        <v>0</v>
      </c>
      <c r="M1207" s="257">
        <v>7000000</v>
      </c>
      <c r="N1207" s="262" t="s">
        <v>611</v>
      </c>
      <c r="O120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7" s="262"/>
      <c r="Q1207" s="264" t="str" cm="1">
        <f t="array" ref="Q1207">IF(T[[#This Row],[نوع عملیات]]="فروش", _xlfn.XLOOKUP(T[[#This Row],[کالا]], _xlfn._xlws.FILTER(T[کالا], T[نوع عملیات]="خرید"), _xlfn._xlws.FILTER(T[فروشنده / مشتری], T[نوع عملیات]="خرید")), "")</f>
        <v/>
      </c>
    </row>
    <row r="1208" spans="2:17" ht="16.5" hidden="1" x14ac:dyDescent="0.75">
      <c r="B1208" s="227">
        <v>4</v>
      </c>
      <c r="C1208" s="150">
        <v>6</v>
      </c>
      <c r="D1208" s="150">
        <v>10</v>
      </c>
      <c r="E1208" s="150" t="str">
        <f t="shared" si="105"/>
        <v>شهریور</v>
      </c>
      <c r="F1208" s="151" t="s">
        <v>302</v>
      </c>
      <c r="G1208" s="244"/>
      <c r="H1208" s="247" t="s">
        <v>637</v>
      </c>
      <c r="I1208" s="162"/>
      <c r="J1208" s="251"/>
      <c r="K1208" s="254"/>
      <c r="L1208" s="255">
        <f t="shared" si="106"/>
        <v>0</v>
      </c>
      <c r="M1208" s="257">
        <v>1500000</v>
      </c>
      <c r="N1208" s="262" t="s">
        <v>611</v>
      </c>
      <c r="O120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8" s="262"/>
      <c r="Q1208" s="264" t="str" cm="1">
        <f t="array" ref="Q1208">IF(T[[#This Row],[نوع عملیات]]="فروش", _xlfn.XLOOKUP(T[[#This Row],[کالا]], _xlfn._xlws.FILTER(T[کالا], T[نوع عملیات]="خرید"), _xlfn._xlws.FILTER(T[فروشنده / مشتری], T[نوع عملیات]="خرید")), "")</f>
        <v/>
      </c>
    </row>
    <row r="1209" spans="2:17" ht="16.5" hidden="1" x14ac:dyDescent="0.75">
      <c r="B1209" s="227">
        <v>4</v>
      </c>
      <c r="C1209" s="150">
        <v>6</v>
      </c>
      <c r="D1209" s="150">
        <v>10</v>
      </c>
      <c r="E1209" s="150" t="str">
        <f t="shared" si="105"/>
        <v>شهریور</v>
      </c>
      <c r="F1209" s="151" t="s">
        <v>302</v>
      </c>
      <c r="G1209" s="244"/>
      <c r="H1209" s="247" t="s">
        <v>422</v>
      </c>
      <c r="I1209" s="162"/>
      <c r="J1209" s="251"/>
      <c r="K1209" s="254"/>
      <c r="L1209" s="255">
        <f t="shared" si="106"/>
        <v>0</v>
      </c>
      <c r="M1209" s="257">
        <v>2200000</v>
      </c>
      <c r="N1209" s="262" t="s">
        <v>299</v>
      </c>
      <c r="O120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09" s="262"/>
      <c r="Q1209" s="264" t="str" cm="1">
        <f t="array" ref="Q1209">IF(T[[#This Row],[نوع عملیات]]="فروش", _xlfn.XLOOKUP(T[[#This Row],[کالا]], _xlfn._xlws.FILTER(T[کالا], T[نوع عملیات]="خرید"), _xlfn._xlws.FILTER(T[فروشنده / مشتری], T[نوع عملیات]="خرید")), "")</f>
        <v/>
      </c>
    </row>
    <row r="1210" spans="2:17" ht="16.5" hidden="1" x14ac:dyDescent="0.75">
      <c r="B1210" s="227">
        <v>4</v>
      </c>
      <c r="C1210" s="150">
        <v>6</v>
      </c>
      <c r="D1210" s="150">
        <v>10</v>
      </c>
      <c r="E1210" s="150" t="str">
        <f t="shared" si="105"/>
        <v>شهریور</v>
      </c>
      <c r="F1210" s="151" t="s">
        <v>167</v>
      </c>
      <c r="G1210" s="244" t="s">
        <v>561</v>
      </c>
      <c r="H1210" s="247" t="s">
        <v>211</v>
      </c>
      <c r="I1210" s="162"/>
      <c r="J1210" s="251">
        <v>1</v>
      </c>
      <c r="K1210" s="254">
        <v>350000</v>
      </c>
      <c r="L1210" s="255">
        <f t="shared" si="106"/>
        <v>350000</v>
      </c>
      <c r="M1210" s="257"/>
      <c r="N1210" s="262"/>
      <c r="O121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122000</v>
      </c>
      <c r="P1210" s="262"/>
      <c r="Q1210" s="264" t="str" cm="1">
        <f t="array" ref="Q1210">IF(T[[#This Row],[نوع عملیات]]="فروش", _xlfn.XLOOKUP(T[[#This Row],[کالا]], _xlfn._xlws.FILTER(T[کالا], T[نوع عملیات]="خرید"), _xlfn._xlws.FILTER(T[فروشنده / مشتری], T[نوع عملیات]="خرید")), "")</f>
        <v>عبدل آباد</v>
      </c>
    </row>
    <row r="1211" spans="2:17" ht="16.5" hidden="1" x14ac:dyDescent="0.75">
      <c r="B1211" s="227">
        <v>4</v>
      </c>
      <c r="C1211" s="150">
        <v>6</v>
      </c>
      <c r="D1211" s="150">
        <v>10</v>
      </c>
      <c r="E1211" s="150" t="str">
        <f>CHOOSE(C1211, "فروردین", "اردیبهشت", "خرداد", "تیر", "مرداد", "شهریور", "مهر", "آبان", "آذر", "دی", "بهمن", "اسفند")</f>
        <v>شهریور</v>
      </c>
      <c r="F1211" s="151" t="s">
        <v>167</v>
      </c>
      <c r="G1211" s="244" t="s">
        <v>574</v>
      </c>
      <c r="H1211" s="247" t="s">
        <v>211</v>
      </c>
      <c r="I1211" s="162"/>
      <c r="J1211" s="251">
        <v>1</v>
      </c>
      <c r="K1211" s="254">
        <v>300000</v>
      </c>
      <c r="L1211" s="255">
        <f>J1211*K1211</f>
        <v>300000</v>
      </c>
      <c r="M1211" s="257">
        <v>650000</v>
      </c>
      <c r="N1211" s="262" t="s">
        <v>299</v>
      </c>
      <c r="O121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182000</v>
      </c>
      <c r="P1211" s="262"/>
      <c r="Q1211" s="264" t="str" cm="1">
        <f t="array" ref="Q1211">IF(T[[#This Row],[نوع عملیات]]="فروش", _xlfn.XLOOKUP(T[[#This Row],[کالا]], _xlfn._xlws.FILTER(T[کالا], T[نوع عملیات]="خرید"), _xlfn._xlws.FILTER(T[فروشنده / مشتری], T[نوع عملیات]="خرید")), "")</f>
        <v>عبدل آباد</v>
      </c>
    </row>
    <row r="1212" spans="2:17" ht="16.5" hidden="1" x14ac:dyDescent="0.75">
      <c r="B1212" s="227">
        <v>4</v>
      </c>
      <c r="C1212" s="150">
        <v>6</v>
      </c>
      <c r="D1212" s="150">
        <v>10</v>
      </c>
      <c r="E1212" s="150" t="str">
        <f t="shared" si="97"/>
        <v>شهریور</v>
      </c>
      <c r="F1212" s="151" t="s">
        <v>302</v>
      </c>
      <c r="G1212" s="244"/>
      <c r="H1212" s="247" t="s">
        <v>640</v>
      </c>
      <c r="I1212" s="162"/>
      <c r="J1212" s="251"/>
      <c r="K1212" s="254"/>
      <c r="L1212" s="255">
        <f t="shared" si="98"/>
        <v>0</v>
      </c>
      <c r="M1212" s="257">
        <v>10000000</v>
      </c>
      <c r="N1212" s="262" t="s">
        <v>611</v>
      </c>
      <c r="O121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12" s="262"/>
      <c r="Q1212" s="264" t="str" cm="1">
        <f t="array" ref="Q1212">IF(T[[#This Row],[نوع عملیات]]="فروش", _xlfn.XLOOKUP(T[[#This Row],[کالا]], _xlfn._xlws.FILTER(T[کالا], T[نوع عملیات]="خرید"), _xlfn._xlws.FILTER(T[فروشنده / مشتری], T[نوع عملیات]="خرید")), "")</f>
        <v/>
      </c>
    </row>
    <row r="1213" spans="2:17" ht="16.5" hidden="1" x14ac:dyDescent="0.75">
      <c r="B1213" s="227">
        <v>4</v>
      </c>
      <c r="C1213" s="150">
        <v>6</v>
      </c>
      <c r="D1213" s="150">
        <v>11</v>
      </c>
      <c r="E1213" s="150" t="str">
        <f t="shared" si="97"/>
        <v>شهریور</v>
      </c>
      <c r="F1213" s="151" t="s">
        <v>302</v>
      </c>
      <c r="G1213" s="244"/>
      <c r="H1213" s="247" t="s">
        <v>612</v>
      </c>
      <c r="I1213" s="162"/>
      <c r="J1213" s="251"/>
      <c r="K1213" s="254"/>
      <c r="L1213" s="255">
        <f t="shared" si="98"/>
        <v>0</v>
      </c>
      <c r="M1213" s="257">
        <v>2300000</v>
      </c>
      <c r="N1213" s="262" t="s">
        <v>299</v>
      </c>
      <c r="O121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13" s="262"/>
      <c r="Q1213" s="264" t="str" cm="1">
        <f t="array" ref="Q1213">IF(T[[#This Row],[نوع عملیات]]="فروش", _xlfn.XLOOKUP(T[[#This Row],[کالا]], _xlfn._xlws.FILTER(T[کالا], T[نوع عملیات]="خرید"), _xlfn._xlws.FILTER(T[فروشنده / مشتری], T[نوع عملیات]="خرید")), "")</f>
        <v/>
      </c>
    </row>
    <row r="1214" spans="2:17" ht="16.5" hidden="1" x14ac:dyDescent="0.75">
      <c r="B1214" s="227">
        <v>4</v>
      </c>
      <c r="C1214" s="150">
        <v>6</v>
      </c>
      <c r="D1214" s="150">
        <v>11</v>
      </c>
      <c r="E1214" s="150" t="str">
        <f t="shared" ref="E1214:E1224" si="107">CHOOSE(C1214, "فروردین", "اردیبهشت", "خرداد", "تیر", "مرداد", "شهریور", "مهر", "آبان", "آذر", "دی", "بهمن", "اسفند")</f>
        <v>شهریور</v>
      </c>
      <c r="F1214" s="151" t="s">
        <v>302</v>
      </c>
      <c r="G1214" s="244"/>
      <c r="H1214" s="247" t="s">
        <v>616</v>
      </c>
      <c r="I1214" s="162"/>
      <c r="J1214" s="251"/>
      <c r="K1214" s="254"/>
      <c r="L1214" s="255">
        <f t="shared" ref="L1214:L1224" si="108">J1214*K1214</f>
        <v>0</v>
      </c>
      <c r="M1214" s="257">
        <v>2650000</v>
      </c>
      <c r="N1214" s="262" t="s">
        <v>299</v>
      </c>
      <c r="O121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14" s="262"/>
      <c r="Q1214" s="264" t="str" cm="1">
        <f t="array" ref="Q1214">IF(T[[#This Row],[نوع عملیات]]="فروش", _xlfn.XLOOKUP(T[[#This Row],[کالا]], _xlfn._xlws.FILTER(T[کالا], T[نوع عملیات]="خرید"), _xlfn._xlws.FILTER(T[فروشنده / مشتری], T[نوع عملیات]="خرید")), "")</f>
        <v/>
      </c>
    </row>
    <row r="1215" spans="2:17" ht="16.5" hidden="1" x14ac:dyDescent="0.75">
      <c r="B1215" s="227">
        <v>4</v>
      </c>
      <c r="C1215" s="150">
        <v>6</v>
      </c>
      <c r="D1215" s="150">
        <v>11</v>
      </c>
      <c r="E1215" s="150" t="str">
        <f t="shared" si="107"/>
        <v>شهریور</v>
      </c>
      <c r="F1215" s="151" t="s">
        <v>302</v>
      </c>
      <c r="G1215" s="244"/>
      <c r="H1215" s="247" t="s">
        <v>429</v>
      </c>
      <c r="I1215" s="162"/>
      <c r="J1215" s="251"/>
      <c r="K1215" s="254"/>
      <c r="L1215" s="255">
        <f t="shared" si="108"/>
        <v>0</v>
      </c>
      <c r="M1215" s="257">
        <v>1250000</v>
      </c>
      <c r="N1215" s="262" t="s">
        <v>216</v>
      </c>
      <c r="O121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15" s="262"/>
      <c r="Q1215" s="264" t="str" cm="1">
        <f t="array" ref="Q1215">IF(T[[#This Row],[نوع عملیات]]="فروش", _xlfn.XLOOKUP(T[[#This Row],[کالا]], _xlfn._xlws.FILTER(T[کالا], T[نوع عملیات]="خرید"), _xlfn._xlws.FILTER(T[فروشنده / مشتری], T[نوع عملیات]="خرید")), "")</f>
        <v/>
      </c>
    </row>
    <row r="1216" spans="2:17" ht="16.5" hidden="1" x14ac:dyDescent="0.75">
      <c r="B1216" s="227">
        <v>4</v>
      </c>
      <c r="C1216" s="150">
        <v>6</v>
      </c>
      <c r="D1216" s="150">
        <v>11</v>
      </c>
      <c r="E1216" s="150" t="str">
        <f t="shared" si="107"/>
        <v>شهریور</v>
      </c>
      <c r="F1216" s="151" t="s">
        <v>302</v>
      </c>
      <c r="G1216" s="244"/>
      <c r="H1216" s="247" t="s">
        <v>429</v>
      </c>
      <c r="I1216" s="162"/>
      <c r="J1216" s="251"/>
      <c r="K1216" s="254"/>
      <c r="L1216" s="255">
        <f t="shared" si="108"/>
        <v>0</v>
      </c>
      <c r="M1216" s="257">
        <v>1000000</v>
      </c>
      <c r="N1216" s="262" t="s">
        <v>299</v>
      </c>
      <c r="O121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16" s="262"/>
      <c r="Q1216" s="264" t="str" cm="1">
        <f t="array" ref="Q1216">IF(T[[#This Row],[نوع عملیات]]="فروش", _xlfn.XLOOKUP(T[[#This Row],[کالا]], _xlfn._xlws.FILTER(T[کالا], T[نوع عملیات]="خرید"), _xlfn._xlws.FILTER(T[فروشنده / مشتری], T[نوع عملیات]="خرید")), "")</f>
        <v/>
      </c>
    </row>
    <row r="1217" spans="2:17" ht="16.5" hidden="1" x14ac:dyDescent="0.75">
      <c r="B1217" s="227">
        <v>4</v>
      </c>
      <c r="C1217" s="150">
        <v>6</v>
      </c>
      <c r="D1217" s="150">
        <v>11</v>
      </c>
      <c r="E1217" s="150" t="str">
        <f t="shared" si="107"/>
        <v>شهریور</v>
      </c>
      <c r="F1217" s="151" t="s">
        <v>302</v>
      </c>
      <c r="G1217" s="244"/>
      <c r="H1217" s="247" t="s">
        <v>478</v>
      </c>
      <c r="I1217" s="162"/>
      <c r="J1217" s="251"/>
      <c r="K1217" s="254"/>
      <c r="L1217" s="255">
        <f t="shared" si="108"/>
        <v>0</v>
      </c>
      <c r="M1217" s="257">
        <v>800000</v>
      </c>
      <c r="N1217" s="262" t="s">
        <v>299</v>
      </c>
      <c r="O1217"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17" s="262"/>
      <c r="Q1217" s="264" t="str" cm="1">
        <f t="array" ref="Q1217">IF(T[[#This Row],[نوع عملیات]]="فروش", _xlfn.XLOOKUP(T[[#This Row],[کالا]], _xlfn._xlws.FILTER(T[کالا], T[نوع عملیات]="خرید"), _xlfn._xlws.FILTER(T[فروشنده / مشتری], T[نوع عملیات]="خرید")), "")</f>
        <v/>
      </c>
    </row>
    <row r="1218" spans="2:17" ht="16.5" hidden="1" x14ac:dyDescent="0.75">
      <c r="B1218" s="227">
        <v>4</v>
      </c>
      <c r="C1218" s="150">
        <v>6</v>
      </c>
      <c r="D1218" s="150">
        <v>11</v>
      </c>
      <c r="E1218" s="150" t="str">
        <f t="shared" si="107"/>
        <v>شهریور</v>
      </c>
      <c r="F1218" s="151" t="s">
        <v>302</v>
      </c>
      <c r="G1218" s="244"/>
      <c r="H1218" s="247" t="s">
        <v>434</v>
      </c>
      <c r="I1218" s="162"/>
      <c r="J1218" s="251"/>
      <c r="K1218" s="254"/>
      <c r="L1218" s="255">
        <f t="shared" si="108"/>
        <v>0</v>
      </c>
      <c r="M1218" s="257">
        <v>3000000</v>
      </c>
      <c r="N1218" s="262" t="s">
        <v>611</v>
      </c>
      <c r="O1218"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18" s="262"/>
      <c r="Q1218" s="264" t="str" cm="1">
        <f t="array" ref="Q1218">IF(T[[#This Row],[نوع عملیات]]="فروش", _xlfn.XLOOKUP(T[[#This Row],[کالا]], _xlfn._xlws.FILTER(T[کالا], T[نوع عملیات]="خرید"), _xlfn._xlws.FILTER(T[فروشنده / مشتری], T[نوع عملیات]="خرید")), "")</f>
        <v/>
      </c>
    </row>
    <row r="1219" spans="2:17" ht="16.5" hidden="1" x14ac:dyDescent="0.75">
      <c r="B1219" s="227">
        <v>4</v>
      </c>
      <c r="C1219" s="150">
        <v>6</v>
      </c>
      <c r="D1219" s="150">
        <v>11</v>
      </c>
      <c r="E1219" s="150" t="str">
        <f t="shared" si="107"/>
        <v>شهریور</v>
      </c>
      <c r="F1219" s="151" t="s">
        <v>302</v>
      </c>
      <c r="G1219" s="244"/>
      <c r="H1219" s="247" t="s">
        <v>539</v>
      </c>
      <c r="I1219" s="162"/>
      <c r="J1219" s="251"/>
      <c r="K1219" s="254"/>
      <c r="L1219" s="255">
        <f t="shared" si="108"/>
        <v>0</v>
      </c>
      <c r="M1219" s="257">
        <v>6330000</v>
      </c>
      <c r="N1219" s="262" t="s">
        <v>299</v>
      </c>
      <c r="O1219"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19" s="262"/>
      <c r="Q1219" s="264" t="str" cm="1">
        <f t="array" ref="Q1219">IF(T[[#This Row],[نوع عملیات]]="فروش", _xlfn.XLOOKUP(T[[#This Row],[کالا]], _xlfn._xlws.FILTER(T[کالا], T[نوع عملیات]="خرید"), _xlfn._xlws.FILTER(T[فروشنده / مشتری], T[نوع عملیات]="خرید")), "")</f>
        <v/>
      </c>
    </row>
    <row r="1220" spans="2:17" ht="16.5" hidden="1" x14ac:dyDescent="0.75">
      <c r="B1220" s="227">
        <v>4</v>
      </c>
      <c r="C1220" s="150">
        <v>6</v>
      </c>
      <c r="D1220" s="150">
        <v>11</v>
      </c>
      <c r="E1220" s="150" t="str">
        <f t="shared" si="107"/>
        <v>شهریور</v>
      </c>
      <c r="F1220" s="151" t="s">
        <v>167</v>
      </c>
      <c r="G1220" s="244" t="s">
        <v>354</v>
      </c>
      <c r="H1220" s="247" t="s">
        <v>510</v>
      </c>
      <c r="I1220" s="162"/>
      <c r="J1220" s="251">
        <v>1</v>
      </c>
      <c r="K1220" s="254">
        <v>450000</v>
      </c>
      <c r="L1220" s="255">
        <f t="shared" si="108"/>
        <v>450000</v>
      </c>
      <c r="M1220" s="257"/>
      <c r="N1220" s="262"/>
      <c r="O1220"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250000</v>
      </c>
      <c r="P1220" s="262"/>
      <c r="Q1220" s="264" t="str" cm="1">
        <f t="array" ref="Q1220">IF(T[[#This Row],[نوع عملیات]]="فروش", _xlfn.XLOOKUP(T[[#This Row],[کالا]], _xlfn._xlws.FILTER(T[کالا], T[نوع عملیات]="خرید"), _xlfn._xlws.FILTER(T[فروشنده / مشتری], T[نوع عملیات]="خرید")), "")</f>
        <v>بازار</v>
      </c>
    </row>
    <row r="1221" spans="2:17" ht="16.5" hidden="1" x14ac:dyDescent="0.75">
      <c r="B1221" s="227">
        <v>4</v>
      </c>
      <c r="C1221" s="150">
        <v>6</v>
      </c>
      <c r="D1221" s="150">
        <v>11</v>
      </c>
      <c r="E1221" s="150" t="str">
        <f t="shared" si="107"/>
        <v>شهریور</v>
      </c>
      <c r="F1221" s="151" t="s">
        <v>167</v>
      </c>
      <c r="G1221" s="244" t="s">
        <v>220</v>
      </c>
      <c r="H1221" s="247" t="s">
        <v>211</v>
      </c>
      <c r="I1221" s="162"/>
      <c r="J1221" s="251">
        <v>1</v>
      </c>
      <c r="K1221" s="254">
        <v>1200000</v>
      </c>
      <c r="L1221" s="255">
        <f t="shared" si="108"/>
        <v>1200000</v>
      </c>
      <c r="M1221" s="257"/>
      <c r="N1221" s="262"/>
      <c r="O1221"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500000</v>
      </c>
      <c r="P1221" s="262"/>
      <c r="Q1221" s="264" t="str" cm="1">
        <f t="array" ref="Q1221">IF(T[[#This Row],[نوع عملیات]]="فروش", _xlfn.XLOOKUP(T[[#This Row],[کالا]], _xlfn._xlws.FILTER(T[کالا], T[نوع عملیات]="خرید"), _xlfn._xlws.FILTER(T[فروشنده / مشتری], T[نوع عملیات]="خرید")), "")</f>
        <v>مهناز - تولیدی</v>
      </c>
    </row>
    <row r="1222" spans="2:17" ht="16.5" hidden="1" x14ac:dyDescent="0.75">
      <c r="B1222" s="227">
        <v>4</v>
      </c>
      <c r="C1222" s="150">
        <v>6</v>
      </c>
      <c r="D1222" s="150">
        <v>11</v>
      </c>
      <c r="E1222" s="150" t="str">
        <f t="shared" si="107"/>
        <v>شهریور</v>
      </c>
      <c r="F1222" s="151" t="s">
        <v>167</v>
      </c>
      <c r="G1222" s="244" t="s">
        <v>679</v>
      </c>
      <c r="H1222" s="247" t="s">
        <v>211</v>
      </c>
      <c r="I1222" s="162"/>
      <c r="J1222" s="251">
        <v>1</v>
      </c>
      <c r="K1222" s="254">
        <v>500000</v>
      </c>
      <c r="L1222" s="255">
        <f t="shared" si="108"/>
        <v>500000</v>
      </c>
      <c r="M1222" s="257">
        <v>1700000</v>
      </c>
      <c r="N1222" s="262" t="s">
        <v>299</v>
      </c>
      <c r="O1222"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260000</v>
      </c>
      <c r="P1222" s="262"/>
      <c r="Q1222" s="264" t="str" cm="1">
        <f t="array" ref="Q1222">IF(T[[#This Row],[نوع عملیات]]="فروش", _xlfn.XLOOKUP(T[[#This Row],[کالا]], _xlfn._xlws.FILTER(T[کالا], T[نوع عملیات]="خرید"), _xlfn._xlws.FILTER(T[فروشنده / مشتری], T[نوع عملیات]="خرید")), "")</f>
        <v>عبدل آباد</v>
      </c>
    </row>
    <row r="1223" spans="2:17" ht="16.5" hidden="1" x14ac:dyDescent="0.75">
      <c r="B1223" s="227">
        <v>4</v>
      </c>
      <c r="C1223" s="150">
        <v>6</v>
      </c>
      <c r="D1223" s="150">
        <v>11</v>
      </c>
      <c r="E1223" s="150" t="str">
        <f t="shared" si="107"/>
        <v>شهریور</v>
      </c>
      <c r="F1223" s="151" t="s">
        <v>302</v>
      </c>
      <c r="G1223" s="244"/>
      <c r="H1223" s="247" t="s">
        <v>539</v>
      </c>
      <c r="I1223" s="162"/>
      <c r="J1223" s="251"/>
      <c r="K1223" s="254"/>
      <c r="L1223" s="255">
        <f t="shared" si="108"/>
        <v>0</v>
      </c>
      <c r="M1223" s="257">
        <v>2000000</v>
      </c>
      <c r="N1223" s="262" t="s">
        <v>299</v>
      </c>
      <c r="O1223"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23" s="262"/>
      <c r="Q1223" s="264" t="str" cm="1">
        <f t="array" ref="Q1223">IF(T[[#This Row],[نوع عملیات]]="فروش", _xlfn.XLOOKUP(T[[#This Row],[کالا]], _xlfn._xlws.FILTER(T[کالا], T[نوع عملیات]="خرید"), _xlfn._xlws.FILTER(T[فروشنده / مشتری], T[نوع عملیات]="خرید")), "")</f>
        <v/>
      </c>
    </row>
    <row r="1224" spans="2:17" ht="16.5" hidden="1" x14ac:dyDescent="0.75">
      <c r="B1224" s="227">
        <v>4</v>
      </c>
      <c r="C1224" s="150">
        <v>6</v>
      </c>
      <c r="D1224" s="150">
        <v>11</v>
      </c>
      <c r="E1224" s="150" t="str">
        <f t="shared" si="107"/>
        <v>شهریور</v>
      </c>
      <c r="F1224" s="151" t="s">
        <v>302</v>
      </c>
      <c r="G1224" s="244"/>
      <c r="H1224" s="247"/>
      <c r="I1224" s="162"/>
      <c r="J1224" s="251"/>
      <c r="K1224" s="254"/>
      <c r="L1224" s="255">
        <f t="shared" si="108"/>
        <v>0</v>
      </c>
      <c r="M1224" s="257"/>
      <c r="N1224" s="262"/>
      <c r="O1224"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24" s="262"/>
      <c r="Q1224" s="264" t="str" cm="1">
        <f t="array" ref="Q1224">IF(T[[#This Row],[نوع عملیات]]="فروش", _xlfn.XLOOKUP(T[[#This Row],[کالا]], _xlfn._xlws.FILTER(T[کالا], T[نوع عملیات]="خرید"), _xlfn._xlws.FILTER(T[فروشنده / مشتری], T[نوع عملیات]="خرید")), "")</f>
        <v/>
      </c>
    </row>
    <row r="1225" spans="2:17" ht="16.5" hidden="1" x14ac:dyDescent="0.75">
      <c r="B1225" s="227">
        <v>4</v>
      </c>
      <c r="C1225" s="150">
        <v>6</v>
      </c>
      <c r="D1225" s="150">
        <v>11</v>
      </c>
      <c r="E1225" s="150" t="str">
        <f t="shared" si="97"/>
        <v>شهریور</v>
      </c>
      <c r="F1225" s="151" t="s">
        <v>302</v>
      </c>
      <c r="G1225" s="244"/>
      <c r="H1225" s="247"/>
      <c r="I1225" s="162"/>
      <c r="J1225" s="251"/>
      <c r="K1225" s="254"/>
      <c r="L1225" s="255">
        <f t="shared" si="98"/>
        <v>0</v>
      </c>
      <c r="M1225" s="257"/>
      <c r="N1225" s="262"/>
      <c r="O1225"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25" s="262"/>
      <c r="Q1225" s="264" t="str" cm="1">
        <f t="array" ref="Q1225">IF(T[[#This Row],[نوع عملیات]]="فروش", _xlfn.XLOOKUP(T[[#This Row],[کالا]], _xlfn._xlws.FILTER(T[کالا], T[نوع عملیات]="خرید"), _xlfn._xlws.FILTER(T[فروشنده / مشتری], T[نوع عملیات]="خرید")), "")</f>
        <v/>
      </c>
    </row>
    <row r="1226" spans="2:17" ht="16.5" hidden="1" x14ac:dyDescent="0.75">
      <c r="B1226" s="227">
        <v>4</v>
      </c>
      <c r="C1226" s="150">
        <v>6</v>
      </c>
      <c r="D1226" s="150">
        <v>11</v>
      </c>
      <c r="E1226" s="150" t="str">
        <f t="shared" si="92"/>
        <v>شهریور</v>
      </c>
      <c r="F1226" s="151"/>
      <c r="G1226" s="244"/>
      <c r="H1226" s="247"/>
      <c r="I1226" s="162"/>
      <c r="J1226" s="251"/>
      <c r="K1226" s="254"/>
      <c r="L1226" s="255">
        <f t="shared" si="55"/>
        <v>0</v>
      </c>
      <c r="M1226" s="257"/>
      <c r="N1226" s="262"/>
      <c r="O1226" s="263">
        <f>IF(OR(T[[#This Row],[نوع عملیات]]="فروش", T[[#This Row],[نوع عملیات]]="استفاده خودم"), T[[#This Row],[قیمت کل]]-(SUMIFS(T[قیمت کل], T[کالا], T[[#This Row],[کالا]], T[نوع عملیات], "خرید") / SUMIFS(T[تعداد], T[کالا], T[[#This Row],[کالا]], T[نوع عملیات], "خرید"))*T[[#This Row],[تعداد]], 0)</f>
        <v>0</v>
      </c>
      <c r="P1226" s="262"/>
      <c r="Q1226" s="264" t="str" cm="1">
        <f t="array" ref="Q1226">IF(T[[#This Row],[نوع عملیات]]="فروش", _xlfn.XLOOKUP(T[[#This Row],[کالا]], _xlfn._xlws.FILTER(T[کالا], T[نوع عملیات]="خرید"), _xlfn._xlws.FILTER(T[فروشنده / مشتری], T[نوع عملیات]="خرید")), "")</f>
        <v/>
      </c>
    </row>
    <row r="1227" spans="2:17" ht="16.5" x14ac:dyDescent="0.75">
      <c r="B1227" s="360" t="s">
        <v>328</v>
      </c>
      <c r="C1227" s="361"/>
      <c r="D1227" s="361"/>
      <c r="E1227" s="361"/>
      <c r="F1227" s="280"/>
      <c r="G1227" s="281"/>
      <c r="H1227" s="362"/>
      <c r="I1227" s="363"/>
      <c r="J1227" s="283"/>
      <c r="K1227" s="283"/>
      <c r="L1227" s="284">
        <f>SUBTOTAL(109,T[قیمت کل])</f>
        <v>345778000</v>
      </c>
      <c r="M1227" s="364">
        <f>SUBTOTAL(109,T[تسویه])</f>
        <v>335778000</v>
      </c>
      <c r="N1227" s="282"/>
      <c r="O1227" s="284">
        <f>SUBTOTAL(109,T[سود فروش])</f>
        <v>0</v>
      </c>
      <c r="P1227" s="282"/>
      <c r="Q1227" s="285"/>
    </row>
  </sheetData>
  <dataConsolidate/>
  <mergeCells count="1">
    <mergeCell ref="B2:D2"/>
  </mergeCells>
  <phoneticPr fontId="62" type="noConversion"/>
  <conditionalFormatting sqref="B3:Q1227">
    <cfRule type="expression" dxfId="92" priority="1">
      <formula>$N3="اعتباری"</formula>
    </cfRule>
  </conditionalFormatting>
  <dataValidations count="2">
    <dataValidation type="list" allowBlank="1" showInputMessage="1" showErrorMessage="1" sqref="F4:F1226" xr:uid="{8EB74907-B5B7-485B-8654-525EDBCCA705}">
      <formula1>ListSelections</formula1>
    </dataValidation>
    <dataValidation errorStyle="information" allowBlank="1" showInputMessage="1" showErrorMessage="1" sqref="G4:H1226" xr:uid="{8A1859E0-C2A9-4334-9E99-441650CA29BF}"/>
  </dataValidations>
  <pageMargins left="0.7" right="0.7" top="0.75" bottom="0.75" header="0.3" footer="0.3"/>
  <pageSetup orientation="portrait" r:id="rId1"/>
  <ignoredErrors>
    <ignoredError sqref="L467 L513 L416 L615 L703 L760 L884 L1029" calculatedColumn="1"/>
  </ignoredErrors>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3986839-51E7-412A-BFAA-924742945323}">
          <x14:formula1>
            <xm:f>ListSelections!$B$19:$B$26</xm:f>
          </x14:formula1>
          <xm:sqref>P4:P1226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DAA38-2369-4A6E-A3EF-DE5E72D8777E}">
  <sheetPr codeName="Sheet110">
    <tabColor theme="5" tint="0.39997558519241921"/>
  </sheetPr>
  <dimension ref="B1:H17"/>
  <sheetViews>
    <sheetView showGridLines="0" rightToLeft="1" zoomScale="145" workbookViewId="0">
      <selection activeCell="H8" sqref="H8"/>
    </sheetView>
  </sheetViews>
  <sheetFormatPr defaultRowHeight="14.25" x14ac:dyDescent="0.45"/>
  <cols>
    <col min="1" max="1" width="2.73046875" customWidth="1"/>
    <col min="2" max="2" width="7.6640625" hidden="1" customWidth="1"/>
    <col min="3" max="3" width="11.73046875" bestFit="1" customWidth="1"/>
    <col min="4" max="7" width="10.6640625" bestFit="1" customWidth="1"/>
    <col min="8" max="8" width="8" customWidth="1"/>
  </cols>
  <sheetData>
    <row r="1" spans="2:8" ht="23.25" x14ac:dyDescent="0.7">
      <c r="C1" s="323" t="s">
        <v>481</v>
      </c>
    </row>
    <row r="2" spans="2:8" ht="18.399999999999999" x14ac:dyDescent="0.85">
      <c r="B2" s="273" t="s">
        <v>165</v>
      </c>
      <c r="C2" s="268" t="s">
        <v>164</v>
      </c>
      <c r="D2" s="268" t="s">
        <v>165</v>
      </c>
      <c r="E2" s="268" t="s">
        <v>167</v>
      </c>
      <c r="F2" s="268" t="s">
        <v>214</v>
      </c>
      <c r="G2" s="269" t="s">
        <v>431</v>
      </c>
      <c r="H2" s="345" t="s">
        <v>594</v>
      </c>
    </row>
    <row r="3" spans="2:8" ht="18.399999999999999" x14ac:dyDescent="0.8">
      <c r="B3" s="274">
        <v>12</v>
      </c>
      <c r="C3" s="270">
        <v>3</v>
      </c>
      <c r="D3" s="267" t="str">
        <f t="shared" ref="D3:D16" si="0">CHOOSE(B3, "فروردین", "اردیبهشت", "خرداد", "تیر", "مرداد", "شهریور", "مهر", "آبان", "آذر", "دی", "بهمن", "اسفند")</f>
        <v>اسفند</v>
      </c>
      <c r="E3" s="236">
        <f>SUMIFS(T[قیمت کل], T[نوع عملیات], "فروش", T[سال], C3, T[ماه], B3)</f>
        <v>80050000</v>
      </c>
      <c r="F3" s="236" cm="1">
        <f t="array" ref="F3">SUMPRODUCT((T[نوع عملیات]="فروش") * (T[سال]=C3) * (T[ماه]=B3) * IFERROR(T[سود فروش], 0))</f>
        <v>39692857.142857149</v>
      </c>
      <c r="G3" s="276">
        <f t="shared" ref="G3:G16" si="1">IFERROR(F3/E3, "")</f>
        <v>0.49585080753100746</v>
      </c>
      <c r="H3" s="342">
        <f>Daily!C37</f>
        <v>11</v>
      </c>
    </row>
    <row r="4" spans="2:8" ht="18.399999999999999" x14ac:dyDescent="0.8">
      <c r="B4" s="275">
        <v>1</v>
      </c>
      <c r="C4" s="271">
        <v>4</v>
      </c>
      <c r="D4" s="267" t="str">
        <f t="shared" si="0"/>
        <v>فروردین</v>
      </c>
      <c r="E4" s="236">
        <f>SUMIFS(T[قیمت کل], T[نوع عملیات], "فروش", T[سال], C4, T[ماه], B4)</f>
        <v>44389000</v>
      </c>
      <c r="F4" s="236" cm="1">
        <f t="array" ref="F4">SUMPRODUCT((T[نوع عملیات]="فروش") * (T[سال]=C4) * (T[ماه]=B4) * IFERROR(T[سود فروش], 0))</f>
        <v>19275578.431372553</v>
      </c>
      <c r="G4" s="276">
        <f t="shared" si="1"/>
        <v>0.43424223189016542</v>
      </c>
      <c r="H4" s="343">
        <f>Daily!E37</f>
        <v>14</v>
      </c>
    </row>
    <row r="5" spans="2:8" ht="18.399999999999999" x14ac:dyDescent="0.8">
      <c r="B5" s="274">
        <v>2</v>
      </c>
      <c r="C5" s="271">
        <v>4</v>
      </c>
      <c r="D5" s="152" t="str">
        <f t="shared" si="0"/>
        <v>اردیبهشت</v>
      </c>
      <c r="E5" s="236">
        <f>SUMIFS(T[قیمت کل], T[نوع عملیات], "فروش", T[سال], C5, T[ماه], B5)</f>
        <v>131055000</v>
      </c>
      <c r="F5" s="236" cm="1">
        <f t="array" ref="F5">SUMPRODUCT((T[نوع عملیات]="فروش") * (T[سال]=C5) * (T[ماه]=B5) * IFERROR(T[سود فروش], 0))</f>
        <v>48729698.008768722</v>
      </c>
      <c r="G5" s="276">
        <f t="shared" si="1"/>
        <v>0.37182631726197951</v>
      </c>
      <c r="H5" s="342">
        <f>Daily!G37</f>
        <v>22</v>
      </c>
    </row>
    <row r="6" spans="2:8" ht="18.399999999999999" x14ac:dyDescent="0.8">
      <c r="B6" s="275">
        <v>3</v>
      </c>
      <c r="C6" s="271">
        <v>4</v>
      </c>
      <c r="D6" s="152" t="str">
        <f t="shared" si="0"/>
        <v>خرداد</v>
      </c>
      <c r="E6" s="236">
        <f>SUMIFS(T[قیمت کل], T[نوع عملیات], "فروش", T[سال], C6, T[ماه], B6)</f>
        <v>135760000</v>
      </c>
      <c r="F6" s="236" cm="1">
        <f t="array" ref="F6">SUMPRODUCT((T[نوع عملیات]="فروش") * (T[سال]=C6) * (T[ماه]=B6) * IFERROR(T[سود فروش], 0))</f>
        <v>52329167.956015363</v>
      </c>
      <c r="G6" s="276">
        <f t="shared" si="1"/>
        <v>0.38545350586340132</v>
      </c>
      <c r="H6" s="343">
        <f>Daily!I37</f>
        <v>14</v>
      </c>
    </row>
    <row r="7" spans="2:8" ht="18.399999999999999" x14ac:dyDescent="0.8">
      <c r="B7" s="274">
        <v>4</v>
      </c>
      <c r="C7" s="271">
        <v>4</v>
      </c>
      <c r="D7" s="152" t="str">
        <f t="shared" si="0"/>
        <v>تیر</v>
      </c>
      <c r="E7" s="236">
        <f>SUMIFS(T[قیمت کل], T[نوع عملیات], "فروش", T[سال], C7, T[ماه], B7)</f>
        <v>134370000</v>
      </c>
      <c r="F7" s="236" cm="1">
        <f t="array" ref="F7">SUMPRODUCT((T[نوع عملیات]="فروش") * (T[سال]=C7) * (T[ماه]=B7) * IFERROR(T[سود فروش], 0))</f>
        <v>45960145.619803973</v>
      </c>
      <c r="G7" s="276">
        <f t="shared" si="1"/>
        <v>0.3420417177926916</v>
      </c>
      <c r="H7" s="342">
        <f>Daily!K37</f>
        <v>13</v>
      </c>
    </row>
    <row r="8" spans="2:8" ht="18.399999999999999" x14ac:dyDescent="0.8">
      <c r="B8" s="275">
        <v>5</v>
      </c>
      <c r="C8" s="271">
        <v>4</v>
      </c>
      <c r="D8" s="152" t="str">
        <f t="shared" si="0"/>
        <v>مرداد</v>
      </c>
      <c r="E8" s="236">
        <f>SUMIFS(T[قیمت کل], T[نوع عملیات], "فروش", T[سال], C8, T[ماه], B8)</f>
        <v>183170000</v>
      </c>
      <c r="F8" s="236" cm="1">
        <f t="array" ref="F8">SUMPRODUCT((T[نوع عملیات]="فروش") * (T[سال]=C8) * (T[ماه]=B8) * IFERROR(T[سود فروش], 0))</f>
        <v>67816964.942407161</v>
      </c>
      <c r="G8" s="276">
        <f t="shared" si="1"/>
        <v>0.37024056855602533</v>
      </c>
      <c r="H8" s="343">
        <f>Daily!M37</f>
        <v>20</v>
      </c>
    </row>
    <row r="9" spans="2:8" ht="18.399999999999999" x14ac:dyDescent="0.8">
      <c r="B9" s="274">
        <v>6</v>
      </c>
      <c r="C9" s="271">
        <v>4</v>
      </c>
      <c r="D9" s="152" t="str">
        <f t="shared" si="0"/>
        <v>شهریور</v>
      </c>
      <c r="E9" s="236">
        <f>SUMIFS(T[قیمت کل], T[نوع عملیات], "فروش", T[سال], C9, T[ماه], B9)</f>
        <v>30400000</v>
      </c>
      <c r="F9" s="236" cm="1">
        <f t="array" ref="F9">SUMPRODUCT((T[نوع عملیات]="فروش") * (T[سال]=C9) * (T[ماه]=B9) * IFERROR(T[سود فروش], 0))</f>
        <v>10470639.915004903</v>
      </c>
      <c r="G9" s="276">
        <f t="shared" si="1"/>
        <v>0.3444289445725297</v>
      </c>
      <c r="H9" s="342">
        <f>Daily!O37</f>
        <v>7</v>
      </c>
    </row>
    <row r="10" spans="2:8" ht="18.399999999999999" x14ac:dyDescent="0.8">
      <c r="B10" s="275">
        <v>7</v>
      </c>
      <c r="C10" s="271">
        <v>4</v>
      </c>
      <c r="D10" s="152" t="str">
        <f t="shared" si="0"/>
        <v>مهر</v>
      </c>
      <c r="E10" s="236">
        <f>SUMIFS(T[قیمت کل], T[نوع عملیات], "فروش", T[سال], C10, T[ماه], B10)</f>
        <v>0</v>
      </c>
      <c r="F10" s="236" cm="1">
        <f t="array" ref="F10">SUMPRODUCT((T[نوع عملیات]="فروش") * (T[سال]=C10) * (T[ماه]=B10) * IFERROR(T[سود فروش], 0))</f>
        <v>0</v>
      </c>
      <c r="G10" s="276" t="str">
        <f t="shared" si="1"/>
        <v/>
      </c>
      <c r="H10" s="343"/>
    </row>
    <row r="11" spans="2:8" ht="18.399999999999999" x14ac:dyDescent="0.8">
      <c r="B11" s="274">
        <v>8</v>
      </c>
      <c r="C11" s="271">
        <v>4</v>
      </c>
      <c r="D11" s="152" t="str">
        <f t="shared" si="0"/>
        <v>آبان</v>
      </c>
      <c r="E11" s="236">
        <f>SUMIFS(T[قیمت کل], T[نوع عملیات], "فروش", T[سال], C11, T[ماه], B11)</f>
        <v>0</v>
      </c>
      <c r="F11" s="236" cm="1">
        <f t="array" ref="F11">SUMPRODUCT((T[نوع عملیات]="فروش") * (T[سال]=C11) * (T[ماه]=B11) * IFERROR(T[سود فروش], 0))</f>
        <v>0</v>
      </c>
      <c r="G11" s="276" t="str">
        <f t="shared" si="1"/>
        <v/>
      </c>
      <c r="H11" s="342"/>
    </row>
    <row r="12" spans="2:8" ht="18.399999999999999" x14ac:dyDescent="0.8">
      <c r="B12" s="275">
        <v>9</v>
      </c>
      <c r="C12" s="271">
        <v>4</v>
      </c>
      <c r="D12" s="152" t="str">
        <f t="shared" si="0"/>
        <v>آذر</v>
      </c>
      <c r="E12" s="236">
        <f>SUMIFS(T[قیمت کل], T[نوع عملیات], "فروش", T[سال], C12, T[ماه], B12)</f>
        <v>0</v>
      </c>
      <c r="F12" s="236" cm="1">
        <f t="array" ref="F12">SUMPRODUCT((T[نوع عملیات]="فروش") * (T[سال]=C12) * (T[ماه]=B12) * IFERROR(T[سود فروش], 0))</f>
        <v>0</v>
      </c>
      <c r="G12" s="276" t="str">
        <f t="shared" si="1"/>
        <v/>
      </c>
      <c r="H12" s="343"/>
    </row>
    <row r="13" spans="2:8" ht="18.399999999999999" x14ac:dyDescent="0.8">
      <c r="B13" s="274">
        <v>10</v>
      </c>
      <c r="C13" s="271">
        <v>4</v>
      </c>
      <c r="D13" s="152" t="str">
        <f t="shared" si="0"/>
        <v>دی</v>
      </c>
      <c r="E13" s="236">
        <f>SUMIFS(T[قیمت کل], T[نوع عملیات], "فروش", T[سال], C13, T[ماه], B13)</f>
        <v>0</v>
      </c>
      <c r="F13" s="236" cm="1">
        <f t="array" ref="F13">SUMPRODUCT((T[نوع عملیات]="فروش") * (T[سال]=C13) * (T[ماه]=B13) * IFERROR(T[سود فروش], 0))</f>
        <v>0</v>
      </c>
      <c r="G13" s="276" t="str">
        <f t="shared" si="1"/>
        <v/>
      </c>
      <c r="H13" s="342"/>
    </row>
    <row r="14" spans="2:8" ht="18.399999999999999" x14ac:dyDescent="0.8">
      <c r="B14" s="275">
        <v>11</v>
      </c>
      <c r="C14" s="271">
        <v>4</v>
      </c>
      <c r="D14" s="152" t="str">
        <f t="shared" si="0"/>
        <v>بهمن</v>
      </c>
      <c r="E14" s="236">
        <f>SUMIFS(T[قیمت کل], T[نوع عملیات], "فروش", T[سال], C14, T[ماه], B14)</f>
        <v>0</v>
      </c>
      <c r="F14" s="236" cm="1">
        <f t="array" ref="F14">SUMPRODUCT((T[نوع عملیات]="فروش") * (T[سال]=C14) * (T[ماه]=B14) * IFERROR(T[سود فروش], 0))</f>
        <v>0</v>
      </c>
      <c r="G14" s="276" t="str">
        <f t="shared" si="1"/>
        <v/>
      </c>
      <c r="H14" s="343"/>
    </row>
    <row r="15" spans="2:8" ht="18.399999999999999" x14ac:dyDescent="0.8">
      <c r="B15" s="274">
        <v>12</v>
      </c>
      <c r="C15" s="271">
        <v>4</v>
      </c>
      <c r="D15" s="152" t="str">
        <f t="shared" si="0"/>
        <v>اسفند</v>
      </c>
      <c r="E15" s="236">
        <f>SUMIFS(T[قیمت کل], T[نوع عملیات], "فروش", T[سال], C15, T[ماه], B15)</f>
        <v>0</v>
      </c>
      <c r="F15" s="236" cm="1">
        <f t="array" ref="F15">SUMPRODUCT((T[نوع عملیات]="فروش") * (T[سال]=C15) * (T[ماه]=B15) * IFERROR(T[سود فروش], 0))</f>
        <v>0</v>
      </c>
      <c r="G15" s="276" t="str">
        <f t="shared" si="1"/>
        <v/>
      </c>
      <c r="H15" s="342"/>
    </row>
    <row r="16" spans="2:8" ht="18.75" thickBot="1" x14ac:dyDescent="0.85">
      <c r="B16" s="275">
        <v>1</v>
      </c>
      <c r="C16" s="272">
        <v>5</v>
      </c>
      <c r="D16" s="152" t="str">
        <f t="shared" si="0"/>
        <v>فروردین</v>
      </c>
      <c r="E16" s="236">
        <f>SUMIFS(T[قیمت کل], T[نوع عملیات], "فروش", T[سال], C16, T[ماه], B16)</f>
        <v>0</v>
      </c>
      <c r="F16" s="236" cm="1">
        <f t="array" ref="F16">SUMPRODUCT((T[نوع عملیات]="فروش") * (T[سال]=C16) * (T[ماه]=B16) * IFERROR(T[سود فروش], 0))</f>
        <v>0</v>
      </c>
      <c r="G16" s="276" t="str">
        <f t="shared" si="1"/>
        <v/>
      </c>
      <c r="H16" s="343"/>
    </row>
    <row r="17" spans="3:8" ht="18.399999999999999" x14ac:dyDescent="0.8">
      <c r="C17" s="277" t="s">
        <v>328</v>
      </c>
      <c r="D17" s="278"/>
      <c r="E17" s="236">
        <f>SUBTOTAL(109,Table1[فروش])</f>
        <v>739194000</v>
      </c>
      <c r="F17" s="236">
        <f>SUBTOTAL(109,Table1[سود])</f>
        <v>284275052.01622981</v>
      </c>
      <c r="G17" s="279">
        <f>Table1[[#Totals],[سود]]/Table1[[#Totals],[فروش]]</f>
        <v>0.38457434992198231</v>
      </c>
      <c r="H17" s="344">
        <f>SUM(H3:H16)</f>
        <v>101</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C3EDA-4793-4FE5-9007-01218DFAEE38}">
  <sheetPr codeName="Sheet112">
    <tabColor theme="5" tint="-0.249977111117893"/>
  </sheetPr>
  <dimension ref="B1:AB37"/>
  <sheetViews>
    <sheetView showGridLines="0" rightToLeft="1" workbookViewId="0">
      <selection activeCell="L23" sqref="L23"/>
    </sheetView>
  </sheetViews>
  <sheetFormatPr defaultRowHeight="14.25" x14ac:dyDescent="0.45"/>
  <cols>
    <col min="1" max="1" width="2.73046875" customWidth="1"/>
    <col min="3" max="5" width="9.6640625" bestFit="1" customWidth="1"/>
    <col min="6" max="6" width="9.59765625" bestFit="1" customWidth="1"/>
    <col min="7" max="7" width="10.6640625" bestFit="1" customWidth="1"/>
    <col min="8" max="8" width="9.6640625" bestFit="1" customWidth="1"/>
    <col min="9" max="9" width="10.59765625" bestFit="1" customWidth="1"/>
    <col min="10" max="10" width="9.6640625" bestFit="1" customWidth="1"/>
    <col min="11" max="11" width="10.6640625" bestFit="1" customWidth="1"/>
    <col min="12" max="12" width="9.6640625" bestFit="1" customWidth="1"/>
    <col min="13" max="13" width="10.6640625" bestFit="1" customWidth="1"/>
    <col min="14" max="14" width="9.46484375" bestFit="1" customWidth="1"/>
  </cols>
  <sheetData>
    <row r="1" spans="2:28" ht="23.25" x14ac:dyDescent="0.7">
      <c r="B1" s="323" t="s">
        <v>482</v>
      </c>
    </row>
    <row r="2" spans="2:28" hidden="1" x14ac:dyDescent="0.45">
      <c r="C2" s="394">
        <v>12</v>
      </c>
      <c r="D2" s="394"/>
      <c r="E2" s="394">
        <v>1</v>
      </c>
      <c r="F2" s="394"/>
      <c r="G2" s="394">
        <v>2</v>
      </c>
      <c r="H2" s="394"/>
      <c r="I2" s="394">
        <v>3</v>
      </c>
      <c r="J2" s="394"/>
      <c r="K2" s="394">
        <v>4</v>
      </c>
      <c r="L2" s="394"/>
      <c r="M2" s="394">
        <v>5</v>
      </c>
      <c r="N2" s="394"/>
      <c r="O2" s="394">
        <v>6</v>
      </c>
      <c r="P2" s="394"/>
      <c r="Q2" s="394">
        <v>7</v>
      </c>
      <c r="R2" s="394"/>
      <c r="S2" s="394">
        <v>8</v>
      </c>
      <c r="T2" s="394"/>
      <c r="U2" s="394">
        <v>9</v>
      </c>
      <c r="V2" s="394"/>
      <c r="W2" s="394">
        <v>10</v>
      </c>
      <c r="X2" s="394"/>
      <c r="Y2" s="394">
        <v>11</v>
      </c>
      <c r="Z2" s="394"/>
      <c r="AA2" s="394">
        <v>12</v>
      </c>
      <c r="AB2" s="394"/>
    </row>
    <row r="3" spans="2:28" ht="18.399999999999999" x14ac:dyDescent="0.85">
      <c r="C3" s="392" t="str">
        <f>CHOOSE(C2, "فروردین", "اردیبهشت", "خرداد", "تیر", "مرداد", "شهریور", "مهر", "آبان", "آذر", "دی", "بهمن", "اسفند") &amp; " 1403"</f>
        <v>اسفند 1403</v>
      </c>
      <c r="D3" s="393"/>
      <c r="E3" s="390" t="str">
        <f>CHOOSE(E2, "فروردین", "اردیبهشت", "خرداد", "تیر", "مرداد", "شهریور", "مهر", "آبان", "آذر", "دی", "بهمن", "اسفند") &amp; " 1404"</f>
        <v>فروردین 1404</v>
      </c>
      <c r="F3" s="390"/>
      <c r="G3" s="392" t="str">
        <f t="shared" ref="G3" si="0">CHOOSE(G2, "فروردین", "اردیبهشت", "خرداد", "تیر", "مرداد", "شهریور", "مهر", "آبان", "آذر", "دی", "بهمن", "اسفند") &amp; " 1404"</f>
        <v>اردیبهشت 1404</v>
      </c>
      <c r="H3" s="393"/>
      <c r="I3" s="390" t="str">
        <f t="shared" ref="I3" si="1">CHOOSE(I2, "فروردین", "اردیبهشت", "خرداد", "تیر", "مرداد", "شهریور", "مهر", "آبان", "آذر", "دی", "بهمن", "اسفند") &amp; " 1404"</f>
        <v>خرداد 1404</v>
      </c>
      <c r="J3" s="391"/>
      <c r="K3" s="392" t="str">
        <f t="shared" ref="K3" si="2">CHOOSE(K2, "فروردین", "اردیبهشت", "خرداد", "تیر", "مرداد", "شهریور", "مهر", "آبان", "آذر", "دی", "بهمن", "اسفند") &amp; " 1404"</f>
        <v>تیر 1404</v>
      </c>
      <c r="L3" s="393"/>
      <c r="M3" s="390" t="str">
        <f t="shared" ref="M3" si="3">CHOOSE(M2, "فروردین", "اردیبهشت", "خرداد", "تیر", "مرداد", "شهریور", "مهر", "آبان", "آذر", "دی", "بهمن", "اسفند") &amp; " 1404"</f>
        <v>مرداد 1404</v>
      </c>
      <c r="N3" s="391"/>
      <c r="O3" s="392" t="str">
        <f t="shared" ref="O3" si="4">CHOOSE(O2, "فروردین", "اردیبهشت", "خرداد", "تیر", "مرداد", "شهریور", "مهر", "آبان", "آذر", "دی", "بهمن", "اسفند") &amp; " 1404"</f>
        <v>شهریور 1404</v>
      </c>
      <c r="P3" s="393"/>
    </row>
    <row r="4" spans="2:28" ht="18.75" thickBot="1" x14ac:dyDescent="0.9">
      <c r="B4" s="317" t="s">
        <v>166</v>
      </c>
      <c r="C4" s="318" t="s">
        <v>167</v>
      </c>
      <c r="D4" s="319" t="s">
        <v>214</v>
      </c>
      <c r="E4" s="317" t="s">
        <v>167</v>
      </c>
      <c r="F4" s="320" t="s">
        <v>214</v>
      </c>
      <c r="G4" s="318" t="s">
        <v>167</v>
      </c>
      <c r="H4" s="319" t="s">
        <v>214</v>
      </c>
      <c r="I4" s="317" t="s">
        <v>167</v>
      </c>
      <c r="J4" s="320" t="s">
        <v>214</v>
      </c>
      <c r="K4" s="318" t="s">
        <v>167</v>
      </c>
      <c r="L4" s="319" t="s">
        <v>214</v>
      </c>
      <c r="M4" s="317" t="s">
        <v>167</v>
      </c>
      <c r="N4" s="320" t="s">
        <v>214</v>
      </c>
      <c r="O4" s="318" t="s">
        <v>167</v>
      </c>
      <c r="P4" s="319" t="s">
        <v>214</v>
      </c>
    </row>
    <row r="5" spans="2:28" ht="17.25" thickTop="1" x14ac:dyDescent="0.8">
      <c r="B5" s="314">
        <v>1</v>
      </c>
      <c r="C5" s="315">
        <f>SUMIFS(T[قیمت کل], T[نوع عملیات], "فروش", T[سال], 3, T[ماه], C$2, T[روز], $B5)</f>
        <v>0</v>
      </c>
      <c r="D5" s="315" cm="1">
        <f t="array" ref="D5">SUMPRODUCT((T[نوع عملیات]="فروش") * (T[سال]=3) * (T[ماه]=C$2) * (T[روز]=$B5) * IFERROR(T[سود فروش], 0))</f>
        <v>0</v>
      </c>
      <c r="E5" s="316">
        <f>SUMIFS(T[قیمت کل], T[نوع عملیات], "فروش", T[سال], 4, T[ماه], E$2, T[روز], $B5)</f>
        <v>0</v>
      </c>
      <c r="F5" s="316" cm="1">
        <f t="array" ref="F5">SUMPRODUCT((T[نوع عملیات]="فروش") * (T[سال]=4) * (T[ماه]=E$2) * (T[روز]=$B5) * IFERROR(T[سود فروش], 0))</f>
        <v>0</v>
      </c>
      <c r="G5" s="315">
        <f>SUMIFS(T[قیمت کل], T[نوع عملیات], "فروش", T[سال], 4, T[ماه], G$2, T[روز], $B5)</f>
        <v>0</v>
      </c>
      <c r="H5" s="315" cm="1">
        <f t="array" ref="H5">SUMPRODUCT((T[نوع عملیات]="فروش") * (T[سال]=4) * (T[ماه]=G$2) * (T[روز]=$B5) * IFERROR(T[سود فروش], 0))</f>
        <v>0</v>
      </c>
      <c r="I5" s="316">
        <f>SUMIFS(T[قیمت کل], T[نوع عملیات], "فروش", T[سال], 4, T[ماه], I$2, T[روز], $B5)</f>
        <v>6650000</v>
      </c>
      <c r="J5" s="316" cm="1">
        <f t="array" ref="J5">SUMPRODUCT((T[نوع عملیات]="فروش") * (T[سال]=4) * (T[ماه]=I$2) * (T[روز]=$B5) * IFERROR(T[سود فروش], 0))</f>
        <v>2548274.5098039214</v>
      </c>
      <c r="K5" s="315">
        <f>SUMIFS(T[قیمت کل], T[نوع عملیات], "فروش", T[سال], 4, T[ماه], K$2, T[روز], $B5)</f>
        <v>0</v>
      </c>
      <c r="L5" s="315" cm="1">
        <f t="array" ref="L5">SUMPRODUCT((T[نوع عملیات]="فروش") * (T[سال]=4) * (T[ماه]=K$2) * (T[روز]=$B5) * IFERROR(T[سود فروش], 0))</f>
        <v>0</v>
      </c>
      <c r="M5" s="316">
        <f>SUMIFS(T[قیمت کل], T[نوع عملیات], "فروش", T[سال], 4, T[ماه], M$2, T[روز], $B5)</f>
        <v>3770000</v>
      </c>
      <c r="N5" s="316" cm="1">
        <f t="array" ref="N5">SUMPRODUCT((T[نوع عملیات]="فروش") * (T[سال]=4) * (T[ماه]=M$2) * (T[روز]=$B5) * IFERROR(T[سود فروش], 0))</f>
        <v>1526000</v>
      </c>
      <c r="O5" s="315">
        <f>SUMIFS(T[قیمت کل], T[نوع عملیات], "فروش", T[سال], 4, T[ماه], O$2, T[روز], $B5)</f>
        <v>0</v>
      </c>
      <c r="P5" s="315" cm="1">
        <f t="array" ref="P5">SUMPRODUCT((T[نوع عملیات]="فروش") * (T[سال]=4) * (T[ماه]=O$2) * (T[روز]=$B5) * IFERROR(T[سود فروش], 0))</f>
        <v>0</v>
      </c>
    </row>
    <row r="6" spans="2:28" ht="16.899999999999999" x14ac:dyDescent="0.8">
      <c r="B6" s="308">
        <v>2</v>
      </c>
      <c r="C6" s="312">
        <f>SUMIFS(T[قیمت کل], T[نوع عملیات], "فروش", T[سال], 3, T[ماه], C$2, T[روز], $B6)</f>
        <v>0</v>
      </c>
      <c r="D6" s="312" cm="1">
        <f t="array" ref="D6">SUMPRODUCT((T[نوع عملیات]="فروش") * (T[سال]=3) * (T[ماه]=C$2) * (T[روز]=$B6) * IFERROR(T[سود فروش], 0))</f>
        <v>0</v>
      </c>
      <c r="E6" s="309">
        <f>SUMIFS(T[قیمت کل], T[نوع عملیات], "فروش", T[سال], 4, T[ماه], E$2, T[روز], $B6)</f>
        <v>1200000</v>
      </c>
      <c r="F6" s="309" cm="1">
        <f t="array" ref="F6">SUMPRODUCT((T[نوع عملیات]="فروش") * (T[سال]=4) * (T[ماه]=E$2) * (T[روز]=$B6) * IFERROR(T[سود فروش], 0))</f>
        <v>520000</v>
      </c>
      <c r="G6" s="312">
        <f>SUMIFS(T[قیمت کل], T[نوع عملیات], "فروش", T[سال], 4, T[ماه], G$2, T[روز], $B6)</f>
        <v>6810000</v>
      </c>
      <c r="H6" s="312" cm="1">
        <f t="array" ref="H6">SUMPRODUCT((T[نوع عملیات]="فروش") * (T[سال]=4) * (T[ماه]=G$2) * (T[روز]=$B6) * IFERROR(T[سود فروش], 0))</f>
        <v>2343111.111111111</v>
      </c>
      <c r="I6" s="309">
        <f>SUMIFS(T[قیمت کل], T[نوع عملیات], "فروش", T[سال], 4, T[ماه], I$2, T[روز], $B6)</f>
        <v>2900000</v>
      </c>
      <c r="J6" s="309" cm="1">
        <f t="array" ref="J6">SUMPRODUCT((T[نوع عملیات]="فروش") * (T[سال]=4) * (T[ماه]=I$2) * (T[روز]=$B6) * IFERROR(T[سود فروش], 0))</f>
        <v>937741.17647058819</v>
      </c>
      <c r="K6" s="312">
        <f>SUMIFS(T[قیمت کل], T[نوع عملیات], "فروش", T[سال], 4, T[ماه], K$2, T[روز], $B6)</f>
        <v>0</v>
      </c>
      <c r="L6" s="312" cm="1">
        <f t="array" ref="L6">SUMPRODUCT((T[نوع عملیات]="فروش") * (T[سال]=4) * (T[ماه]=K$2) * (T[روز]=$B6) * IFERROR(T[سود فروش], 0))</f>
        <v>0</v>
      </c>
      <c r="M6" s="309">
        <f>SUMIFS(T[قیمت کل], T[نوع عملیات], "فروش", T[سال], 4, T[ماه], M$2, T[روز], $B6)</f>
        <v>7200000</v>
      </c>
      <c r="N6" s="309" cm="1">
        <f t="array" ref="N6">SUMPRODUCT((T[نوع عملیات]="فروش") * (T[سال]=4) * (T[ماه]=M$2) * (T[روز]=$B6) * IFERROR(T[سود فروش], 0))</f>
        <v>2699250</v>
      </c>
      <c r="O6" s="312">
        <f>SUMIFS(T[قیمت کل], T[نوع عملیات], "فروش", T[سال], 4, T[ماه], O$2, T[روز], $B6)</f>
        <v>0</v>
      </c>
      <c r="P6" s="312" cm="1">
        <f t="array" ref="P6">SUMPRODUCT((T[نوع عملیات]="فروش") * (T[سال]=4) * (T[ماه]=O$2) * (T[روز]=$B6) * IFERROR(T[سود فروش], 0))</f>
        <v>0</v>
      </c>
    </row>
    <row r="7" spans="2:28" ht="16.899999999999999" x14ac:dyDescent="0.8">
      <c r="B7" s="306">
        <v>3</v>
      </c>
      <c r="C7" s="313">
        <f>SUMIFS(T[قیمت کل], T[نوع عملیات], "فروش", T[سال], 3, T[ماه], C$2, T[روز], $B7)</f>
        <v>0</v>
      </c>
      <c r="D7" s="313" cm="1">
        <f t="array" ref="D7">SUMPRODUCT((T[نوع عملیات]="فروش") * (T[سال]=3) * (T[ماه]=C$2) * (T[روز]=$B7) * IFERROR(T[سود فروش], 0))</f>
        <v>0</v>
      </c>
      <c r="E7" s="307">
        <f>SUMIFS(T[قیمت کل], T[نوع عملیات], "فروش", T[سال], 4, T[ماه], E$2, T[روز], $B7)</f>
        <v>0</v>
      </c>
      <c r="F7" s="307" cm="1">
        <f t="array" ref="F7">SUMPRODUCT((T[نوع عملیات]="فروش") * (T[سال]=4) * (T[ماه]=E$2) * (T[روز]=$B7) * IFERROR(T[سود فروش], 0))</f>
        <v>0</v>
      </c>
      <c r="G7" s="313">
        <f>SUMIFS(T[قیمت کل], T[نوع عملیات], "فروش", T[سال], 4, T[ماه], G$2, T[روز], $B7)</f>
        <v>0</v>
      </c>
      <c r="H7" s="313" cm="1">
        <f t="array" ref="H7">SUMPRODUCT((T[نوع عملیات]="فروش") * (T[سال]=4) * (T[ماه]=G$2) * (T[روز]=$B7) * IFERROR(T[سود فروش], 0))</f>
        <v>0</v>
      </c>
      <c r="I7" s="307">
        <f>SUMIFS(T[قیمت کل], T[نوع عملیات], "فروش", T[سال], 4, T[ماه], I$2, T[روز], $B7)</f>
        <v>0</v>
      </c>
      <c r="J7" s="307" cm="1">
        <f t="array" ref="J7">SUMPRODUCT((T[نوع عملیات]="فروش") * (T[سال]=4) * (T[ماه]=I$2) * (T[روز]=$B7) * IFERROR(T[سود فروش], 0))</f>
        <v>0</v>
      </c>
      <c r="K7" s="313">
        <f>SUMIFS(T[قیمت کل], T[نوع عملیات], "فروش", T[سال], 4, T[ماه], K$2, T[روز], $B7)</f>
        <v>0</v>
      </c>
      <c r="L7" s="313" cm="1">
        <f t="array" ref="L7">SUMPRODUCT((T[نوع عملیات]="فروش") * (T[سال]=4) * (T[ماه]=K$2) * (T[روز]=$B7) * IFERROR(T[سود فروش], 0))</f>
        <v>0</v>
      </c>
      <c r="M7" s="307">
        <f>SUMIFS(T[قیمت کل], T[نوع عملیات], "فروش", T[سال], 4, T[ماه], M$2, T[روز], $B7)</f>
        <v>0</v>
      </c>
      <c r="N7" s="307" cm="1">
        <f t="array" ref="N7">SUMPRODUCT((T[نوع عملیات]="فروش") * (T[سال]=4) * (T[ماه]=M$2) * (T[روز]=$B7) * IFERROR(T[سود فروش], 0))</f>
        <v>0</v>
      </c>
      <c r="O7" s="313">
        <f>SUMIFS(T[قیمت کل], T[نوع عملیات], "فروش", T[سال], 4, T[ماه], O$2, T[روز], $B7)</f>
        <v>6680000</v>
      </c>
      <c r="P7" s="313" cm="1">
        <f t="array" ref="P7">SUMPRODUCT((T[نوع عملیات]="فروش") * (T[سال]=4) * (T[ماه]=O$2) * (T[روز]=$B7) * IFERROR(T[سود فروش], 0))</f>
        <v>1874478.2608695652</v>
      </c>
    </row>
    <row r="8" spans="2:28" ht="16.899999999999999" x14ac:dyDescent="0.8">
      <c r="B8" s="308">
        <v>4</v>
      </c>
      <c r="C8" s="312">
        <f>SUMIFS(T[قیمت کل], T[نوع عملیات], "فروش", T[سال], 3, T[ماه], C$2, T[روز], $B8)</f>
        <v>0</v>
      </c>
      <c r="D8" s="312" cm="1">
        <f t="array" ref="D8">SUMPRODUCT((T[نوع عملیات]="فروش") * (T[سال]=3) * (T[ماه]=C$2) * (T[روز]=$B8) * IFERROR(T[سود فروش], 0))</f>
        <v>0</v>
      </c>
      <c r="E8" s="310">
        <f>SUMIFS(T[قیمت کل], T[نوع عملیات], "فروش", T[سال], 4, T[ماه], E$2, T[روز], $B8)</f>
        <v>0</v>
      </c>
      <c r="F8" s="310" cm="1">
        <f t="array" ref="F8">SUMPRODUCT((T[نوع عملیات]="فروش") * (T[سال]=4) * (T[ماه]=E$2) * (T[روز]=$B8) * IFERROR(T[سود فروش], 0))</f>
        <v>0</v>
      </c>
      <c r="G8" s="312">
        <f>SUMIFS(T[قیمت کل], T[نوع عملیات], "فروش", T[سال], 4, T[ماه], G$2, T[روز], $B8)</f>
        <v>2000000</v>
      </c>
      <c r="H8" s="312" cm="1">
        <f t="array" ref="H8">SUMPRODUCT((T[نوع عملیات]="فروش") * (T[سال]=4) * (T[ماه]=G$2) * (T[روز]=$B8) * IFERROR(T[سود فروش], 0))</f>
        <v>750000</v>
      </c>
      <c r="I8" s="310">
        <f>SUMIFS(T[قیمت کل], T[نوع عملیات], "فروش", T[سال], 4, T[ماه], I$2, T[روز], $B8)</f>
        <v>0</v>
      </c>
      <c r="J8" s="310" cm="1">
        <f t="array" ref="J8">SUMPRODUCT((T[نوع عملیات]="فروش") * (T[سال]=4) * (T[ماه]=I$2) * (T[روز]=$B8) * IFERROR(T[سود فروش], 0))</f>
        <v>0</v>
      </c>
      <c r="K8" s="312">
        <f>SUMIFS(T[قیمت کل], T[نوع عملیات], "فروش", T[سال], 4, T[ماه], K$2, T[روز], $B8)</f>
        <v>0</v>
      </c>
      <c r="L8" s="312" cm="1">
        <f t="array" ref="L8">SUMPRODUCT((T[نوع عملیات]="فروش") * (T[سال]=4) * (T[ماه]=K$2) * (T[روز]=$B8) * IFERROR(T[سود فروش], 0))</f>
        <v>0</v>
      </c>
      <c r="M8" s="310">
        <f>SUMIFS(T[قیمت کل], T[نوع عملیات], "فروش", T[سال], 4, T[ماه], M$2, T[روز], $B8)</f>
        <v>7650000</v>
      </c>
      <c r="N8" s="310" cm="1">
        <f t="array" ref="N8">SUMPRODUCT((T[نوع عملیات]="فروش") * (T[سال]=4) * (T[ماه]=M$2) * (T[روز]=$B8) * IFERROR(T[سود فروش], 0))</f>
        <v>2700941.176470588</v>
      </c>
      <c r="O8" s="312">
        <f>SUMIFS(T[قیمت کل], T[نوع عملیات], "فروش", T[سال], 4, T[ماه], O$2, T[روز], $B8)</f>
        <v>13370000</v>
      </c>
      <c r="P8" s="312" cm="1">
        <f t="array" ref="P8">SUMPRODUCT((T[نوع عملیات]="فروش") * (T[سال]=4) * (T[ماه]=O$2) * (T[روز]=$B8) * IFERROR(T[سود فروش], 0))</f>
        <v>4628447.3684210526</v>
      </c>
    </row>
    <row r="9" spans="2:28" ht="16.899999999999999" x14ac:dyDescent="0.8">
      <c r="B9" s="306">
        <v>5</v>
      </c>
      <c r="C9" s="313">
        <f>SUMIFS(T[قیمت کل], T[نوع عملیات], "فروش", T[سال], 3, T[ماه], C$2, T[روز], $B9)</f>
        <v>0</v>
      </c>
      <c r="D9" s="313" cm="1">
        <f t="array" ref="D9">SUMPRODUCT((T[نوع عملیات]="فروش") * (T[سال]=3) * (T[ماه]=C$2) * (T[روز]=$B9) * IFERROR(T[سود فروش], 0))</f>
        <v>0</v>
      </c>
      <c r="E9" s="307">
        <f>SUMIFS(T[قیمت کل], T[نوع عملیات], "فروش", T[سال], 4, T[ماه], E$2, T[روز], $B9)</f>
        <v>2450000</v>
      </c>
      <c r="F9" s="307" cm="1">
        <f t="array" ref="F9">SUMPRODUCT((T[نوع عملیات]="فروش") * (T[سال]=4) * (T[ماه]=E$2) * (T[روز]=$B9) * IFERROR(T[سود فروش], 0))</f>
        <v>443764.70588235301</v>
      </c>
      <c r="G9" s="313">
        <f>SUMIFS(T[قیمت کل], T[نوع عملیات], "فروش", T[سال], 4, T[ماه], G$2, T[روز], $B9)</f>
        <v>2200000</v>
      </c>
      <c r="H9" s="313" cm="1">
        <f t="array" ref="H9">SUMPRODUCT((T[نوع عملیات]="فروش") * (T[سال]=4) * (T[ماه]=G$2) * (T[روز]=$B9) * IFERROR(T[سود فروش], 0))</f>
        <v>934441.17647058819</v>
      </c>
      <c r="I9" s="307">
        <f>SUMIFS(T[قیمت کل], T[نوع عملیات], "فروش", T[سال], 4, T[ماه], I$2, T[روز], $B9)</f>
        <v>0</v>
      </c>
      <c r="J9" s="307" cm="1">
        <f t="array" ref="J9">SUMPRODUCT((T[نوع عملیات]="فروش") * (T[سال]=4) * (T[ماه]=I$2) * (T[روز]=$B9) * IFERROR(T[سود فروش], 0))</f>
        <v>0</v>
      </c>
      <c r="K9" s="313">
        <f>SUMIFS(T[قیمت کل], T[نوع عملیات], "فروش", T[سال], 4, T[ماه], K$2, T[روز], $B9)</f>
        <v>12450000</v>
      </c>
      <c r="L9" s="313" cm="1">
        <f t="array" ref="L9">SUMPRODUCT((T[نوع عملیات]="فروش") * (T[سال]=4) * (T[ماه]=K$2) * (T[روز]=$B9) * IFERROR(T[سود فروش], 0))</f>
        <v>5107513.975155279</v>
      </c>
      <c r="M9" s="307">
        <f>SUMIFS(T[قیمت کل], T[نوع عملیات], "فروش", T[سال], 4, T[ماه], M$2, T[روز], $B9)</f>
        <v>12520000</v>
      </c>
      <c r="N9" s="307" cm="1">
        <f t="array" ref="N9">SUMPRODUCT((T[نوع عملیات]="فروش") * (T[سال]=4) * (T[ماه]=M$2) * (T[روز]=$B9) * IFERROR(T[سود فروش], 0))</f>
        <v>5416514.2857142854</v>
      </c>
      <c r="O9" s="313">
        <f>SUMIFS(T[قیمت کل], T[نوع عملیات], "فروش", T[سال], 4, T[ماه], O$2, T[روز], $B9)</f>
        <v>3750000</v>
      </c>
      <c r="P9" s="313" cm="1">
        <f t="array" ref="P9">SUMPRODUCT((T[نوع عملیات]="فروش") * (T[سال]=4) * (T[ماه]=O$2) * (T[روز]=$B9) * IFERROR(T[سود فروش], 0))</f>
        <v>1254000</v>
      </c>
    </row>
    <row r="10" spans="2:28" ht="16.899999999999999" x14ac:dyDescent="0.8">
      <c r="B10" s="308">
        <v>6</v>
      </c>
      <c r="C10" s="312">
        <f>SUMIFS(T[قیمت کل], T[نوع عملیات], "فروش", T[سال], 3, T[ماه], C$2, T[روز], $B10)</f>
        <v>0</v>
      </c>
      <c r="D10" s="312" cm="1">
        <f t="array" ref="D10">SUMPRODUCT((T[نوع عملیات]="فروش") * (T[سال]=3) * (T[ماه]=C$2) * (T[روز]=$B10) * IFERROR(T[سود فروش], 0))</f>
        <v>0</v>
      </c>
      <c r="E10" s="310">
        <f>SUMIFS(T[قیمت کل], T[نوع عملیات], "فروش", T[سال], 4, T[ماه], E$2, T[روز], $B10)</f>
        <v>0</v>
      </c>
      <c r="F10" s="310" cm="1">
        <f t="array" ref="F10">SUMPRODUCT((T[نوع عملیات]="فروش") * (T[سال]=4) * (T[ماه]=E$2) * (T[روز]=$B10) * IFERROR(T[سود فروش], 0))</f>
        <v>0</v>
      </c>
      <c r="G10" s="312">
        <f>SUMIFS(T[قیمت کل], T[نوع عملیات], "فروش", T[سال], 4, T[ماه], G$2, T[روز], $B10)</f>
        <v>3400000</v>
      </c>
      <c r="H10" s="312" cm="1">
        <f t="array" ref="H10">SUMPRODUCT((T[نوع عملیات]="فروش") * (T[سال]=4) * (T[ماه]=G$2) * (T[روز]=$B10) * IFERROR(T[سود فروش], 0))</f>
        <v>1916000</v>
      </c>
      <c r="I10" s="310">
        <f>SUMIFS(T[قیمت کل], T[نوع عملیات], "فروش", T[سال], 4, T[ماه], I$2, T[روز], $B10)</f>
        <v>6300000</v>
      </c>
      <c r="J10" s="310" cm="1">
        <f t="array" ref="J10">SUMPRODUCT((T[نوع عملیات]="فروش") * (T[سال]=4) * (T[ماه]=I$2) * (T[روز]=$B10) * IFERROR(T[سود فروش], 0))</f>
        <v>3256369.7478991598</v>
      </c>
      <c r="K10" s="312">
        <f>SUMIFS(T[قیمت کل], T[نوع عملیات], "فروش", T[سال], 4, T[ماه], K$2, T[روز], $B10)</f>
        <v>0</v>
      </c>
      <c r="L10" s="312" cm="1">
        <f t="array" ref="L10">SUMPRODUCT((T[نوع عملیات]="فروش") * (T[سال]=4) * (T[ماه]=K$2) * (T[روز]=$B10) * IFERROR(T[سود فروش], 0))</f>
        <v>0</v>
      </c>
      <c r="M10" s="310">
        <f>SUMIFS(T[قیمت کل], T[نوع عملیات], "فروش", T[سال], 4, T[ماه], M$2, T[روز], $B10)</f>
        <v>22450000</v>
      </c>
      <c r="N10" s="310" cm="1">
        <f t="array" ref="N10">SUMPRODUCT((T[نوع عملیات]="فروش") * (T[سال]=4) * (T[ماه]=M$2) * (T[روز]=$B10) * IFERROR(T[سود فروش], 0))</f>
        <v>8763684.7826086953</v>
      </c>
      <c r="O10" s="312">
        <f>SUMIFS(T[قیمت کل], T[نوع عملیات], "فروش", T[سال], 4, T[ماه], O$2, T[روز], $B10)</f>
        <v>0</v>
      </c>
      <c r="P10" s="312" cm="1">
        <f t="array" ref="P10">SUMPRODUCT((T[نوع عملیات]="فروش") * (T[سال]=4) * (T[ماه]=O$2) * (T[روز]=$B10) * IFERROR(T[سود فروش], 0))</f>
        <v>0</v>
      </c>
    </row>
    <row r="11" spans="2:28" ht="16.899999999999999" x14ac:dyDescent="0.8">
      <c r="B11" s="306">
        <v>7</v>
      </c>
      <c r="C11" s="313">
        <f>SUMIFS(T[قیمت کل], T[نوع عملیات], "فروش", T[سال], 3, T[ماه], C$2, T[روز], $B11)</f>
        <v>0</v>
      </c>
      <c r="D11" s="313" cm="1">
        <f t="array" ref="D11">SUMPRODUCT((T[نوع عملیات]="فروش") * (T[سال]=3) * (T[ماه]=C$2) * (T[روز]=$B11) * IFERROR(T[سود فروش], 0))</f>
        <v>0</v>
      </c>
      <c r="E11" s="307">
        <f>SUMIFS(T[قیمت کل], T[نوع عملیات], "فروش", T[سال], 4, T[ماه], E$2, T[روز], $B11)</f>
        <v>1800000</v>
      </c>
      <c r="F11" s="307" cm="1">
        <f t="array" ref="F11">SUMPRODUCT((T[نوع عملیات]="فروش") * (T[سال]=4) * (T[ماه]=E$2) * (T[روز]=$B11) * IFERROR(T[سود فروش], 0))</f>
        <v>578941.17647058819</v>
      </c>
      <c r="G11" s="313">
        <f>SUMIFS(T[قیمت کل], T[نوع عملیات], "فروش", T[سال], 4, T[ماه], G$2, T[روز], $B11)</f>
        <v>0</v>
      </c>
      <c r="H11" s="313" cm="1">
        <f t="array" ref="H11">SUMPRODUCT((T[نوع عملیات]="فروش") * (T[سال]=4) * (T[ماه]=G$2) * (T[روز]=$B11) * IFERROR(T[سود فروش], 0))</f>
        <v>0</v>
      </c>
      <c r="I11" s="307">
        <f>SUMIFS(T[قیمت کل], T[نوع عملیات], "فروش", T[سال], 4, T[ماه], I$2, T[روز], $B11)</f>
        <v>12050000</v>
      </c>
      <c r="J11" s="307" cm="1">
        <f t="array" ref="J11">SUMPRODUCT((T[نوع عملیات]="فروش") * (T[سال]=4) * (T[ماه]=I$2) * (T[روز]=$B11) * IFERROR(T[سود فروش], 0))</f>
        <v>4144419.4373401534</v>
      </c>
      <c r="K11" s="313">
        <f>SUMIFS(T[قیمت کل], T[نوع عملیات], "فروش", T[سال], 4, T[ماه], K$2, T[روز], $B11)</f>
        <v>2150000</v>
      </c>
      <c r="L11" s="313" cm="1">
        <f t="array" ref="L11">SUMPRODUCT((T[نوع عملیات]="فروش") * (T[سال]=4) * (T[ماه]=K$2) * (T[روز]=$B11) * IFERROR(T[سود فروش], 0))</f>
        <v>832000</v>
      </c>
      <c r="M11" s="307">
        <f>SUMIFS(T[قیمت کل], T[نوع عملیات], "فروش", T[سال], 4, T[ماه], M$2, T[روز], $B11)</f>
        <v>0</v>
      </c>
      <c r="N11" s="307" cm="1">
        <f t="array" ref="N11">SUMPRODUCT((T[نوع عملیات]="فروش") * (T[سال]=4) * (T[ماه]=M$2) * (T[روز]=$B11) * IFERROR(T[سود فروش], 0))</f>
        <v>0</v>
      </c>
      <c r="O11" s="313">
        <f>SUMIFS(T[قیمت کل], T[نوع عملیات], "فروش", T[سال], 4, T[ماه], O$2, T[روز], $B11)</f>
        <v>450000</v>
      </c>
      <c r="P11" s="313" cm="1">
        <f t="array" ref="P11">SUMPRODUCT((T[نوع عملیات]="فروش") * (T[سال]=4) * (T[ماه]=O$2) * (T[روز]=$B11) * IFERROR(T[سود فروش], 0))</f>
        <v>250000</v>
      </c>
    </row>
    <row r="12" spans="2:28" ht="16.899999999999999" x14ac:dyDescent="0.8">
      <c r="B12" s="308">
        <v>8</v>
      </c>
      <c r="C12" s="312">
        <f>SUMIFS(T[قیمت کل], T[نوع عملیات], "فروش", T[سال], 3, T[ماه], C$2, T[روز], $B12)</f>
        <v>0</v>
      </c>
      <c r="D12" s="312" cm="1">
        <f t="array" ref="D12">SUMPRODUCT((T[نوع عملیات]="فروش") * (T[سال]=3) * (T[ماه]=C$2) * (T[روز]=$B12) * IFERROR(T[سود فروش], 0))</f>
        <v>0</v>
      </c>
      <c r="E12" s="310">
        <f>SUMIFS(T[قیمت کل], T[نوع عملیات], "فروش", T[سال], 4, T[ماه], E$2, T[روز], $B12)</f>
        <v>0</v>
      </c>
      <c r="F12" s="310" cm="1">
        <f t="array" ref="F12">SUMPRODUCT((T[نوع عملیات]="فروش") * (T[سال]=4) * (T[ماه]=E$2) * (T[روز]=$B12) * IFERROR(T[سود فروش], 0))</f>
        <v>0</v>
      </c>
      <c r="G12" s="312">
        <f>SUMIFS(T[قیمت کل], T[نوع عملیات], "فروش", T[سال], 4, T[ماه], G$2, T[روز], $B12)</f>
        <v>0</v>
      </c>
      <c r="H12" s="312" cm="1">
        <f t="array" ref="H12">SUMPRODUCT((T[نوع عملیات]="فروش") * (T[سال]=4) * (T[ماه]=G$2) * (T[روز]=$B12) * IFERROR(T[سود فروش], 0))</f>
        <v>0</v>
      </c>
      <c r="I12" s="310">
        <f>SUMIFS(T[قیمت کل], T[نوع عملیات], "فروش", T[سال], 4, T[ماه], I$2, T[روز], $B12)</f>
        <v>3200000</v>
      </c>
      <c r="J12" s="310" cm="1">
        <f t="array" ref="J12">SUMPRODUCT((T[نوع عملیات]="فروش") * (T[سال]=4) * (T[ماه]=I$2) * (T[روز]=$B12) * IFERROR(T[سود فروش], 0))</f>
        <v>440000</v>
      </c>
      <c r="K12" s="312">
        <f>SUMIFS(T[قیمت کل], T[نوع عملیات], "فروش", T[سال], 4, T[ماه], K$2, T[روز], $B12)</f>
        <v>0</v>
      </c>
      <c r="L12" s="312" cm="1">
        <f t="array" ref="L12">SUMPRODUCT((T[نوع عملیات]="فروش") * (T[سال]=4) * (T[ماه]=K$2) * (T[روز]=$B12) * IFERROR(T[سود فروش], 0))</f>
        <v>0</v>
      </c>
      <c r="M12" s="310">
        <f>SUMIFS(T[قیمت کل], T[نوع عملیات], "فروش", T[سال], 4, T[ماه], M$2, T[روز], $B12)</f>
        <v>1250000</v>
      </c>
      <c r="N12" s="310" cm="1">
        <f t="array" ref="N12">SUMPRODUCT((T[نوع عملیات]="فروش") * (T[سال]=4) * (T[ماه]=M$2) * (T[روز]=$B12) * IFERROR(T[سود فروش], 0))</f>
        <v>354000</v>
      </c>
      <c r="O12" s="312">
        <f>SUMIFS(T[قیمت کل], T[نوع عملیات], "فروش", T[سال], 4, T[ماه], O$2, T[روز], $B12)</f>
        <v>3350000</v>
      </c>
      <c r="P12" s="312" cm="1">
        <f t="array" ref="P12">SUMPRODUCT((T[نوع عملیات]="فروش") * (T[سال]=4) * (T[ماه]=O$2) * (T[روز]=$B12) * IFERROR(T[سود فروش], 0))</f>
        <v>1149714.2857142857</v>
      </c>
    </row>
    <row r="13" spans="2:28" ht="16.899999999999999" x14ac:dyDescent="0.8">
      <c r="B13" s="306">
        <v>9</v>
      </c>
      <c r="C13" s="313">
        <f>SUMIFS(T[قیمت کل], T[نوع عملیات], "فروش", T[سال], 3, T[ماه], C$2, T[روز], $B13)</f>
        <v>0</v>
      </c>
      <c r="D13" s="313" cm="1">
        <f t="array" ref="D13">SUMPRODUCT((T[نوع عملیات]="فروش") * (T[سال]=3) * (T[ماه]=C$2) * (T[روز]=$B13) * IFERROR(T[سود فروش], 0))</f>
        <v>0</v>
      </c>
      <c r="E13" s="307">
        <f>SUMIFS(T[قیمت کل], T[نوع عملیات], "فروش", T[سال], 4, T[ماه], E$2, T[روز], $B13)</f>
        <v>0</v>
      </c>
      <c r="F13" s="307" cm="1">
        <f t="array" ref="F13">SUMPRODUCT((T[نوع عملیات]="فروش") * (T[سال]=4) * (T[ماه]=E$2) * (T[روز]=$B13) * IFERROR(T[سود فروش], 0))</f>
        <v>0</v>
      </c>
      <c r="G13" s="313">
        <f>SUMIFS(T[قیمت کل], T[نوع عملیات], "فروش", T[سال], 4, T[ماه], G$2, T[روز], $B13)</f>
        <v>2650000</v>
      </c>
      <c r="H13" s="313" cm="1">
        <f t="array" ref="H13">SUMPRODUCT((T[نوع عملیات]="فروش") * (T[سال]=4) * (T[ماه]=G$2) * (T[روز]=$B13) * IFERROR(T[سود فروش], 0))</f>
        <v>765555.5555555555</v>
      </c>
      <c r="I13" s="307">
        <f>SUMIFS(T[قیمت کل], T[نوع عملیات], "فروش", T[سال], 4, T[ماه], I$2, T[روز], $B13)</f>
        <v>0</v>
      </c>
      <c r="J13" s="307" cm="1">
        <f t="array" ref="J13">SUMPRODUCT((T[نوع عملیات]="فروش") * (T[سال]=4) * (T[ماه]=I$2) * (T[روز]=$B13) * IFERROR(T[سود فروش], 0))</f>
        <v>0</v>
      </c>
      <c r="K13" s="313">
        <f>SUMIFS(T[قیمت کل], T[نوع عملیات], "فروش", T[سال], 4, T[ماه], K$2, T[روز], $B13)</f>
        <v>22300000</v>
      </c>
      <c r="L13" s="313" cm="1">
        <f t="array" ref="L13">SUMPRODUCT((T[نوع عملیات]="فروش") * (T[سال]=4) * (T[ماه]=K$2) * (T[روز]=$B13) * IFERROR(T[سود فروش], 0))</f>
        <v>7377691.176470588</v>
      </c>
      <c r="M13" s="307">
        <f>SUMIFS(T[قیمت کل], T[نوع عملیات], "فروش", T[سال], 4, T[ماه], M$2, T[روز], $B13)</f>
        <v>5900000</v>
      </c>
      <c r="N13" s="307" cm="1">
        <f t="array" ref="N13">SUMPRODUCT((T[نوع عملیات]="فروش") * (T[سال]=4) * (T[ماه]=M$2) * (T[روز]=$B13) * IFERROR(T[سود فروش], 0))</f>
        <v>1838000</v>
      </c>
      <c r="O13" s="313">
        <f>SUMIFS(T[قیمت کل], T[نوع عملیات], "فروش", T[سال], 4, T[ماه], O$2, T[روز], $B13)</f>
        <v>0</v>
      </c>
      <c r="P13" s="313" cm="1">
        <f t="array" ref="P13">SUMPRODUCT((T[نوع عملیات]="فروش") * (T[سال]=4) * (T[ماه]=O$2) * (T[روز]=$B13) * IFERROR(T[سود فروش], 0))</f>
        <v>0</v>
      </c>
    </row>
    <row r="14" spans="2:28" ht="16.899999999999999" x14ac:dyDescent="0.8">
      <c r="B14" s="308">
        <v>10</v>
      </c>
      <c r="C14" s="312">
        <f>SUMIFS(T[قیمت کل], T[نوع عملیات], "فروش", T[سال], 3, T[ماه], C$2, T[روز], $B14)</f>
        <v>0</v>
      </c>
      <c r="D14" s="312" cm="1">
        <f t="array" ref="D14">SUMPRODUCT((T[نوع عملیات]="فروش") * (T[سال]=3) * (T[ماه]=C$2) * (T[روز]=$B14) * IFERROR(T[سود فروش], 0))</f>
        <v>0</v>
      </c>
      <c r="E14" s="310">
        <f>SUMIFS(T[قیمت کل], T[نوع عملیات], "فروش", T[سال], 4, T[ماه], E$2, T[روز], $B14)</f>
        <v>5400000</v>
      </c>
      <c r="F14" s="310" cm="1">
        <f t="array" ref="F14">SUMPRODUCT((T[نوع عملیات]="فروش") * (T[سال]=4) * (T[ماه]=E$2) * (T[روز]=$B14) * IFERROR(T[سود فروش], 0))</f>
        <v>2524000</v>
      </c>
      <c r="G14" s="312">
        <f>SUMIFS(T[قیمت کل], T[نوع عملیات], "فروش", T[سال], 4, T[ماه], G$2, T[روز], $B14)</f>
        <v>9250000</v>
      </c>
      <c r="H14" s="312" cm="1">
        <f t="array" ref="H14">SUMPRODUCT((T[نوع عملیات]="فروش") * (T[سال]=4) * (T[ماه]=G$2) * (T[روز]=$B14) * IFERROR(T[سود فروش], 0))</f>
        <v>3016222.222222222</v>
      </c>
      <c r="I14" s="310">
        <f>SUMIFS(T[قیمت کل], T[نوع عملیات], "فروش", T[سال], 4, T[ماه], I$2, T[روز], $B14)</f>
        <v>0</v>
      </c>
      <c r="J14" s="310" cm="1">
        <f t="array" ref="J14">SUMPRODUCT((T[نوع عملیات]="فروش") * (T[سال]=4) * (T[ماه]=I$2) * (T[روز]=$B14) * IFERROR(T[سود فروش], 0))</f>
        <v>0</v>
      </c>
      <c r="K14" s="312">
        <f>SUMIFS(T[قیمت کل], T[نوع عملیات], "فروش", T[سال], 4, T[ماه], K$2, T[روز], $B14)</f>
        <v>2700000</v>
      </c>
      <c r="L14" s="312" cm="1">
        <f t="array" ref="L14">SUMPRODUCT((T[نوع عملیات]="فروش") * (T[سال]=4) * (T[ماه]=K$2) * (T[روز]=$B14) * IFERROR(T[سود فروش], 0))</f>
        <v>982000</v>
      </c>
      <c r="M14" s="310">
        <f>SUMIFS(T[قیمت کل], T[نوع عملیات], "فروش", T[سال], 4, T[ماه], M$2, T[روز], $B14)</f>
        <v>0</v>
      </c>
      <c r="N14" s="310" cm="1">
        <f t="array" ref="N14">SUMPRODUCT((T[نوع عملیات]="فروش") * (T[سال]=4) * (T[ماه]=M$2) * (T[روز]=$B14) * IFERROR(T[سود فروش], 0))</f>
        <v>0</v>
      </c>
      <c r="O14" s="312">
        <f>SUMIFS(T[قیمت کل], T[نوع عملیات], "فروش", T[سال], 4, T[ماه], O$2, T[روز], $B14)</f>
        <v>650000</v>
      </c>
      <c r="P14" s="312" cm="1">
        <f t="array" ref="P14">SUMPRODUCT((T[نوع عملیات]="فروش") * (T[سال]=4) * (T[ماه]=O$2) * (T[روز]=$B14) * IFERROR(T[سود فروش], 0))</f>
        <v>304000</v>
      </c>
    </row>
    <row r="15" spans="2:28" ht="16.899999999999999" x14ac:dyDescent="0.8">
      <c r="B15" s="306">
        <v>11</v>
      </c>
      <c r="C15" s="313">
        <f>SUMIFS(T[قیمت کل], T[نوع عملیات], "فروش", T[سال], 3, T[ماه], C$2, T[روز], $B15)</f>
        <v>0</v>
      </c>
      <c r="D15" s="313" cm="1">
        <f t="array" ref="D15">SUMPRODUCT((T[نوع عملیات]="فروش") * (T[سال]=3) * (T[ماه]=C$2) * (T[روز]=$B15) * IFERROR(T[سود فروش], 0))</f>
        <v>0</v>
      </c>
      <c r="E15" s="307">
        <f>SUMIFS(T[قیمت کل], T[نوع عملیات], "فروش", T[سال], 4, T[ماه], E$2, T[روز], $B15)</f>
        <v>0</v>
      </c>
      <c r="F15" s="307" cm="1">
        <f t="array" ref="F15">SUMPRODUCT((T[نوع عملیات]="فروش") * (T[سال]=4) * (T[ماه]=E$2) * (T[روز]=$B15) * IFERROR(T[سود فروش], 0))</f>
        <v>0</v>
      </c>
      <c r="G15" s="313">
        <f>SUMIFS(T[قیمت کل], T[نوع عملیات], "فروش", T[سال], 4, T[ماه], G$2, T[روز], $B15)</f>
        <v>500000</v>
      </c>
      <c r="H15" s="313" cm="1">
        <f t="array" ref="H15">SUMPRODUCT((T[نوع عملیات]="فروش") * (T[سال]=4) * (T[ماه]=G$2) * (T[روز]=$B15) * IFERROR(T[سود فروش], 0))</f>
        <v>500000</v>
      </c>
      <c r="I15" s="307">
        <f>SUMIFS(T[قیمت کل], T[نوع عملیات], "فروش", T[سال], 4, T[ماه], I$2, T[روز], $B15)</f>
        <v>35680000</v>
      </c>
      <c r="J15" s="307" cm="1">
        <f t="array" ref="J15">SUMPRODUCT((T[نوع عملیات]="فروش") * (T[سال]=4) * (T[ماه]=I$2) * (T[روز]=$B15) * IFERROR(T[سود فروش], 0))</f>
        <v>12755444.753187316</v>
      </c>
      <c r="K15" s="313">
        <f>SUMIFS(T[قیمت کل], T[نوع عملیات], "فروش", T[سال], 4, T[ماه], K$2, T[روز], $B15)</f>
        <v>7450000</v>
      </c>
      <c r="L15" s="313" cm="1">
        <f t="array" ref="L15">SUMPRODUCT((T[نوع عملیات]="فروش") * (T[سال]=4) * (T[ماه]=K$2) * (T[روز]=$B15) * IFERROR(T[سود فروش], 0))</f>
        <v>2373447.3684210526</v>
      </c>
      <c r="M15" s="307">
        <f>SUMIFS(T[قیمت کل], T[نوع عملیات], "فروش", T[سال], 4, T[ماه], M$2, T[روز], $B15)</f>
        <v>0</v>
      </c>
      <c r="N15" s="307" cm="1">
        <f t="array" ref="N15">SUMPRODUCT((T[نوع عملیات]="فروش") * (T[سال]=4) * (T[ماه]=M$2) * (T[روز]=$B15) * IFERROR(T[سود فروش], 0))</f>
        <v>0</v>
      </c>
      <c r="O15" s="313">
        <f>SUMIFS(T[قیمت کل], T[نوع عملیات], "فروش", T[سال], 4, T[ماه], O$2, T[روز], $B15)</f>
        <v>2150000</v>
      </c>
      <c r="P15" s="313" cm="1">
        <f t="array" ref="P15">SUMPRODUCT((T[نوع عملیات]="فروش") * (T[سال]=4) * (T[ماه]=O$2) * (T[روز]=$B15) * IFERROR(T[سود فروش], 0))</f>
        <v>1010000</v>
      </c>
    </row>
    <row r="16" spans="2:28" ht="16.899999999999999" x14ac:dyDescent="0.8">
      <c r="B16" s="308">
        <v>12</v>
      </c>
      <c r="C16" s="312">
        <f>SUMIFS(T[قیمت کل], T[نوع عملیات], "فروش", T[سال], 3, T[ماه], C$2, T[روز], $B16)</f>
        <v>0</v>
      </c>
      <c r="D16" s="312" cm="1">
        <f t="array" ref="D16">SUMPRODUCT((T[نوع عملیات]="فروش") * (T[سال]=3) * (T[ماه]=C$2) * (T[روز]=$B16) * IFERROR(T[سود فروش], 0))</f>
        <v>0</v>
      </c>
      <c r="E16" s="310">
        <f>SUMIFS(T[قیمت کل], T[نوع عملیات], "فروش", T[سال], 4, T[ماه], E$2, T[روز], $B16)</f>
        <v>0</v>
      </c>
      <c r="F16" s="310" cm="1">
        <f t="array" ref="F16">SUMPRODUCT((T[نوع عملیات]="فروش") * (T[سال]=4) * (T[ماه]=E$2) * (T[روز]=$B16) * IFERROR(T[سود فروش], 0))</f>
        <v>0</v>
      </c>
      <c r="G16" s="312">
        <f>SUMIFS(T[قیمت کل], T[نوع عملیات], "فروش", T[سال], 4, T[ماه], G$2, T[روز], $B16)</f>
        <v>1450000</v>
      </c>
      <c r="H16" s="312" cm="1">
        <f t="array" ref="H16">SUMPRODUCT((T[نوع عملیات]="فروش") * (T[سال]=4) * (T[ماه]=G$2) * (T[روز]=$B16) * IFERROR(T[سود فروش], 0))</f>
        <v>1339000</v>
      </c>
      <c r="I16" s="310">
        <f>SUMIFS(T[قیمت کل], T[نوع عملیات], "فروش", T[سال], 4, T[ماه], I$2, T[روز], $B16)</f>
        <v>12400000</v>
      </c>
      <c r="J16" s="310" cm="1">
        <f t="array" ref="J16">SUMPRODUCT((T[نوع عملیات]="فروش") * (T[سال]=4) * (T[ماه]=I$2) * (T[روز]=$B16) * IFERROR(T[سود فروش], 0))</f>
        <v>4205293.8051650859</v>
      </c>
      <c r="K16" s="312">
        <f>SUMIFS(T[قیمت کل], T[نوع عملیات], "فروش", T[سال], 4, T[ماه], K$2, T[روز], $B16)</f>
        <v>16400000</v>
      </c>
      <c r="L16" s="312" cm="1">
        <f t="array" ref="L16">SUMPRODUCT((T[نوع عملیات]="فروش") * (T[سال]=4) * (T[ماه]=K$2) * (T[روز]=$B16) * IFERROR(T[سود فروش], 0))</f>
        <v>5638483.0827067671</v>
      </c>
      <c r="M16" s="310">
        <f>SUMIFS(T[قیمت کل], T[نوع عملیات], "فروش", T[سال], 4, T[ماه], M$2, T[روز], $B16)</f>
        <v>0</v>
      </c>
      <c r="N16" s="310" cm="1">
        <f t="array" ref="N16">SUMPRODUCT((T[نوع عملیات]="فروش") * (T[سال]=4) * (T[ماه]=M$2) * (T[روز]=$B16) * IFERROR(T[سود فروش], 0))</f>
        <v>0</v>
      </c>
      <c r="O16" s="312">
        <f>SUMIFS(T[قیمت کل], T[نوع عملیات], "فروش", T[سال], 4, T[ماه], O$2, T[روز], $B16)</f>
        <v>0</v>
      </c>
      <c r="P16" s="312" cm="1">
        <f t="array" ref="P16">SUMPRODUCT((T[نوع عملیات]="فروش") * (T[سال]=4) * (T[ماه]=O$2) * (T[روز]=$B16) * IFERROR(T[سود فروش], 0))</f>
        <v>0</v>
      </c>
    </row>
    <row r="17" spans="2:16" ht="16.899999999999999" x14ac:dyDescent="0.8">
      <c r="B17" s="306">
        <v>13</v>
      </c>
      <c r="C17" s="313">
        <f>SUMIFS(T[قیمت کل], T[نوع عملیات], "فروش", T[سال], 3, T[ماه], C$2, T[روز], $B17)</f>
        <v>0</v>
      </c>
      <c r="D17" s="313" cm="1">
        <f t="array" ref="D17">SUMPRODUCT((T[نوع عملیات]="فروش") * (T[سال]=3) * (T[ماه]=C$2) * (T[روز]=$B17) * IFERROR(T[سود فروش], 0))</f>
        <v>0</v>
      </c>
      <c r="E17" s="307">
        <f>SUMIFS(T[قیمت کل], T[نوع عملیات], "فروش", T[سال], 4, T[ماه], E$2, T[روز], $B17)</f>
        <v>0</v>
      </c>
      <c r="F17" s="307" cm="1">
        <f t="array" ref="F17">SUMPRODUCT((T[نوع عملیات]="فروش") * (T[سال]=4) * (T[ماه]=E$2) * (T[روز]=$B17) * IFERROR(T[سود فروش], 0))</f>
        <v>0</v>
      </c>
      <c r="G17" s="313">
        <f>SUMIFS(T[قیمت کل], T[نوع عملیات], "فروش", T[سال], 4, T[ماه], G$2, T[روز], $B17)</f>
        <v>0</v>
      </c>
      <c r="H17" s="313" cm="1">
        <f t="array" ref="H17">SUMPRODUCT((T[نوع عملیات]="فروش") * (T[سال]=4) * (T[ماه]=G$2) * (T[روز]=$B17) * IFERROR(T[سود فروش], 0))</f>
        <v>0</v>
      </c>
      <c r="I17" s="307">
        <f>SUMIFS(T[قیمت کل], T[نوع عملیات], "فروش", T[سال], 4, T[ماه], I$2, T[روز], $B17)</f>
        <v>2900000</v>
      </c>
      <c r="J17" s="307" cm="1">
        <f t="array" ref="J17">SUMPRODUCT((T[نوع عملیات]="فروش") * (T[سال]=4) * (T[ماه]=I$2) * (T[روز]=$B17) * IFERROR(T[سود فروش], 0))</f>
        <v>917763.97515527951</v>
      </c>
      <c r="K17" s="313">
        <f>SUMIFS(T[قیمت کل], T[نوع عملیات], "فروش", T[سال], 4, T[ماه], K$2, T[روز], $B17)</f>
        <v>0</v>
      </c>
      <c r="L17" s="313" cm="1">
        <f t="array" ref="L17">SUMPRODUCT((T[نوع عملیات]="فروش") * (T[سال]=4) * (T[ماه]=K$2) * (T[روز]=$B17) * IFERROR(T[سود فروش], 0))</f>
        <v>0</v>
      </c>
      <c r="M17" s="307">
        <f>SUMIFS(T[قیمت کل], T[نوع عملیات], "فروش", T[سال], 4, T[ماه], M$2, T[روز], $B17)</f>
        <v>0</v>
      </c>
      <c r="N17" s="307" cm="1">
        <f t="array" ref="N17">SUMPRODUCT((T[نوع عملیات]="فروش") * (T[سال]=4) * (T[ماه]=M$2) * (T[روز]=$B17) * IFERROR(T[سود فروش], 0))</f>
        <v>0</v>
      </c>
      <c r="O17" s="313">
        <f>SUMIFS(T[قیمت کل], T[نوع عملیات], "فروش", T[سال], 4, T[ماه], O$2, T[روز], $B17)</f>
        <v>0</v>
      </c>
      <c r="P17" s="313" cm="1">
        <f t="array" ref="P17">SUMPRODUCT((T[نوع عملیات]="فروش") * (T[سال]=4) * (T[ماه]=O$2) * (T[روز]=$B17) * IFERROR(T[سود فروش], 0))</f>
        <v>0</v>
      </c>
    </row>
    <row r="18" spans="2:16" ht="16.899999999999999" x14ac:dyDescent="0.8">
      <c r="B18" s="308">
        <v>14</v>
      </c>
      <c r="C18" s="312">
        <f>SUMIFS(T[قیمت کل], T[نوع عملیات], "فروش", T[سال], 3, T[ماه], C$2, T[روز], $B18)</f>
        <v>0</v>
      </c>
      <c r="D18" s="312" cm="1">
        <f t="array" ref="D18">SUMPRODUCT((T[نوع عملیات]="فروش") * (T[سال]=3) * (T[ماه]=C$2) * (T[روز]=$B18) * IFERROR(T[سود فروش], 0))</f>
        <v>0</v>
      </c>
      <c r="E18" s="310">
        <f>SUMIFS(T[قیمت کل], T[نوع عملیات], "فروش", T[سال], 4, T[ماه], E$2, T[روز], $B18)</f>
        <v>0</v>
      </c>
      <c r="F18" s="310" cm="1">
        <f t="array" ref="F18">SUMPRODUCT((T[نوع عملیات]="فروش") * (T[سال]=4) * (T[ماه]=E$2) * (T[روز]=$B18) * IFERROR(T[سود فروش], 0))</f>
        <v>0</v>
      </c>
      <c r="G18" s="312">
        <f>SUMIFS(T[قیمت کل], T[نوع عملیات], "فروش", T[سال], 4, T[ماه], G$2, T[روز], $B18)</f>
        <v>0</v>
      </c>
      <c r="H18" s="312" cm="1">
        <f t="array" ref="H18">SUMPRODUCT((T[نوع عملیات]="فروش") * (T[سال]=4) * (T[ماه]=G$2) * (T[روز]=$B18) * IFERROR(T[سود فروش], 0))</f>
        <v>0</v>
      </c>
      <c r="I18" s="310">
        <f>SUMIFS(T[قیمت کل], T[نوع عملیات], "فروش", T[سال], 4, T[ماه], I$2, T[روز], $B18)</f>
        <v>0</v>
      </c>
      <c r="J18" s="310" cm="1">
        <f t="array" ref="J18">SUMPRODUCT((T[نوع عملیات]="فروش") * (T[سال]=4) * (T[ماه]=I$2) * (T[روز]=$B18) * IFERROR(T[سود فروش], 0))</f>
        <v>0</v>
      </c>
      <c r="K18" s="312">
        <f>SUMIFS(T[قیمت کل], T[نوع عملیات], "فروش", T[سال], 4, T[ماه], K$2, T[روز], $B18)</f>
        <v>0</v>
      </c>
      <c r="L18" s="312" cm="1">
        <f t="array" ref="L18">SUMPRODUCT((T[نوع عملیات]="فروش") * (T[سال]=4) * (T[ماه]=K$2) * (T[روز]=$B18) * IFERROR(T[سود فروش], 0))</f>
        <v>0</v>
      </c>
      <c r="M18" s="310">
        <f>SUMIFS(T[قیمت کل], T[نوع عملیات], "فروش", T[سال], 4, T[ماه], M$2, T[روز], $B18)</f>
        <v>12480000</v>
      </c>
      <c r="N18" s="310" cm="1">
        <f t="array" ref="N18">SUMPRODUCT((T[نوع عملیات]="فروش") * (T[سال]=4) * (T[ماه]=M$2) * (T[روز]=$B18) * IFERROR(T[سود فروش], 0))</f>
        <v>4901494.987468672</v>
      </c>
      <c r="O18" s="312">
        <f>SUMIFS(T[قیمت کل], T[نوع عملیات], "فروش", T[سال], 4, T[ماه], O$2, T[روز], $B18)</f>
        <v>0</v>
      </c>
      <c r="P18" s="312" cm="1">
        <f t="array" ref="P18">SUMPRODUCT((T[نوع عملیات]="فروش") * (T[سال]=4) * (T[ماه]=O$2) * (T[روز]=$B18) * IFERROR(T[سود فروش], 0))</f>
        <v>0</v>
      </c>
    </row>
    <row r="19" spans="2:16" ht="16.899999999999999" x14ac:dyDescent="0.8">
      <c r="B19" s="306">
        <v>15</v>
      </c>
      <c r="C19" s="313">
        <f>SUMIFS(T[قیمت کل], T[نوع عملیات], "فروش", T[سال], 3, T[ماه], C$2, T[روز], $B19)</f>
        <v>0</v>
      </c>
      <c r="D19" s="313" cm="1">
        <f t="array" ref="D19">SUMPRODUCT((T[نوع عملیات]="فروش") * (T[سال]=3) * (T[ماه]=C$2) * (T[روز]=$B19) * IFERROR(T[سود فروش], 0))</f>
        <v>0</v>
      </c>
      <c r="E19" s="307">
        <f>SUMIFS(T[قیمت کل], T[نوع عملیات], "فروش", T[سال], 4, T[ماه], E$2, T[روز], $B19)</f>
        <v>1550000</v>
      </c>
      <c r="F19" s="307" cm="1">
        <f t="array" ref="F19">SUMPRODUCT((T[نوع عملیات]="فروش") * (T[سال]=4) * (T[ماه]=E$2) * (T[روز]=$B19) * IFERROR(T[سود فروش], 0))</f>
        <v>990941.17647058819</v>
      </c>
      <c r="G19" s="313">
        <f>SUMIFS(T[قیمت کل], T[نوع عملیات], "فروش", T[سال], 4, T[ماه], G$2, T[روز], $B19)</f>
        <v>16000000</v>
      </c>
      <c r="H19" s="313" cm="1">
        <f t="array" ref="H19">SUMPRODUCT((T[نوع عملیات]="فروش") * (T[سال]=4) * (T[ماه]=G$2) * (T[روز]=$B19) * IFERROR(T[سود فروش], 0))</f>
        <v>7802355.555555556</v>
      </c>
      <c r="I19" s="307">
        <f>SUMIFS(T[قیمت کل], T[نوع عملیات], "فروش", T[سال], 4, T[ماه], I$2, T[روز], $B19)</f>
        <v>0</v>
      </c>
      <c r="J19" s="307" cm="1">
        <f t="array" ref="J19">SUMPRODUCT((T[نوع عملیات]="فروش") * (T[سال]=4) * (T[ماه]=I$2) * (T[روز]=$B19) * IFERROR(T[سود فروش], 0))</f>
        <v>0</v>
      </c>
      <c r="K19" s="313">
        <f>SUMIFS(T[قیمت کل], T[نوع عملیات], "فروش", T[سال], 4, T[ماه], K$2, T[روز], $B19)</f>
        <v>0</v>
      </c>
      <c r="L19" s="313" cm="1">
        <f t="array" ref="L19">SUMPRODUCT((T[نوع عملیات]="فروش") * (T[سال]=4) * (T[ماه]=K$2) * (T[روز]=$B19) * IFERROR(T[سود فروش], 0))</f>
        <v>0</v>
      </c>
      <c r="M19" s="307">
        <f>SUMIFS(T[قیمت کل], T[نوع عملیات], "فروش", T[سال], 4, T[ماه], M$2, T[روز], $B19)</f>
        <v>0</v>
      </c>
      <c r="N19" s="307" cm="1">
        <f t="array" ref="N19">SUMPRODUCT((T[نوع عملیات]="فروش") * (T[سال]=4) * (T[ماه]=M$2) * (T[روز]=$B19) * IFERROR(T[سود فروش], 0))</f>
        <v>0</v>
      </c>
      <c r="O19" s="313">
        <f>SUMIFS(T[قیمت کل], T[نوع عملیات], "فروش", T[سال], 4, T[ماه], O$2, T[روز], $B19)</f>
        <v>0</v>
      </c>
      <c r="P19" s="313" cm="1">
        <f t="array" ref="P19">SUMPRODUCT((T[نوع عملیات]="فروش") * (T[سال]=4) * (T[ماه]=O$2) * (T[روز]=$B19) * IFERROR(T[سود فروش], 0))</f>
        <v>0</v>
      </c>
    </row>
    <row r="20" spans="2:16" ht="16.899999999999999" x14ac:dyDescent="0.8">
      <c r="B20" s="308">
        <v>16</v>
      </c>
      <c r="C20" s="312">
        <f>SUMIFS(T[قیمت کل], T[نوع عملیات], "فروش", T[سال], 3, T[ماه], C$2, T[روز], $B20)</f>
        <v>0</v>
      </c>
      <c r="D20" s="312" cm="1">
        <f t="array" ref="D20">SUMPRODUCT((T[نوع عملیات]="فروش") * (T[سال]=3) * (T[ماه]=C$2) * (T[روز]=$B20) * IFERROR(T[سود فروش], 0))</f>
        <v>0</v>
      </c>
      <c r="E20" s="310">
        <f>SUMIFS(T[قیمت کل], T[نوع عملیات], "فروش", T[سال], 4, T[ماه], E$2, T[روز], $B20)</f>
        <v>4080000</v>
      </c>
      <c r="F20" s="310" cm="1">
        <f t="array" ref="F20">SUMPRODUCT((T[نوع عملیات]="فروش") * (T[سال]=4) * (T[ماه]=E$2) * (T[روز]=$B20) * IFERROR(T[سود فروش], 0))</f>
        <v>1997000</v>
      </c>
      <c r="G20" s="312">
        <f>SUMIFS(T[قیمت کل], T[نوع عملیات], "فروش", T[سال], 4, T[ماه], G$2, T[روز], $B20)</f>
        <v>7015000</v>
      </c>
      <c r="H20" s="312" cm="1">
        <f t="array" ref="H20">SUMPRODUCT((T[نوع عملیات]="فروش") * (T[سال]=4) * (T[ماه]=G$2) * (T[روز]=$B20) * IFERROR(T[سود فروش], 0))</f>
        <v>3577714.2857142854</v>
      </c>
      <c r="I20" s="310">
        <f>SUMIFS(T[قیمت کل], T[نوع عملیات], "فروش", T[سال], 4, T[ماه], I$2, T[روز], $B20)</f>
        <v>0</v>
      </c>
      <c r="J20" s="310" cm="1">
        <f t="array" ref="J20">SUMPRODUCT((T[نوع عملیات]="فروش") * (T[سال]=4) * (T[ماه]=I$2) * (T[روز]=$B20) * IFERROR(T[سود فروش], 0))</f>
        <v>0</v>
      </c>
      <c r="K20" s="312">
        <f>SUMIFS(T[قیمت کل], T[نوع عملیات], "فروش", T[سال], 4, T[ماه], K$2, T[روز], $B20)</f>
        <v>870000</v>
      </c>
      <c r="L20" s="312" cm="1">
        <f t="array" ref="L20">SUMPRODUCT((T[نوع عملیات]="فروش") * (T[سال]=4) * (T[ماه]=K$2) * (T[روز]=$B20) * IFERROR(T[سود فروش], 0))</f>
        <v>267714.28571428568</v>
      </c>
      <c r="M20" s="310">
        <f>SUMIFS(T[قیمت کل], T[نوع عملیات], "فروش", T[سال], 4, T[ماه], M$2, T[روز], $B20)</f>
        <v>27550000</v>
      </c>
      <c r="N20" s="310" cm="1">
        <f t="array" ref="N20">SUMPRODUCT((T[نوع عملیات]="فروش") * (T[سال]=4) * (T[ماه]=M$2) * (T[روز]=$B20) * IFERROR(T[سود فروش], 0))</f>
        <v>11267714.285714285</v>
      </c>
      <c r="O20" s="312">
        <f>SUMIFS(T[قیمت کل], T[نوع عملیات], "فروش", T[سال], 4, T[ماه], O$2, T[روز], $B20)</f>
        <v>0</v>
      </c>
      <c r="P20" s="312" cm="1">
        <f t="array" ref="P20">SUMPRODUCT((T[نوع عملیات]="فروش") * (T[سال]=4) * (T[ماه]=O$2) * (T[روز]=$B20) * IFERROR(T[سود فروش], 0))</f>
        <v>0</v>
      </c>
    </row>
    <row r="21" spans="2:16" ht="16.899999999999999" x14ac:dyDescent="0.8">
      <c r="B21" s="306">
        <v>17</v>
      </c>
      <c r="C21" s="313">
        <f>SUMIFS(T[قیمت کل], T[نوع عملیات], "فروش", T[سال], 3, T[ماه], C$2, T[روز], $B21)</f>
        <v>0</v>
      </c>
      <c r="D21" s="313" cm="1">
        <f t="array" ref="D21">SUMPRODUCT((T[نوع عملیات]="فروش") * (T[سال]=3) * (T[ماه]=C$2) * (T[روز]=$B21) * IFERROR(T[سود فروش], 0))</f>
        <v>0</v>
      </c>
      <c r="E21" s="307">
        <f>SUMIFS(T[قیمت کل], T[نوع عملیات], "فروش", T[سال], 4, T[ماه], E$2, T[روز], $B21)</f>
        <v>0</v>
      </c>
      <c r="F21" s="307" cm="1">
        <f t="array" ref="F21">SUMPRODUCT((T[نوع عملیات]="فروش") * (T[سال]=4) * (T[ماه]=E$2) * (T[روز]=$B21) * IFERROR(T[سود فروش], 0))</f>
        <v>0</v>
      </c>
      <c r="G21" s="313">
        <f>SUMIFS(T[قیمت کل], T[نوع عملیات], "فروش", T[سال], 4, T[ماه], G$2, T[روز], $B21)</f>
        <v>3650000</v>
      </c>
      <c r="H21" s="313" cm="1">
        <f t="array" ref="H21">SUMPRODUCT((T[نوع عملیات]="فروش") * (T[سال]=4) * (T[ماه]=G$2) * (T[روز]=$B21) * IFERROR(T[سود فروش], 0))</f>
        <v>714000</v>
      </c>
      <c r="I21" s="307">
        <f>SUMIFS(T[قیمت کل], T[نوع عملیات], "فروش", T[سال], 4, T[ماه], I$2, T[روز], $B21)</f>
        <v>7200000</v>
      </c>
      <c r="J21" s="307" cm="1">
        <f t="array" ref="J21">SUMPRODUCT((T[نوع عملیات]="فروش") * (T[سال]=4) * (T[ماه]=I$2) * (T[روز]=$B21) * IFERROR(T[سود فروش], 0))</f>
        <v>2870956.5217391304</v>
      </c>
      <c r="K21" s="313">
        <f>SUMIFS(T[قیمت کل], T[نوع عملیات], "فروش", T[سال], 4, T[ماه], K$2, T[روز], $B21)</f>
        <v>5750000</v>
      </c>
      <c r="L21" s="313" cm="1">
        <f t="array" ref="L21">SUMPRODUCT((T[نوع عملیات]="فروش") * (T[سال]=4) * (T[ماه]=K$2) * (T[روز]=$B21) * IFERROR(T[سود فروش], 0))</f>
        <v>2954500</v>
      </c>
      <c r="M21" s="307">
        <f>SUMIFS(T[قیمت کل], T[نوع عملیات], "فروش", T[سال], 4, T[ماه], M$2, T[روز], $B21)</f>
        <v>0</v>
      </c>
      <c r="N21" s="307" cm="1">
        <f t="array" ref="N21">SUMPRODUCT((T[نوع عملیات]="فروش") * (T[سال]=4) * (T[ماه]=M$2) * (T[روز]=$B21) * IFERROR(T[سود فروش], 0))</f>
        <v>0</v>
      </c>
      <c r="O21" s="313">
        <f>SUMIFS(T[قیمت کل], T[نوع عملیات], "فروش", T[سال], 4, T[ماه], O$2, T[روز], $B21)</f>
        <v>0</v>
      </c>
      <c r="P21" s="313" cm="1">
        <f t="array" ref="P21">SUMPRODUCT((T[نوع عملیات]="فروش") * (T[سال]=4) * (T[ماه]=O$2) * (T[روز]=$B21) * IFERROR(T[سود فروش], 0))</f>
        <v>0</v>
      </c>
    </row>
    <row r="22" spans="2:16" ht="16.899999999999999" x14ac:dyDescent="0.8">
      <c r="B22" s="308">
        <v>18</v>
      </c>
      <c r="C22" s="312">
        <f>SUMIFS(T[قیمت کل], T[نوع عملیات], "فروش", T[سال], 3, T[ماه], C$2, T[روز], $B22)</f>
        <v>450000</v>
      </c>
      <c r="D22" s="312" cm="1">
        <f t="array" ref="D22">SUMPRODUCT((T[نوع عملیات]="فروش") * (T[سال]=3) * (T[ماه]=C$2) * (T[روز]=$B22) * IFERROR(T[سود فروش], 0))</f>
        <v>250000</v>
      </c>
      <c r="E22" s="310">
        <f>SUMIFS(T[قیمت کل], T[نوع عملیات], "فروش", T[سال], 4, T[ماه], E$2, T[روز], $B22)</f>
        <v>5469000</v>
      </c>
      <c r="F22" s="310" cm="1">
        <f t="array" ref="F22">SUMPRODUCT((T[نوع عملیات]="فروش") * (T[سال]=4) * (T[ماه]=E$2) * (T[روز]=$B22) * IFERROR(T[سود فروش], 0))</f>
        <v>3091323.5294117648</v>
      </c>
      <c r="G22" s="312">
        <f>SUMIFS(T[قیمت کل], T[نوع عملیات], "فروش", T[سال], 4, T[ماه], G$2, T[روز], $B22)</f>
        <v>1700000</v>
      </c>
      <c r="H22" s="312" cm="1">
        <f t="array" ref="H22">SUMPRODUCT((T[نوع عملیات]="فروش") * (T[سال]=4) * (T[ماه]=G$2) * (T[روز]=$B22) * IFERROR(T[سود فروش], 0))</f>
        <v>908000</v>
      </c>
      <c r="I22" s="310">
        <f>SUMIFS(T[قیمت کل], T[نوع عملیات], "فروش", T[سال], 4, T[ماه], I$2, T[روز], $B22)</f>
        <v>2000000</v>
      </c>
      <c r="J22" s="310" cm="1">
        <f t="array" ref="J22">SUMPRODUCT((T[نوع عملیات]="فروش") * (T[سال]=4) * (T[ماه]=I$2) * (T[روز]=$B22) * IFERROR(T[سود فروش], 0))</f>
        <v>451250</v>
      </c>
      <c r="K22" s="312">
        <f>SUMIFS(T[قیمت کل], T[نوع عملیات], "فروش", T[سال], 4, T[ماه], K$2, T[روز], $B22)</f>
        <v>0</v>
      </c>
      <c r="L22" s="312" cm="1">
        <f t="array" ref="L22">SUMPRODUCT((T[نوع عملیات]="فروش") * (T[سال]=4) * (T[ماه]=K$2) * (T[روز]=$B22) * IFERROR(T[سود فروش], 0))</f>
        <v>0</v>
      </c>
      <c r="M22" s="310">
        <f>SUMIFS(T[قیمت کل], T[نوع عملیات], "فروش", T[سال], 4, T[ماه], M$2, T[روز], $B22)</f>
        <v>1900000</v>
      </c>
      <c r="N22" s="310" cm="1">
        <f t="array" ref="N22">SUMPRODUCT((T[نوع عملیات]="فروش") * (T[سال]=4) * (T[ماه]=M$2) * (T[روز]=$B22) * IFERROR(T[سود فروش], 0))</f>
        <v>520000</v>
      </c>
      <c r="O22" s="312">
        <f>SUMIFS(T[قیمت کل], T[نوع عملیات], "فروش", T[سال], 4, T[ماه], O$2, T[روز], $B22)</f>
        <v>0</v>
      </c>
      <c r="P22" s="312" cm="1">
        <f t="array" ref="P22">SUMPRODUCT((T[نوع عملیات]="فروش") * (T[سال]=4) * (T[ماه]=O$2) * (T[روز]=$B22) * IFERROR(T[سود فروش], 0))</f>
        <v>0</v>
      </c>
    </row>
    <row r="23" spans="2:16" ht="16.899999999999999" x14ac:dyDescent="0.8">
      <c r="B23" s="306">
        <v>19</v>
      </c>
      <c r="C23" s="313">
        <f>SUMIFS(T[قیمت کل], T[نوع عملیات], "فروش", T[سال], 3, T[ماه], C$2, T[روز], $B23)</f>
        <v>0</v>
      </c>
      <c r="D23" s="313" cm="1">
        <f t="array" ref="D23">SUMPRODUCT((T[نوع عملیات]="فروش") * (T[سال]=3) * (T[ماه]=C$2) * (T[روز]=$B23) * IFERROR(T[سود فروش], 0))</f>
        <v>0</v>
      </c>
      <c r="E23" s="307">
        <f>SUMIFS(T[قیمت کل], T[نوع عملیات], "فروش", T[سال], 4, T[ماه], E$2, T[روز], $B23)</f>
        <v>0</v>
      </c>
      <c r="F23" s="307" cm="1">
        <f t="array" ref="F23">SUMPRODUCT((T[نوع عملیات]="فروش") * (T[سال]=4) * (T[ماه]=E$2) * (T[روز]=$B23) * IFERROR(T[سود فروش], 0))</f>
        <v>0</v>
      </c>
      <c r="G23" s="313">
        <f>SUMIFS(T[قیمت کل], T[نوع عملیات], "فروش", T[سال], 4, T[ماه], G$2, T[روز], $B23)</f>
        <v>0</v>
      </c>
      <c r="H23" s="313" cm="1">
        <f t="array" ref="H23">SUMPRODUCT((T[نوع عملیات]="فروش") * (T[سال]=4) * (T[ماه]=G$2) * (T[روز]=$B23) * IFERROR(T[سود فروش], 0))</f>
        <v>0</v>
      </c>
      <c r="I23" s="307">
        <f>SUMIFS(T[قیمت کل], T[نوع عملیات], "فروش", T[سال], 4, T[ماه], I$2, T[روز], $B23)</f>
        <v>4700000</v>
      </c>
      <c r="J23" s="307" cm="1">
        <f t="array" ref="J23">SUMPRODUCT((T[نوع عملیات]="فروش") * (T[سال]=4) * (T[ماه]=I$2) * (T[روز]=$B23) * IFERROR(T[سود فروش], 0))</f>
        <v>1841583.3333333335</v>
      </c>
      <c r="K23" s="313">
        <f>SUMIFS(T[قیمت کل], T[نوع عملیات], "فروش", T[سال], 4, T[ماه], K$2, T[روز], $B23)</f>
        <v>0</v>
      </c>
      <c r="L23" s="313" cm="1">
        <f t="array" ref="L23">SUMPRODUCT((T[نوع عملیات]="فروش") * (T[سال]=4) * (T[ماه]=K$2) * (T[روز]=$B23) * IFERROR(T[سود فروش], 0))</f>
        <v>0</v>
      </c>
      <c r="M23" s="307">
        <f>SUMIFS(T[قیمت کل], T[نوع عملیات], "فروش", T[سال], 4, T[ماه], M$2, T[روز], $B23)</f>
        <v>8700000</v>
      </c>
      <c r="N23" s="307" cm="1">
        <f t="array" ref="N23">SUMPRODUCT((T[نوع عملیات]="فروش") * (T[سال]=4) * (T[ماه]=M$2) * (T[روز]=$B23) * IFERROR(T[سود فروش], 0))</f>
        <v>2952478.2608695654</v>
      </c>
      <c r="O23" s="313">
        <f>SUMIFS(T[قیمت کل], T[نوع عملیات], "فروش", T[سال], 4, T[ماه], O$2, T[روز], $B23)</f>
        <v>0</v>
      </c>
      <c r="P23" s="313" cm="1">
        <f t="array" ref="P23">SUMPRODUCT((T[نوع عملیات]="فروش") * (T[سال]=4) * (T[ماه]=O$2) * (T[روز]=$B23) * IFERROR(T[سود فروش], 0))</f>
        <v>0</v>
      </c>
    </row>
    <row r="24" spans="2:16" ht="16.899999999999999" x14ac:dyDescent="0.8">
      <c r="B24" s="308">
        <v>20</v>
      </c>
      <c r="C24" s="312">
        <f>SUMIFS(T[قیمت کل], T[نوع عملیات], "فروش", T[سال], 3, T[ماه], C$2, T[روز], $B24)</f>
        <v>950000</v>
      </c>
      <c r="D24" s="312" cm="1">
        <f t="array" ref="D24">SUMPRODUCT((T[نوع عملیات]="فروش") * (T[سال]=3) * (T[ماه]=C$2) * (T[روز]=$B24) * IFERROR(T[سود فروش], 0))</f>
        <v>630000</v>
      </c>
      <c r="E24" s="310">
        <f>SUMIFS(T[قیمت کل], T[نوع عملیات], "فروش", T[سال], 4, T[ماه], E$2, T[روز], $B24)</f>
        <v>350000</v>
      </c>
      <c r="F24" s="310" cm="1">
        <f t="array" ref="F24">SUMPRODUCT((T[نوع عملیات]="فروش") * (T[سال]=4) * (T[ماه]=E$2) * (T[روز]=$B24) * IFERROR(T[سود فروش], 0))</f>
        <v>-50000</v>
      </c>
      <c r="G24" s="312">
        <f>SUMIFS(T[قیمت کل], T[نوع عملیات], "فروش", T[سال], 4, T[ماه], G$2, T[روز], $B24)</f>
        <v>2700000</v>
      </c>
      <c r="H24" s="312" cm="1">
        <f t="array" ref="H24">SUMPRODUCT((T[نوع عملیات]="فروش") * (T[سال]=4) * (T[ماه]=G$2) * (T[روز]=$B24) * IFERROR(T[سود فروش], 0))</f>
        <v>785555.5555555555</v>
      </c>
      <c r="I24" s="310">
        <f>SUMIFS(T[قیمت کل], T[نوع عملیات], "فروش", T[سال], 4, T[ماه], I$2, T[روز], $B24)</f>
        <v>24950000</v>
      </c>
      <c r="J24" s="310" cm="1">
        <f t="array" ref="J24">SUMPRODUCT((T[نوع عملیات]="فروش") * (T[سال]=4) * (T[ماه]=I$2) * (T[روز]=$B24) * IFERROR(T[سود فروش], 0))</f>
        <v>11564777.389124984</v>
      </c>
      <c r="K24" s="312">
        <f>SUMIFS(T[قیمت کل], T[نوع عملیات], "فروش", T[سال], 4, T[ماه], K$2, T[روز], $B24)</f>
        <v>0</v>
      </c>
      <c r="L24" s="312" cm="1">
        <f t="array" ref="L24">SUMPRODUCT((T[نوع عملیات]="فروش") * (T[سال]=4) * (T[ماه]=K$2) * (T[روز]=$B24) * IFERROR(T[سود فروش], 0))</f>
        <v>0</v>
      </c>
      <c r="M24" s="310">
        <f>SUMIFS(T[قیمت کل], T[نوع عملیات], "فروش", T[سال], 4, T[ماه], M$2, T[روز], $B24)</f>
        <v>5050000</v>
      </c>
      <c r="N24" s="310" cm="1">
        <f t="array" ref="N24">SUMPRODUCT((T[نوع عملیات]="فروش") * (T[سال]=4) * (T[ماه]=M$2) * (T[روز]=$B24) * IFERROR(T[سود فروش], 0))</f>
        <v>1262333.3333333333</v>
      </c>
      <c r="O24" s="312">
        <f>SUMIFS(T[قیمت کل], T[نوع عملیات], "فروش", T[سال], 4, T[ماه], O$2, T[روز], $B24)</f>
        <v>0</v>
      </c>
      <c r="P24" s="312" cm="1">
        <f t="array" ref="P24">SUMPRODUCT((T[نوع عملیات]="فروش") * (T[سال]=4) * (T[ماه]=O$2) * (T[روز]=$B24) * IFERROR(T[سود فروش], 0))</f>
        <v>0</v>
      </c>
    </row>
    <row r="25" spans="2:16" ht="16.899999999999999" x14ac:dyDescent="0.8">
      <c r="B25" s="306">
        <v>21</v>
      </c>
      <c r="C25" s="313">
        <f>SUMIFS(T[قیمت کل], T[نوع عملیات], "فروش", T[سال], 3, T[ماه], C$2, T[روز], $B25)</f>
        <v>17600000</v>
      </c>
      <c r="D25" s="313" cm="1">
        <f t="array" ref="D25">SUMPRODUCT((T[نوع عملیات]="فروش") * (T[سال]=3) * (T[ماه]=C$2) * (T[روز]=$B25) * IFERROR(T[سود فروش], 0))</f>
        <v>11237000</v>
      </c>
      <c r="E25" s="307">
        <f>SUMIFS(T[قیمت کل], T[نوع عملیات], "فروش", T[سال], 4, T[ماه], E$2, T[روز], $B25)</f>
        <v>400000</v>
      </c>
      <c r="F25" s="307" cm="1">
        <f t="array" ref="F25">SUMPRODUCT((T[نوع عملیات]="فروش") * (T[سال]=4) * (T[ماه]=E$2) * (T[روز]=$B25) * IFERROR(T[سود فروش], 0))</f>
        <v>2000</v>
      </c>
      <c r="G25" s="313">
        <f>SUMIFS(T[قیمت کل], T[نوع عملیات], "فروش", T[سال], 4, T[ماه], G$2, T[روز], $B25)</f>
        <v>5120000</v>
      </c>
      <c r="H25" s="313" cm="1">
        <f t="array" ref="H25">SUMPRODUCT((T[نوع عملیات]="فروش") * (T[سال]=4) * (T[ماه]=G$2) * (T[روز]=$B25) * IFERROR(T[سود فروش], 0))</f>
        <v>1792000</v>
      </c>
      <c r="I25" s="307">
        <f>SUMIFS(T[قیمت کل], T[نوع عملیات], "فروش", T[سال], 4, T[ماه], I$2, T[روز], $B25)</f>
        <v>9080000</v>
      </c>
      <c r="J25" s="307" cm="1">
        <f t="array" ref="J25">SUMPRODUCT((T[نوع عملیات]="فروش") * (T[سال]=4) * (T[ماه]=I$2) * (T[روز]=$B25) * IFERROR(T[سود فروش], 0))</f>
        <v>4469852.1303258147</v>
      </c>
      <c r="K25" s="313">
        <f>SUMIFS(T[قیمت کل], T[نوع عملیات], "فروش", T[سال], 4, T[ماه], K$2, T[روز], $B25)</f>
        <v>0</v>
      </c>
      <c r="L25" s="313" cm="1">
        <f t="array" ref="L25">SUMPRODUCT((T[نوع عملیات]="فروش") * (T[سال]=4) * (T[ماه]=K$2) * (T[روز]=$B25) * IFERROR(T[سود فروش], 0))</f>
        <v>0</v>
      </c>
      <c r="M25" s="307">
        <f>SUMIFS(T[قیمت کل], T[نوع عملیات], "فروش", T[سال], 4, T[ماه], M$2, T[روز], $B25)</f>
        <v>9900000</v>
      </c>
      <c r="N25" s="307" cm="1">
        <f t="array" ref="N25">SUMPRODUCT((T[نوع عملیات]="فروش") * (T[سال]=4) * (T[ماه]=M$2) * (T[روز]=$B25) * IFERROR(T[سود فروش], 0))</f>
        <v>3053000</v>
      </c>
      <c r="O25" s="313">
        <f>SUMIFS(T[قیمت کل], T[نوع عملیات], "فروش", T[سال], 4, T[ماه], O$2, T[روز], $B25)</f>
        <v>0</v>
      </c>
      <c r="P25" s="313" cm="1">
        <f t="array" ref="P25">SUMPRODUCT((T[نوع عملیات]="فروش") * (T[سال]=4) * (T[ماه]=O$2) * (T[روز]=$B25) * IFERROR(T[سود فروش], 0))</f>
        <v>0</v>
      </c>
    </row>
    <row r="26" spans="2:16" ht="16.899999999999999" x14ac:dyDescent="0.8">
      <c r="B26" s="308">
        <v>22</v>
      </c>
      <c r="C26" s="312">
        <f>SUMIFS(T[قیمت کل], T[نوع عملیات], "فروش", T[سال], 3, T[ماه], C$2, T[روز], $B26)</f>
        <v>4600000</v>
      </c>
      <c r="D26" s="312" cm="1">
        <f t="array" ref="D26">SUMPRODUCT((T[نوع عملیات]="فروش") * (T[سال]=3) * (T[ماه]=C$2) * (T[روز]=$B26) * IFERROR(T[سود فروش], 0))</f>
        <v>3650000</v>
      </c>
      <c r="E26" s="310">
        <f>SUMIFS(T[قیمت کل], T[نوع عملیات], "فروش", T[سال], 4, T[ماه], E$2, T[روز], $B26)</f>
        <v>1650000</v>
      </c>
      <c r="F26" s="310" cm="1">
        <f t="array" ref="F26">SUMPRODUCT((T[نوع عملیات]="فروش") * (T[سال]=4) * (T[ماه]=E$2) * (T[روز]=$B26) * IFERROR(T[سود فروش], 0))</f>
        <v>1302941.1764705882</v>
      </c>
      <c r="G26" s="312">
        <f>SUMIFS(T[قیمت کل], T[نوع عملیات], "فروش", T[سال], 4, T[ماه], G$2, T[روز], $B26)</f>
        <v>19500000</v>
      </c>
      <c r="H26" s="312" cm="1">
        <f t="array" ref="H26">SUMPRODUCT((T[نوع عملیات]="فروش") * (T[سال]=4) * (T[ماه]=G$2) * (T[روز]=$B26) * IFERROR(T[سود فروش], 0))</f>
        <v>6040686.5079365075</v>
      </c>
      <c r="I26" s="310">
        <f>SUMIFS(T[قیمت کل], T[نوع عملیات], "فروش", T[سال], 4, T[ماه], I$2, T[روز], $B26)</f>
        <v>5750000</v>
      </c>
      <c r="J26" s="310" cm="1">
        <f t="array" ref="J26">SUMPRODUCT((T[نوع عملیات]="فروش") * (T[سال]=4) * (T[ماه]=I$2) * (T[روز]=$B26) * IFERROR(T[سود فروش], 0))</f>
        <v>1925441.1764705882</v>
      </c>
      <c r="K26" s="312">
        <f>SUMIFS(T[قیمت کل], T[نوع عملیات], "فروش", T[سال], 4, T[ماه], K$2, T[روز], $B26)</f>
        <v>0</v>
      </c>
      <c r="L26" s="312" cm="1">
        <f t="array" ref="L26">SUMPRODUCT((T[نوع عملیات]="فروش") * (T[سال]=4) * (T[ماه]=K$2) * (T[روز]=$B26) * IFERROR(T[سود فروش], 0))</f>
        <v>0</v>
      </c>
      <c r="M26" s="310">
        <f>SUMIFS(T[قیمت کل], T[نوع عملیات], "فروش", T[سال], 4, T[ماه], M$2, T[روز], $B26)</f>
        <v>0</v>
      </c>
      <c r="N26" s="310" cm="1">
        <f t="array" ref="N26">SUMPRODUCT((T[نوع عملیات]="فروش") * (T[سال]=4) * (T[ماه]=M$2) * (T[روز]=$B26) * IFERROR(T[سود فروش], 0))</f>
        <v>0</v>
      </c>
      <c r="O26" s="312">
        <f>SUMIFS(T[قیمت کل], T[نوع عملیات], "فروش", T[سال], 4, T[ماه], O$2, T[روز], $B26)</f>
        <v>0</v>
      </c>
      <c r="P26" s="312" cm="1">
        <f t="array" ref="P26">SUMPRODUCT((T[نوع عملیات]="فروش") * (T[سال]=4) * (T[ماه]=O$2) * (T[روز]=$B26) * IFERROR(T[سود فروش], 0))</f>
        <v>0</v>
      </c>
    </row>
    <row r="27" spans="2:16" ht="16.899999999999999" x14ac:dyDescent="0.8">
      <c r="B27" s="306">
        <v>23</v>
      </c>
      <c r="C27" s="313">
        <f>SUMIFS(T[قیمت کل], T[نوع عملیات], "فروش", T[سال], 3, T[ماه], C$2, T[روز], $B27)</f>
        <v>6950000</v>
      </c>
      <c r="D27" s="313" cm="1">
        <f t="array" ref="D27">SUMPRODUCT((T[نوع عملیات]="فروش") * (T[سال]=3) * (T[ماه]=C$2) * (T[روز]=$B27) * IFERROR(T[سود فروش], 0))</f>
        <v>2640000</v>
      </c>
      <c r="E27" s="307">
        <f>SUMIFS(T[قیمت کل], T[نوع عملیات], "فروش", T[سال], 4, T[ماه], E$2, T[روز], $B27)</f>
        <v>0</v>
      </c>
      <c r="F27" s="307" cm="1">
        <f t="array" ref="F27">SUMPRODUCT((T[نوع عملیات]="فروش") * (T[سال]=4) * (T[ماه]=E$2) * (T[روز]=$B27) * IFERROR(T[سود فروش], 0))</f>
        <v>0</v>
      </c>
      <c r="G27" s="313">
        <f>SUMIFS(T[قیمت کل], T[نوع عملیات], "فروش", T[سال], 4, T[ماه], G$2, T[روز], $B27)</f>
        <v>0</v>
      </c>
      <c r="H27" s="313" cm="1">
        <f t="array" ref="H27">SUMPRODUCT((T[نوع عملیات]="فروش") * (T[سال]=4) * (T[ماه]=G$2) * (T[روز]=$B27) * IFERROR(T[سود فروش], 0))</f>
        <v>0</v>
      </c>
      <c r="I27" s="307">
        <f>SUMIFS(T[قیمت کل], T[نوع عملیات], "فروش", T[سال], 4, T[ماه], I$2, T[روز], $B27)</f>
        <v>0</v>
      </c>
      <c r="J27" s="307" cm="1">
        <f t="array" ref="J27">SUMPRODUCT((T[نوع عملیات]="فروش") * (T[سال]=4) * (T[ماه]=I$2) * (T[روز]=$B27) * IFERROR(T[سود فروش], 0))</f>
        <v>0</v>
      </c>
      <c r="K27" s="313">
        <f>SUMIFS(T[قیمت کل], T[نوع عملیات], "فروش", T[سال], 4, T[ماه], K$2, T[روز], $B27)</f>
        <v>0</v>
      </c>
      <c r="L27" s="313" cm="1">
        <f t="array" ref="L27">SUMPRODUCT((T[نوع عملیات]="فروش") * (T[سال]=4) * (T[ماه]=K$2) * (T[روز]=$B27) * IFERROR(T[سود فروش], 0))</f>
        <v>0</v>
      </c>
      <c r="M27" s="307">
        <f>SUMIFS(T[قیمت کل], T[نوع عملیات], "فروش", T[سال], 4, T[ماه], M$2, T[روز], $B27)</f>
        <v>0</v>
      </c>
      <c r="N27" s="307" cm="1">
        <f t="array" ref="N27">SUMPRODUCT((T[نوع عملیات]="فروش") * (T[سال]=4) * (T[ماه]=M$2) * (T[روز]=$B27) * IFERROR(T[سود فروش], 0))</f>
        <v>0</v>
      </c>
      <c r="O27" s="313">
        <f>SUMIFS(T[قیمت کل], T[نوع عملیات], "فروش", T[سال], 4, T[ماه], O$2, T[روز], $B27)</f>
        <v>0</v>
      </c>
      <c r="P27" s="313" cm="1">
        <f t="array" ref="P27">SUMPRODUCT((T[نوع عملیات]="فروش") * (T[سال]=4) * (T[ماه]=O$2) * (T[روز]=$B27) * IFERROR(T[سود فروش], 0))</f>
        <v>0</v>
      </c>
    </row>
    <row r="28" spans="2:16" ht="16.899999999999999" x14ac:dyDescent="0.8">
      <c r="B28" s="308">
        <v>24</v>
      </c>
      <c r="C28" s="312">
        <f>SUMIFS(T[قیمت کل], T[نوع عملیات], "فروش", T[سال], 3, T[ماه], C$2, T[روز], $B28)</f>
        <v>14350000</v>
      </c>
      <c r="D28" s="312" cm="1">
        <f t="array" ref="D28">SUMPRODUCT((T[نوع عملیات]="فروش") * (T[سال]=3) * (T[ماه]=C$2) * (T[روز]=$B28) * IFERROR(T[سود فروش], 0))</f>
        <v>6190000</v>
      </c>
      <c r="E28" s="310">
        <f>SUMIFS(T[قیمت کل], T[نوع عملیات], "فروش", T[سال], 4, T[ماه], E$2, T[روز], $B28)</f>
        <v>0</v>
      </c>
      <c r="F28" s="310" cm="1">
        <f t="array" ref="F28">SUMPRODUCT((T[نوع عملیات]="فروش") * (T[سال]=4) * (T[ماه]=E$2) * (T[روز]=$B28) * IFERROR(T[سود فروش], 0))</f>
        <v>0</v>
      </c>
      <c r="G28" s="312">
        <f>SUMIFS(T[قیمت کل], T[نوع عملیات], "فروش", T[سال], 4, T[ماه], G$2, T[روز], $B28)</f>
        <v>5130000</v>
      </c>
      <c r="H28" s="312" cm="1">
        <f t="array" ref="H28">SUMPRODUCT((T[نوع عملیات]="فروش") * (T[سال]=4) * (T[ماه]=G$2) * (T[روز]=$B28) * IFERROR(T[سود فروش], 0))</f>
        <v>1882800</v>
      </c>
      <c r="I28" s="310">
        <f>SUMIFS(T[قیمت کل], T[نوع عملیات], "فروش", T[سال], 4, T[ماه], I$2, T[روز], $B28)</f>
        <v>0</v>
      </c>
      <c r="J28" s="310" cm="1">
        <f t="array" ref="J28">SUMPRODUCT((T[نوع عملیات]="فروش") * (T[سال]=4) * (T[ماه]=I$2) * (T[روز]=$B28) * IFERROR(T[سود فروش], 0))</f>
        <v>0</v>
      </c>
      <c r="K28" s="312">
        <f>SUMIFS(T[قیمت کل], T[نوع عملیات], "فروش", T[سال], 4, T[ماه], K$2, T[روز], $B28)</f>
        <v>0</v>
      </c>
      <c r="L28" s="312" cm="1">
        <f t="array" ref="L28">SUMPRODUCT((T[نوع عملیات]="فروش") * (T[سال]=4) * (T[ماه]=K$2) * (T[روز]=$B28) * IFERROR(T[سود فروش], 0))</f>
        <v>0</v>
      </c>
      <c r="M28" s="310">
        <f>SUMIFS(T[قیمت کل], T[نوع عملیات], "فروش", T[سال], 4, T[ماه], M$2, T[روز], $B28)</f>
        <v>950000</v>
      </c>
      <c r="N28" s="310" cm="1">
        <f t="array" ref="N28">SUMPRODUCT((T[نوع عملیات]="فروش") * (T[سال]=4) * (T[ماه]=M$2) * (T[روز]=$B28) * IFERROR(T[سود فروش], 0))</f>
        <v>257000</v>
      </c>
      <c r="O28" s="312">
        <f>SUMIFS(T[قیمت کل], T[نوع عملیات], "فروش", T[سال], 4, T[ماه], O$2, T[روز], $B28)</f>
        <v>0</v>
      </c>
      <c r="P28" s="312" cm="1">
        <f t="array" ref="P28">SUMPRODUCT((T[نوع عملیات]="فروش") * (T[سال]=4) * (T[ماه]=O$2) * (T[روز]=$B28) * IFERROR(T[سود فروش], 0))</f>
        <v>0</v>
      </c>
    </row>
    <row r="29" spans="2:16" ht="16.899999999999999" x14ac:dyDescent="0.8">
      <c r="B29" s="306">
        <v>25</v>
      </c>
      <c r="C29" s="313">
        <f>SUMIFS(T[قیمت کل], T[نوع عملیات], "فروش", T[سال], 3, T[ماه], C$2, T[روز], $B29)</f>
        <v>4450000</v>
      </c>
      <c r="D29" s="313" cm="1">
        <f t="array" ref="D29">SUMPRODUCT((T[نوع عملیات]="فروش") * (T[سال]=3) * (T[ماه]=C$2) * (T[روز]=$B29) * IFERROR(T[سود فروش], 0))</f>
        <v>1995000</v>
      </c>
      <c r="E29" s="307">
        <f>SUMIFS(T[قیمت کل], T[نوع عملیات], "فروش", T[سال], 4, T[ماه], E$2, T[روز], $B29)</f>
        <v>5450000</v>
      </c>
      <c r="F29" s="307" cm="1">
        <f t="array" ref="F29">SUMPRODUCT((T[نوع عملیات]="فروش") * (T[سال]=4) * (T[ماه]=E$2) * (T[روز]=$B29) * IFERROR(T[سود فروش], 0))</f>
        <v>2348500</v>
      </c>
      <c r="G29" s="313">
        <f>SUMIFS(T[قیمت کل], T[نوع عملیات], "فروش", T[سال], 4, T[ماه], G$2, T[روز], $B29)</f>
        <v>2200000</v>
      </c>
      <c r="H29" s="313" cm="1">
        <f t="array" ref="H29">SUMPRODUCT((T[نوع عملیات]="فروش") * (T[سال]=4) * (T[ماه]=G$2) * (T[روز]=$B29) * IFERROR(T[سود فروش], 0))</f>
        <v>620000</v>
      </c>
      <c r="I29" s="307">
        <f>SUMIFS(T[قیمت کل], T[نوع عملیات], "فروش", T[سال], 4, T[ماه], I$2, T[روز], $B29)</f>
        <v>0</v>
      </c>
      <c r="J29" s="307" cm="1">
        <f t="array" ref="J29">SUMPRODUCT((T[نوع عملیات]="فروش") * (T[سال]=4) * (T[ماه]=I$2) * (T[روز]=$B29) * IFERROR(T[سود فروش], 0))</f>
        <v>0</v>
      </c>
      <c r="K29" s="313">
        <f>SUMIFS(T[قیمت کل], T[نوع عملیات], "فروش", T[سال], 4, T[ماه], K$2, T[روز], $B29)</f>
        <v>0</v>
      </c>
      <c r="L29" s="313" cm="1">
        <f t="array" ref="L29">SUMPRODUCT((T[نوع عملیات]="فروش") * (T[سال]=4) * (T[ماه]=K$2) * (T[روز]=$B29) * IFERROR(T[سود فروش], 0))</f>
        <v>0</v>
      </c>
      <c r="M29" s="307">
        <f>SUMIFS(T[قیمت کل], T[نوع عملیات], "فروش", T[سال], 4, T[ماه], M$2, T[روز], $B29)</f>
        <v>3800000</v>
      </c>
      <c r="N29" s="307" cm="1">
        <f t="array" ref="N29">SUMPRODUCT((T[نوع عملیات]="فروش") * (T[سال]=4) * (T[ماه]=M$2) * (T[روز]=$B29) * IFERROR(T[سود فروش], 0))</f>
        <v>1046000</v>
      </c>
      <c r="O29" s="313">
        <f>SUMIFS(T[قیمت کل], T[نوع عملیات], "فروش", T[سال], 4, T[ماه], O$2, T[روز], $B29)</f>
        <v>0</v>
      </c>
      <c r="P29" s="313" cm="1">
        <f t="array" ref="P29">SUMPRODUCT((T[نوع عملیات]="فروش") * (T[سال]=4) * (T[ماه]=O$2) * (T[روز]=$B29) * IFERROR(T[سود فروش], 0))</f>
        <v>0</v>
      </c>
    </row>
    <row r="30" spans="2:16" ht="16.899999999999999" x14ac:dyDescent="0.8">
      <c r="B30" s="308">
        <v>26</v>
      </c>
      <c r="C30" s="312">
        <f>SUMIFS(T[قیمت کل], T[نوع عملیات], "فروش", T[سال], 3, T[ماه], C$2, T[روز], $B30)</f>
        <v>7200000</v>
      </c>
      <c r="D30" s="312" cm="1">
        <f t="array" ref="D30">SUMPRODUCT((T[نوع عملیات]="فروش") * (T[سال]=3) * (T[ماه]=C$2) * (T[روز]=$B30) * IFERROR(T[سود فروش], 0))</f>
        <v>2664000</v>
      </c>
      <c r="E30" s="310">
        <f>SUMIFS(T[قیمت کل], T[نوع عملیات], "فروش", T[سال], 4, T[ماه], E$2, T[روز], $B30)</f>
        <v>0</v>
      </c>
      <c r="F30" s="310" cm="1">
        <f t="array" ref="F30">SUMPRODUCT((T[نوع عملیات]="فروش") * (T[سال]=4) * (T[ماه]=E$2) * (T[روز]=$B30) * IFERROR(T[سود فروش], 0))</f>
        <v>0</v>
      </c>
      <c r="G30" s="312">
        <f>SUMIFS(T[قیمت کل], T[نوع عملیات], "فروش", T[سال], 4, T[ماه], G$2, T[روز], $B30)</f>
        <v>0</v>
      </c>
      <c r="H30" s="312" cm="1">
        <f t="array" ref="H30">SUMPRODUCT((T[نوع عملیات]="فروش") * (T[سال]=4) * (T[ماه]=G$2) * (T[روز]=$B30) * IFERROR(T[سود فروش], 0))</f>
        <v>0</v>
      </c>
      <c r="I30" s="310">
        <f>SUMIFS(T[قیمت کل], T[نوع عملیات], "فروش", T[سال], 4, T[ماه], I$2, T[روز], $B30)</f>
        <v>0</v>
      </c>
      <c r="J30" s="310" cm="1">
        <f t="array" ref="J30">SUMPRODUCT((T[نوع عملیات]="فروش") * (T[سال]=4) * (T[ماه]=I$2) * (T[روز]=$B30) * IFERROR(T[سود فروش], 0))</f>
        <v>0</v>
      </c>
      <c r="K30" s="312">
        <f>SUMIFS(T[قیمت کل], T[نوع عملیات], "فروش", T[سال], 4, T[ماه], K$2, T[روز], $B30)</f>
        <v>6200000</v>
      </c>
      <c r="L30" s="312" cm="1">
        <f t="array" ref="L30">SUMPRODUCT((T[نوع عملیات]="فروش") * (T[سال]=4) * (T[ماه]=K$2) * (T[روز]=$B30) * IFERROR(T[سود فروش], 0))</f>
        <v>2505833.3333333335</v>
      </c>
      <c r="M30" s="310">
        <f>SUMIFS(T[قیمت کل], T[نوع عملیات], "فروش", T[سال], 4, T[ماه], M$2, T[روز], $B30)</f>
        <v>8200000</v>
      </c>
      <c r="N30" s="310" cm="1">
        <f t="array" ref="N30">SUMPRODUCT((T[نوع عملیات]="فروش") * (T[سال]=4) * (T[ماه]=M$2) * (T[روز]=$B30) * IFERROR(T[سود فروش], 0))</f>
        <v>2513478.2608695654</v>
      </c>
      <c r="O30" s="312">
        <f>SUMIFS(T[قیمت کل], T[نوع عملیات], "فروش", T[سال], 4, T[ماه], O$2, T[روز], $B30)</f>
        <v>0</v>
      </c>
      <c r="P30" s="312" cm="1">
        <f t="array" ref="P30">SUMPRODUCT((T[نوع عملیات]="فروش") * (T[سال]=4) * (T[ماه]=O$2) * (T[روز]=$B30) * IFERROR(T[سود فروش], 0))</f>
        <v>0</v>
      </c>
    </row>
    <row r="31" spans="2:16" ht="16.899999999999999" x14ac:dyDescent="0.8">
      <c r="B31" s="306">
        <v>27</v>
      </c>
      <c r="C31" s="313">
        <f>SUMIFS(T[قیمت کل], T[نوع عملیات], "فروش", T[سال], 3, T[ماه], C$2, T[روز], $B31)</f>
        <v>9400000</v>
      </c>
      <c r="D31" s="313" cm="1">
        <f t="array" ref="D31">SUMPRODUCT((T[نوع عملیات]="فروش") * (T[سال]=3) * (T[ماه]=C$2) * (T[روز]=$B31) * IFERROR(T[سود فروش], 0))</f>
        <v>4194000</v>
      </c>
      <c r="E31" s="307">
        <f>SUMIFS(T[قیمت کل], T[نوع عملیات], "فروش", T[سال], 4, T[ماه], E$2, T[روز], $B31)</f>
        <v>4380000</v>
      </c>
      <c r="F31" s="307" cm="1">
        <f t="array" ref="F31">SUMPRODUCT((T[نوع عملیات]="فروش") * (T[سال]=4) * (T[ماه]=E$2) * (T[روز]=$B31) * IFERROR(T[سود فروش], 0))</f>
        <v>2527000</v>
      </c>
      <c r="G31" s="313">
        <f>SUMIFS(T[قیمت کل], T[نوع عملیات], "فروش", T[سال], 4, T[ماه], G$2, T[روز], $B31)</f>
        <v>8400000</v>
      </c>
      <c r="H31" s="313" cm="1">
        <f t="array" ref="H31">SUMPRODUCT((T[نوع عملیات]="فروش") * (T[سال]=4) * (T[ماه]=G$2) * (T[روز]=$B31) * IFERROR(T[سود فروش], 0))</f>
        <v>1976055.5555555555</v>
      </c>
      <c r="I31" s="307">
        <f>SUMIFS(T[قیمت کل], T[نوع عملیات], "فروش", T[سال], 4, T[ماه], I$2, T[روز], $B31)</f>
        <v>0</v>
      </c>
      <c r="J31" s="307" cm="1">
        <f t="array" ref="J31">SUMPRODUCT((T[نوع عملیات]="فروش") * (T[سال]=4) * (T[ماه]=I$2) * (T[روز]=$B31) * IFERROR(T[سود فروش], 0))</f>
        <v>0</v>
      </c>
      <c r="K31" s="313">
        <f>SUMIFS(T[قیمت کل], T[نوع عملیات], "فروش", T[سال], 4, T[ماه], K$2, T[روز], $B31)</f>
        <v>0</v>
      </c>
      <c r="L31" s="313" cm="1">
        <f t="array" ref="L31">SUMPRODUCT((T[نوع عملیات]="فروش") * (T[سال]=4) * (T[ماه]=K$2) * (T[روز]=$B31) * IFERROR(T[سود فروش], 0))</f>
        <v>0</v>
      </c>
      <c r="M31" s="307">
        <f>SUMIFS(T[قیمت کل], T[نوع عملیات], "فروش", T[سال], 4, T[ماه], M$2, T[روز], $B31)</f>
        <v>13400000</v>
      </c>
      <c r="N31" s="307" cm="1">
        <f t="array" ref="N31">SUMPRODUCT((T[نوع عملیات]="فروش") * (T[سال]=4) * (T[ماه]=M$2) * (T[روز]=$B31) * IFERROR(T[سود فروش], 0))</f>
        <v>5497992.2360248454</v>
      </c>
      <c r="O31" s="313">
        <f>SUMIFS(T[قیمت کل], T[نوع عملیات], "فروش", T[سال], 4, T[ماه], O$2, T[روز], $B31)</f>
        <v>0</v>
      </c>
      <c r="P31" s="313" cm="1">
        <f t="array" ref="P31">SUMPRODUCT((T[نوع عملیات]="فروش") * (T[سال]=4) * (T[ماه]=O$2) * (T[روز]=$B31) * IFERROR(T[سود فروش], 0))</f>
        <v>0</v>
      </c>
    </row>
    <row r="32" spans="2:16" ht="16.899999999999999" x14ac:dyDescent="0.8">
      <c r="B32" s="308">
        <v>28</v>
      </c>
      <c r="C32" s="312">
        <f>SUMIFS(T[قیمت کل], T[نوع عملیات], "فروش", T[سال], 3, T[ماه], C$2, T[روز], $B32)</f>
        <v>3850000</v>
      </c>
      <c r="D32" s="312" cm="1">
        <f t="array" ref="D32">SUMPRODUCT((T[نوع عملیات]="فروش") * (T[سال]=3) * (T[ماه]=C$2) * (T[روز]=$B32) * IFERROR(T[سود فروش], 0))</f>
        <v>1917857.1428571427</v>
      </c>
      <c r="E32" s="310">
        <f>SUMIFS(T[قیمت کل], T[نوع عملیات], "فروش", T[سال], 4, T[ماه], E$2, T[روز], $B32)</f>
        <v>0</v>
      </c>
      <c r="F32" s="310" cm="1">
        <f t="array" ref="F32">SUMPRODUCT((T[نوع عملیات]="فروش") * (T[سال]=4) * (T[ماه]=E$2) * (T[روز]=$B32) * IFERROR(T[سود فروش], 0))</f>
        <v>0</v>
      </c>
      <c r="G32" s="312">
        <f>SUMIFS(T[قیمت کل], T[نوع عملیات], "فروش", T[سال], 4, T[ماه], G$2, T[روز], $B32)</f>
        <v>6380000</v>
      </c>
      <c r="H32" s="312" cm="1">
        <f t="array" ref="H32">SUMPRODUCT((T[نوع عملیات]="فروش") * (T[سال]=4) * (T[ماه]=G$2) * (T[روز]=$B32) * IFERROR(T[سود فروش], 0))</f>
        <v>1931250</v>
      </c>
      <c r="I32" s="310">
        <f>SUMIFS(T[قیمت کل], T[نوع عملیات], "فروش", T[سال], 4, T[ماه], I$2, T[روز], $B32)</f>
        <v>0</v>
      </c>
      <c r="J32" s="310" cm="1">
        <f t="array" ref="J32">SUMPRODUCT((T[نوع عملیات]="فروش") * (T[سال]=4) * (T[ماه]=I$2) * (T[روز]=$B32) * IFERROR(T[سود فروش], 0))</f>
        <v>0</v>
      </c>
      <c r="K32" s="312">
        <f>SUMIFS(T[قیمت کل], T[نوع عملیات], "فروش", T[سال], 4, T[ماه], K$2, T[روز], $B32)</f>
        <v>18000000</v>
      </c>
      <c r="L32" s="312" cm="1">
        <f t="array" ref="L32">SUMPRODUCT((T[نوع عملیات]="فروش") * (T[سال]=4) * (T[ماه]=K$2) * (T[روز]=$B32) * IFERROR(T[سود فروش], 0))</f>
        <v>5825826.0869565215</v>
      </c>
      <c r="M32" s="310">
        <f>SUMIFS(T[قیمت کل], T[نوع عملیات], "فروش", T[سال], 4, T[ماه], M$2, T[روز], $B32)</f>
        <v>6100000</v>
      </c>
      <c r="N32" s="310" cm="1">
        <f t="array" ref="N32">SUMPRODUCT((T[نوع عملیات]="فروش") * (T[سال]=4) * (T[ماه]=M$2) * (T[روز]=$B32) * IFERROR(T[سود فروش], 0))</f>
        <v>2508500</v>
      </c>
      <c r="O32" s="312">
        <f>SUMIFS(T[قیمت کل], T[نوع عملیات], "فروش", T[سال], 4, T[ماه], O$2, T[روز], $B32)</f>
        <v>0</v>
      </c>
      <c r="P32" s="312" cm="1">
        <f t="array" ref="P32">SUMPRODUCT((T[نوع عملیات]="فروش") * (T[سال]=4) * (T[ماه]=O$2) * (T[روز]=$B32) * IFERROR(T[سود فروش], 0))</f>
        <v>0</v>
      </c>
    </row>
    <row r="33" spans="2:16" ht="16.899999999999999" x14ac:dyDescent="0.8">
      <c r="B33" s="306">
        <v>29</v>
      </c>
      <c r="C33" s="313">
        <f>SUMIFS(T[قیمت کل], T[نوع عملیات], "فروش", T[سال], 3, T[ماه], C$2, T[روز], $B33)</f>
        <v>10250000</v>
      </c>
      <c r="D33" s="313" cm="1">
        <f t="array" ref="D33">SUMPRODUCT((T[نوع عملیات]="فروش") * (T[سال]=3) * (T[ماه]=C$2) * (T[روز]=$B33) * IFERROR(T[سود فروش], 0))</f>
        <v>4325000</v>
      </c>
      <c r="E33" s="307">
        <f>SUMIFS(T[قیمت کل], T[نوع عملیات], "فروش", T[سال], 4, T[ماه], E$2, T[روز], $B33)</f>
        <v>0</v>
      </c>
      <c r="F33" s="307" cm="1">
        <f t="array" ref="F33">SUMPRODUCT((T[نوع عملیات]="فروش") * (T[سال]=4) * (T[ماه]=E$2) * (T[روز]=$B33) * IFERROR(T[سود فروش], 0))</f>
        <v>0</v>
      </c>
      <c r="G33" s="313">
        <f>SUMIFS(T[قیمت کل], T[نوع عملیات], "فروش", T[سال], 4, T[ماه], G$2, T[روز], $B33)</f>
        <v>15600000</v>
      </c>
      <c r="H33" s="313" cm="1">
        <f t="array" ref="H33">SUMPRODUCT((T[نوع عملیات]="فروش") * (T[سال]=4) * (T[ماه]=G$2) * (T[روز]=$B33) * IFERROR(T[سود فروش], 0))</f>
        <v>6351700.4830917874</v>
      </c>
      <c r="I33" s="307">
        <f>SUMIFS(T[قیمت کل], T[نوع عملیات], "فروش", T[سال], 4, T[ماه], I$2, T[روز], $B33)</f>
        <v>0</v>
      </c>
      <c r="J33" s="307" cm="1">
        <f t="array" ref="J33">SUMPRODUCT((T[نوع عملیات]="فروش") * (T[سال]=4) * (T[ماه]=I$2) * (T[روز]=$B33) * IFERROR(T[سود فروش], 0))</f>
        <v>0</v>
      </c>
      <c r="K33" s="313">
        <f>SUMIFS(T[قیمت کل], T[نوع عملیات], "فروش", T[سال], 4, T[ماه], K$2, T[روز], $B33)</f>
        <v>17000000</v>
      </c>
      <c r="L33" s="313" cm="1">
        <f t="array" ref="L33">SUMPRODUCT((T[نوع عملیات]="فروش") * (T[سال]=4) * (T[ماه]=K$2) * (T[روز]=$B33) * IFERROR(T[سود فروش], 0))</f>
        <v>4523433.4124954334</v>
      </c>
      <c r="M33" s="307">
        <f>SUMIFS(T[قیمت کل], T[نوع عملیات], "فروش", T[سال], 4, T[ماه], M$2, T[روز], $B33)</f>
        <v>0</v>
      </c>
      <c r="N33" s="307" cm="1">
        <f t="array" ref="N33">SUMPRODUCT((T[نوع عملیات]="فروش") * (T[سال]=4) * (T[ماه]=M$2) * (T[روز]=$B33) * IFERROR(T[سود فروش], 0))</f>
        <v>0</v>
      </c>
      <c r="O33" s="313">
        <f>SUMIFS(T[قیمت کل], T[نوع عملیات], "فروش", T[سال], 4, T[ماه], O$2, T[روز], $B33)</f>
        <v>0</v>
      </c>
      <c r="P33" s="313" cm="1">
        <f t="array" ref="P33">SUMPRODUCT((T[نوع عملیات]="فروش") * (T[سال]=4) * (T[ماه]=O$2) * (T[روز]=$B33) * IFERROR(T[سود فروش], 0))</f>
        <v>0</v>
      </c>
    </row>
    <row r="34" spans="2:16" ht="16.899999999999999" x14ac:dyDescent="0.8">
      <c r="B34" s="308">
        <v>30</v>
      </c>
      <c r="C34" s="312">
        <f>SUMIFS(T[قیمت کل], T[نوع عملیات], "فروش", T[سال], 3, T[ماه], C$2, T[روز], $B34)</f>
        <v>0</v>
      </c>
      <c r="D34" s="312" cm="1">
        <f t="array" ref="D34">SUMPRODUCT((T[نوع عملیات]="فروش") * (T[سال]=3) * (T[ماه]=C$2) * (T[روز]=$B34) * IFERROR(T[سود فروش], 0))</f>
        <v>0</v>
      </c>
      <c r="E34" s="310">
        <f>SUMIFS(T[قیمت کل], T[نوع عملیات], "فروش", T[سال], 4, T[ماه], E$2, T[روز], $B34)</f>
        <v>4810000</v>
      </c>
      <c r="F34" s="310" cm="1">
        <f t="array" ref="F34">SUMPRODUCT((T[نوع عملیات]="فروش") * (T[سال]=4) * (T[ماه]=E$2) * (T[روز]=$B34) * IFERROR(T[سود فروش], 0))</f>
        <v>1486666.6666666665</v>
      </c>
      <c r="G34" s="312">
        <f>SUMIFS(T[قیمت کل], T[نوع عملیات], "فروش", T[سال], 4, T[ماه], G$2, T[روز], $B34)</f>
        <v>4050000</v>
      </c>
      <c r="H34" s="312" cm="1">
        <f t="array" ref="H34">SUMPRODUCT((T[نوع عملیات]="فروش") * (T[سال]=4) * (T[ماه]=G$2) * (T[روز]=$B34) * IFERROR(T[سود فروش], 0))</f>
        <v>1173250</v>
      </c>
      <c r="I34" s="310">
        <f>SUMIFS(T[قیمت کل], T[نوع عملیات], "فروش", T[سال], 4, T[ماه], I$2, T[روز], $B34)</f>
        <v>0</v>
      </c>
      <c r="J34" s="310" cm="1">
        <f t="array" ref="J34">SUMPRODUCT((T[نوع عملیات]="فروش") * (T[سال]=4) * (T[ماه]=I$2) * (T[روز]=$B34) * IFERROR(T[سود فروش], 0))</f>
        <v>0</v>
      </c>
      <c r="K34" s="312">
        <f>SUMIFS(T[قیمت کل], T[نوع عملیات], "فروش", T[سال], 4, T[ماه], K$2, T[روز], $B34)</f>
        <v>11800000</v>
      </c>
      <c r="L34" s="312" cm="1">
        <f t="array" ref="L34">SUMPRODUCT((T[نوع عملیات]="فروش") * (T[سال]=4) * (T[ماه]=K$2) * (T[روز]=$B34) * IFERROR(T[سود فروش], 0))</f>
        <v>3710206.5217391304</v>
      </c>
      <c r="M34" s="310">
        <f>SUMIFS(T[قیمت کل], T[نوع عملیات], "فروش", T[سال], 4, T[ماه], M$2, T[روز], $B34)</f>
        <v>20400000</v>
      </c>
      <c r="N34" s="310" cm="1">
        <f t="array" ref="N34">SUMPRODUCT((T[نوع عملیات]="فروش") * (T[سال]=4) * (T[ماه]=M$2) * (T[روز]=$B34) * IFERROR(T[سود فروش], 0))</f>
        <v>6939583.333333334</v>
      </c>
      <c r="O34" s="312">
        <f>SUMIFS(T[قیمت کل], T[نوع عملیات], "فروش", T[سال], 4, T[ماه], O$2, T[روز], $B34)</f>
        <v>0</v>
      </c>
      <c r="P34" s="312" cm="1">
        <f t="array" ref="P34">SUMPRODUCT((T[نوع عملیات]="فروش") * (T[سال]=4) * (T[ماه]=O$2) * (T[روز]=$B34) * IFERROR(T[سود فروش], 0))</f>
        <v>0</v>
      </c>
    </row>
    <row r="35" spans="2:16" ht="17.25" thickBot="1" x14ac:dyDescent="0.85">
      <c r="B35" s="306">
        <v>31</v>
      </c>
      <c r="C35" s="313">
        <f>SUMIFS(T[قیمت کل], T[نوع عملیات], "فروش", T[سال], 3, T[ماه], C$2, T[روز], $B35)</f>
        <v>0</v>
      </c>
      <c r="D35" s="313" cm="1">
        <f t="array" ref="D35">SUMPRODUCT((T[نوع عملیات]="فروش") * (T[سال]=3) * (T[ماه]=C$2) * (T[روز]=$B35) * IFERROR(T[سود فروش], 0))</f>
        <v>0</v>
      </c>
      <c r="E35" s="307">
        <f>SUMIFS(T[قیمت کل], T[نوع عملیات], "فروش", T[سال], 4, T[ماه], E$2, T[روز], $B35)</f>
        <v>5400000</v>
      </c>
      <c r="F35" s="307" cm="1">
        <f t="array" ref="F35">SUMPRODUCT((T[نوع عملیات]="فروش") * (T[سال]=4) * (T[ماه]=E$2) * (T[روز]=$B35) * IFERROR(T[سود فروش], 0))</f>
        <v>1512500</v>
      </c>
      <c r="G35" s="313">
        <f>SUMIFS(T[قیمت کل], T[نوع عملیات], "فروش", T[سال], 4, T[ماه], G$2, T[روز], $B35)</f>
        <v>5350000</v>
      </c>
      <c r="H35" s="313" cm="1">
        <f t="array" ref="H35">SUMPRODUCT((T[نوع عملیات]="فروش") * (T[سال]=4) * (T[ماه]=G$2) * (T[روز]=$B35) * IFERROR(T[سود فروش], 0))</f>
        <v>1610000</v>
      </c>
      <c r="I35" s="307">
        <f>SUMIFS(T[قیمت کل], T[نوع عملیات], "فروش", T[سال], 4, T[ماه], I$2, T[روز], $B35)</f>
        <v>0</v>
      </c>
      <c r="J35" s="307" cm="1">
        <f t="array" ref="J35">SUMPRODUCT((T[نوع عملیات]="فروش") * (T[سال]=4) * (T[ماه]=I$2) * (T[روز]=$B35) * IFERROR(T[سود فروش], 0))</f>
        <v>0</v>
      </c>
      <c r="K35" s="313">
        <f>SUMIFS(T[قیمت کل], T[نوع عملیات], "فروش", T[سال], 4, T[ماه], K$2, T[روز], $B35)</f>
        <v>11300000</v>
      </c>
      <c r="L35" s="313" cm="1">
        <f t="array" ref="L35">SUMPRODUCT((T[نوع عملیات]="فروش") * (T[سال]=4) * (T[ماه]=K$2) * (T[روز]=$B35) * IFERROR(T[سود فروش], 0))</f>
        <v>3861496.3768115947</v>
      </c>
      <c r="M35" s="307">
        <f>SUMIFS(T[قیمت کل], T[نوع عملیات], "فروش", T[سال], 4, T[ماه], M$2, T[روز], $B35)</f>
        <v>4000000</v>
      </c>
      <c r="N35" s="307" cm="1">
        <f t="array" ref="N35">SUMPRODUCT((T[نوع عملیات]="فروش") * (T[سال]=4) * (T[ماه]=M$2) * (T[روز]=$B35) * IFERROR(T[سود فروش], 0))</f>
        <v>1799000</v>
      </c>
      <c r="O35" s="313">
        <f>SUMIFS(T[قیمت کل], T[نوع عملیات], "فروش", T[سال], 4, T[ماه], O$2, T[روز], $B35)</f>
        <v>0</v>
      </c>
      <c r="P35" s="313" cm="1">
        <f t="array" ref="P35">SUMPRODUCT((T[نوع عملیات]="فروش") * (T[سال]=4) * (T[ماه]=O$2) * (T[روز]=$B35) * IFERROR(T[سود فروش], 0))</f>
        <v>0</v>
      </c>
    </row>
    <row r="36" spans="2:16" ht="16.899999999999999" x14ac:dyDescent="0.8">
      <c r="B36" s="311"/>
      <c r="C36" s="321">
        <f>SUM(C5:C35)</f>
        <v>80050000</v>
      </c>
      <c r="D36" s="321">
        <f>SUM(D5:D35)</f>
        <v>39692857.142857142</v>
      </c>
      <c r="E36" s="322">
        <f t="shared" ref="E36:P36" si="5">SUM(E5:E35)</f>
        <v>44389000</v>
      </c>
      <c r="F36" s="322">
        <f t="shared" si="5"/>
        <v>19275578.431372549</v>
      </c>
      <c r="G36" s="321">
        <f t="shared" si="5"/>
        <v>131055000</v>
      </c>
      <c r="H36" s="321">
        <f t="shared" si="5"/>
        <v>48729698.008768722</v>
      </c>
      <c r="I36" s="322">
        <f t="shared" si="5"/>
        <v>135760000</v>
      </c>
      <c r="J36" s="322">
        <f t="shared" si="5"/>
        <v>52329167.956015348</v>
      </c>
      <c r="K36" s="321">
        <f t="shared" si="5"/>
        <v>134370000</v>
      </c>
      <c r="L36" s="321">
        <f t="shared" si="5"/>
        <v>45960145.619803987</v>
      </c>
      <c r="M36" s="322">
        <f t="shared" si="5"/>
        <v>183170000</v>
      </c>
      <c r="N36" s="322">
        <f t="shared" si="5"/>
        <v>67816964.942407161</v>
      </c>
      <c r="O36" s="321">
        <f t="shared" si="5"/>
        <v>30400000</v>
      </c>
      <c r="P36" s="321">
        <f t="shared" si="5"/>
        <v>10470639.915004903</v>
      </c>
    </row>
    <row r="37" spans="2:16" ht="16.899999999999999" x14ac:dyDescent="0.8">
      <c r="B37" s="340" t="s">
        <v>594</v>
      </c>
      <c r="C37" s="339">
        <f>COUNTIF(C5:C35, "&lt;&gt;0")</f>
        <v>11</v>
      </c>
      <c r="D37" s="341" t="s">
        <v>166</v>
      </c>
      <c r="E37" s="339">
        <f t="shared" ref="E37" si="6">COUNTIF(E5:E35, "&lt;&gt;0")</f>
        <v>14</v>
      </c>
      <c r="F37" s="341" t="s">
        <v>166</v>
      </c>
      <c r="G37" s="339">
        <f t="shared" ref="G37" si="7">COUNTIF(G5:G35, "&lt;&gt;0")</f>
        <v>22</v>
      </c>
      <c r="H37" s="341" t="s">
        <v>166</v>
      </c>
      <c r="I37" s="339">
        <f t="shared" ref="I37" si="8">COUNTIF(I5:I35, "&lt;&gt;0")</f>
        <v>14</v>
      </c>
      <c r="J37" s="341" t="s">
        <v>166</v>
      </c>
      <c r="K37" s="339">
        <f t="shared" ref="K37" si="9">COUNTIF(K5:K35, "&lt;&gt;0")</f>
        <v>13</v>
      </c>
      <c r="L37" s="341" t="s">
        <v>166</v>
      </c>
      <c r="M37" s="339">
        <f t="shared" ref="M37" si="10">COUNTIF(M5:M35, "&lt;&gt;0")</f>
        <v>20</v>
      </c>
      <c r="N37" s="341" t="s">
        <v>166</v>
      </c>
      <c r="O37" s="339">
        <f t="shared" ref="O37" si="11">COUNTIF(O5:O35, "&lt;&gt;0")</f>
        <v>7</v>
      </c>
      <c r="P37" s="341" t="s">
        <v>166</v>
      </c>
    </row>
  </sheetData>
  <mergeCells count="20">
    <mergeCell ref="AA2:AB2"/>
    <mergeCell ref="U2:V2"/>
    <mergeCell ref="W2:X2"/>
    <mergeCell ref="Y2:Z2"/>
    <mergeCell ref="Q2:R2"/>
    <mergeCell ref="S2:T2"/>
    <mergeCell ref="C2:D2"/>
    <mergeCell ref="E2:F2"/>
    <mergeCell ref="C3:D3"/>
    <mergeCell ref="E3:F3"/>
    <mergeCell ref="G3:H3"/>
    <mergeCell ref="M3:N3"/>
    <mergeCell ref="O3:P3"/>
    <mergeCell ref="O2:P2"/>
    <mergeCell ref="G2:H2"/>
    <mergeCell ref="I2:J2"/>
    <mergeCell ref="K2:L2"/>
    <mergeCell ref="M2:N2"/>
    <mergeCell ref="I3:J3"/>
    <mergeCell ref="K3:L3"/>
  </mergeCells>
  <pageMargins left="0.7" right="0.7" top="0.75" bottom="0.75" header="0.3" footer="0.3"/>
  <pageSetup paperSize="9" orientation="portrait" r:id="rId1"/>
  <ignoredErrors>
    <ignoredError sqref="F5:O36 F38:O53"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A308C-43AA-4059-9036-3A8A9C480AEE}">
  <sheetPr codeName="Sheet108">
    <tabColor theme="8" tint="-0.249977111117893"/>
  </sheetPr>
  <dimension ref="B1:I98"/>
  <sheetViews>
    <sheetView showGridLines="0" rightToLeft="1" workbookViewId="0">
      <selection activeCell="C66" sqref="C66"/>
    </sheetView>
  </sheetViews>
  <sheetFormatPr defaultRowHeight="14.25" x14ac:dyDescent="0.45"/>
  <cols>
    <col min="1" max="1" width="4.19921875" customWidth="1"/>
    <col min="2" max="2" width="17.6640625" bestFit="1" customWidth="1"/>
    <col min="3" max="3" width="14.73046875" style="141" customWidth="1"/>
    <col min="4" max="5" width="14.73046875" customWidth="1"/>
    <col min="6" max="6" width="13.19921875" bestFit="1" customWidth="1"/>
    <col min="7" max="7" width="25.86328125" customWidth="1"/>
    <col min="8" max="8" width="22.3984375" customWidth="1"/>
    <col min="9" max="9" width="19.265625" customWidth="1"/>
    <col min="10" max="10" width="35.265625" customWidth="1"/>
    <col min="11" max="13" width="14.1328125" customWidth="1"/>
  </cols>
  <sheetData>
    <row r="1" spans="2:9" ht="25.5" customHeight="1" thickBot="1" x14ac:dyDescent="0.5">
      <c r="B1" s="138" t="s">
        <v>128</v>
      </c>
      <c r="C1" s="167"/>
      <c r="D1" s="241" t="s">
        <v>391</v>
      </c>
      <c r="E1" s="242">
        <f>SUM(E3:E98)</f>
        <v>54830000</v>
      </c>
    </row>
    <row r="2" spans="2:9" ht="26.25" customHeight="1" thickBot="1" x14ac:dyDescent="0.5">
      <c r="B2" s="174" t="s">
        <v>126</v>
      </c>
      <c r="C2" s="171" t="s">
        <v>290</v>
      </c>
      <c r="D2" s="172" t="s">
        <v>291</v>
      </c>
      <c r="E2" s="172" t="s">
        <v>292</v>
      </c>
      <c r="F2" s="170" t="s">
        <v>294</v>
      </c>
      <c r="G2" s="170" t="s">
        <v>127</v>
      </c>
      <c r="H2" s="173" t="s">
        <v>301</v>
      </c>
      <c r="I2" s="173" t="s">
        <v>502</v>
      </c>
    </row>
    <row r="3" spans="2:9" ht="18.75" customHeight="1" x14ac:dyDescent="0.45">
      <c r="B3" s="176" t="str" cm="1">
        <f t="array" ref="B3:B82">_xlfn.UNIQUE(_xlfn._xlws.FILTER(T[فروشنده / مشتری], T[نوع عملیات]="فروش"))</f>
        <v>سحر رنگ - سالن</v>
      </c>
      <c r="C3" s="168">
        <f>SUMIFS(T[قیمت کل], T[فروشنده / مشتری], B3, T[نوع عملیات], "فروش")</f>
        <v>26450000</v>
      </c>
      <c r="D3" s="168">
        <f>SUMIFS(T[تسویه], T[فروشنده / مشتری], B3, T[نوع عملیات], "فروش") + SUMIFS(T[تسویه], T[فروشنده / مشتری], B3, T[نوع عملیات], "دریافت")</f>
        <v>26550000</v>
      </c>
      <c r="E3" s="168">
        <f>Table2[[#This Row],[کل فروش]]-Table2[[#This Row],[تسویه شده]]</f>
        <v>-100000</v>
      </c>
      <c r="F3" s="189">
        <v>9391204640</v>
      </c>
      <c r="G3" s="139" t="s">
        <v>295</v>
      </c>
      <c r="H3" s="140"/>
      <c r="I3" s="140"/>
    </row>
    <row r="4" spans="2:9" ht="18.75" hidden="1" customHeight="1" x14ac:dyDescent="0.45">
      <c r="B4" s="175" t="str">
        <v>تی تی - سالن</v>
      </c>
      <c r="C4" s="168">
        <f>SUMIFS(T[قیمت کل], T[فروشنده / مشتری], B4, T[نوع عملیات], "فروش")</f>
        <v>4000000</v>
      </c>
      <c r="D4" s="168">
        <f>SUMIFS(T[تسویه], T[فروشنده / مشتری], B4, T[نوع عملیات], "فروش") + SUMIFS(T[تسویه], T[فروشنده / مشتری], B4, T[نوع عملیات], "دریافت")</f>
        <v>4000000</v>
      </c>
      <c r="E4" s="168">
        <f>Table2[[#This Row],[کل فروش]]-Table2[[#This Row],[تسویه شده]]</f>
        <v>0</v>
      </c>
      <c r="F4" s="189"/>
      <c r="G4" s="139" t="s">
        <v>295</v>
      </c>
      <c r="H4" s="140"/>
      <c r="I4" s="140"/>
    </row>
    <row r="5" spans="2:9" ht="18.75" hidden="1" customHeight="1" x14ac:dyDescent="0.45">
      <c r="B5" s="176" t="str">
        <v>ملیکا ناخن - سالن</v>
      </c>
      <c r="C5" s="168">
        <f>SUMIFS(T[قیمت کل], T[فروشنده / مشتری], B5, T[نوع عملیات], "فروش")</f>
        <v>8600000</v>
      </c>
      <c r="D5" s="168">
        <f>SUMIFS(T[تسویه], T[فروشنده / مشتری], B5, T[نوع عملیات], "فروش") + SUMIFS(T[تسویه], T[فروشنده / مشتری], B5, T[نوع عملیات], "دریافت")</f>
        <v>8600000</v>
      </c>
      <c r="E5" s="168">
        <f>Table2[[#This Row],[کل فروش]]-Table2[[#This Row],[تسویه شده]]</f>
        <v>0</v>
      </c>
      <c r="F5" s="189"/>
      <c r="G5" s="139" t="s">
        <v>295</v>
      </c>
      <c r="H5" s="140"/>
      <c r="I5" s="140"/>
    </row>
    <row r="6" spans="2:9" ht="18.75" hidden="1" customHeight="1" x14ac:dyDescent="0.45">
      <c r="B6" s="175" t="str">
        <v>زهرا ناحن - سالن</v>
      </c>
      <c r="C6" s="168">
        <f>SUMIFS(T[قیمت کل], T[فروشنده / مشتری], B6, T[نوع عملیات], "فروش")</f>
        <v>6000000</v>
      </c>
      <c r="D6" s="168">
        <f>SUMIFS(T[تسویه], T[فروشنده / مشتری], B6, T[نوع عملیات], "فروش") + SUMIFS(T[تسویه], T[فروشنده / مشتری], B6, T[نوع عملیات], "دریافت")</f>
        <v>6000000</v>
      </c>
      <c r="E6" s="168">
        <f>Table2[[#This Row],[کل فروش]]-Table2[[#This Row],[تسویه شده]]</f>
        <v>0</v>
      </c>
      <c r="F6" s="189"/>
      <c r="G6" s="139" t="s">
        <v>296</v>
      </c>
      <c r="H6" s="140"/>
      <c r="I6" s="140"/>
    </row>
    <row r="7" spans="2:9" ht="18.75" hidden="1" customHeight="1" x14ac:dyDescent="0.45">
      <c r="B7" s="176" t="str">
        <v>نازنین</v>
      </c>
      <c r="C7" s="168">
        <f>SUMIFS(T[قیمت کل], T[فروشنده / مشتری], B7, T[نوع عملیات], "فروش")</f>
        <v>13750000</v>
      </c>
      <c r="D7" s="168">
        <f>SUMIFS(T[تسویه], T[فروشنده / مشتری], B7, T[نوع عملیات], "فروش") + SUMIFS(T[تسویه], T[فروشنده / مشتری], B7, T[نوع عملیات], "دریافت")</f>
        <v>13750000</v>
      </c>
      <c r="E7" s="168">
        <f>Table2[[#This Row],[کل فروش]]-Table2[[#This Row],[تسویه شده]]</f>
        <v>0</v>
      </c>
      <c r="F7" s="189"/>
      <c r="G7" s="139" t="s">
        <v>295</v>
      </c>
      <c r="H7" s="140"/>
      <c r="I7" s="140"/>
    </row>
    <row r="8" spans="2:9" ht="18.75" customHeight="1" x14ac:dyDescent="0.45">
      <c r="B8" s="175" t="str">
        <v>سرورجون - سالن</v>
      </c>
      <c r="C8" s="168">
        <f>SUMIFS(T[قیمت کل], T[فروشنده / مشتری], B8, T[نوع عملیات], "فروش")</f>
        <v>30500000</v>
      </c>
      <c r="D8" s="168">
        <f>SUMIFS(T[تسویه], T[فروشنده / مشتری], B8, T[نوع عملیات], "فروش") + SUMIFS(T[تسویه], T[فروشنده / مشتری], B8, T[نوع عملیات], "دریافت")</f>
        <v>28200000</v>
      </c>
      <c r="E8" s="168">
        <f>Table2[[#This Row],[کل فروش]]-Table2[[#This Row],[تسویه شده]]</f>
        <v>2300000</v>
      </c>
      <c r="F8" s="189"/>
      <c r="G8" s="139" t="s">
        <v>295</v>
      </c>
      <c r="H8" s="140"/>
      <c r="I8" s="140"/>
    </row>
    <row r="9" spans="2:9" ht="18.75" customHeight="1" x14ac:dyDescent="0.45">
      <c r="B9" s="176" t="str">
        <v>فریماه صندوق - سالن</v>
      </c>
      <c r="C9" s="168">
        <f>SUMIFS(T[قیمت کل], T[فروشنده / مشتری], B9, T[نوع عملیات], "فروش")</f>
        <v>2850000</v>
      </c>
      <c r="D9" s="168">
        <f>SUMIFS(T[تسویه], T[فروشنده / مشتری], B9, T[نوع عملیات], "فروش") + SUMIFS(T[تسویه], T[فروشنده / مشتری], B9, T[نوع عملیات], "دریافت")</f>
        <v>1600000</v>
      </c>
      <c r="E9" s="168">
        <f>Table2[[#This Row],[کل فروش]]-Table2[[#This Row],[تسویه شده]]</f>
        <v>1250000</v>
      </c>
      <c r="F9" s="189"/>
      <c r="G9" s="139"/>
      <c r="H9" s="140"/>
      <c r="I9" s="140"/>
    </row>
    <row r="10" spans="2:9" ht="18.75" customHeight="1" x14ac:dyDescent="0.45">
      <c r="B10" s="175" t="str">
        <v>متفرقه</v>
      </c>
      <c r="C10" s="168">
        <f>SUMIFS(T[قیمت کل], T[فروشنده / مشتری], B10, T[نوع عملیات], "فروش")</f>
        <v>261335000</v>
      </c>
      <c r="D10" s="168">
        <f>SUMIFS(T[تسویه], T[فروشنده / مشتری], B10, T[نوع عملیات], "فروش") + SUMIFS(T[تسویه], T[فروشنده / مشتری], B10, T[نوع عملیات], "دریافت")</f>
        <v>260835000</v>
      </c>
      <c r="E10" s="168">
        <f>Table2[[#This Row],[کل فروش]]-Table2[[#This Row],[تسویه شده]]</f>
        <v>500000</v>
      </c>
      <c r="F10" s="189"/>
      <c r="G10" s="139"/>
      <c r="H10" s="140"/>
      <c r="I10" s="140"/>
    </row>
    <row r="11" spans="2:9" ht="18.75" customHeight="1" x14ac:dyDescent="0.45">
      <c r="B11" s="176" t="str">
        <v>هنگامه بهزادی</v>
      </c>
      <c r="C11" s="168">
        <f>SUMIFS(T[قیمت کل], T[فروشنده / مشتری], B11, T[نوع عملیات], "فروش")</f>
        <v>11850000</v>
      </c>
      <c r="D11" s="168">
        <f>SUMIFS(T[تسویه], T[فروشنده / مشتری], B11, T[نوع عملیات], "فروش") + SUMIFS(T[تسویه], T[فروشنده / مشتری], B11, T[نوع عملیات], "دریافت")</f>
        <v>12450000</v>
      </c>
      <c r="E11" s="168">
        <f>Table2[[#This Row],[کل فروش]]-Table2[[#This Row],[تسویه شده]]</f>
        <v>-600000</v>
      </c>
      <c r="F11" s="189"/>
      <c r="G11" s="139"/>
      <c r="H11" s="140"/>
      <c r="I11" s="140"/>
    </row>
    <row r="12" spans="2:9" ht="18.75" customHeight="1" x14ac:dyDescent="0.45">
      <c r="B12" s="175" t="str">
        <v>مهناز مژه - سالن</v>
      </c>
      <c r="C12" s="168">
        <f>SUMIFS(T[قیمت کل], T[فروشنده / مشتری], B12, T[نوع عملیات], "فروش")</f>
        <v>12750000</v>
      </c>
      <c r="D12" s="168">
        <f>SUMIFS(T[تسویه], T[فروشنده / مشتری], B12, T[نوع عملیات], "فروش") + SUMIFS(T[تسویه], T[فروشنده / مشتری], B12, T[نوع عملیات], "دریافت")</f>
        <v>5500000</v>
      </c>
      <c r="E12" s="168">
        <f>Table2[[#This Row],[کل فروش]]-Table2[[#This Row],[تسویه شده]]</f>
        <v>7250000</v>
      </c>
      <c r="F12" s="189"/>
      <c r="G12" s="139"/>
      <c r="H12" s="140"/>
      <c r="I12" s="140"/>
    </row>
    <row r="13" spans="2:9" ht="18.75" customHeight="1" x14ac:dyDescent="0.45">
      <c r="B13" s="176" t="str">
        <v>فرشته ناخن - سالن</v>
      </c>
      <c r="C13" s="168">
        <f>SUMIFS(T[قیمت کل], T[فروشنده / مشتری], B13, T[نوع عملیات], "فروش")</f>
        <v>25050000</v>
      </c>
      <c r="D13" s="168">
        <f>SUMIFS(T[تسویه], T[فروشنده / مشتری], B13, T[نوع عملیات], "فروش") + SUMIFS(T[تسویه], T[فروشنده / مشتری], B13, T[نوع عملیات], "دریافت")</f>
        <v>15000000</v>
      </c>
      <c r="E13" s="168">
        <f>Table2[[#This Row],[کل فروش]]-Table2[[#This Row],[تسویه شده]]</f>
        <v>10050000</v>
      </c>
      <c r="F13" s="189"/>
      <c r="G13" s="139"/>
      <c r="H13" s="140"/>
      <c r="I13" s="140"/>
    </row>
    <row r="14" spans="2:9" ht="18.75" hidden="1" customHeight="1" x14ac:dyDescent="0.45">
      <c r="B14" s="175" t="str">
        <v>نیلوفر - سالن</v>
      </c>
      <c r="C14" s="168">
        <f>SUMIFS(T[قیمت کل], T[فروشنده / مشتری], B14, T[نوع عملیات], "فروش")</f>
        <v>2200000</v>
      </c>
      <c r="D14" s="168">
        <f>SUMIFS(T[تسویه], T[فروشنده / مشتری], B14, T[نوع عملیات], "فروش") + SUMIFS(T[تسویه], T[فروشنده / مشتری], B14, T[نوع عملیات], "دریافت")</f>
        <v>2200000</v>
      </c>
      <c r="E14" s="168">
        <f>Table2[[#This Row],[کل فروش]]-Table2[[#This Row],[تسویه شده]]</f>
        <v>0</v>
      </c>
      <c r="F14" s="189"/>
      <c r="G14" s="139"/>
      <c r="H14" s="140"/>
      <c r="I14" s="140"/>
    </row>
    <row r="15" spans="2:9" ht="18.75" customHeight="1" x14ac:dyDescent="0.45">
      <c r="B15" s="176" t="str">
        <v>مهشید خدمه - سالن</v>
      </c>
      <c r="C15" s="168">
        <f>SUMIFS(T[قیمت کل], T[فروشنده / مشتری], B15, T[نوع عملیات], "فروش")</f>
        <v>3500000</v>
      </c>
      <c r="D15" s="168">
        <f>SUMIFS(T[تسویه], T[فروشنده / مشتری], B15, T[نوع عملیات], "فروش") + SUMIFS(T[تسویه], T[فروشنده / مشتری], B15, T[نوع عملیات], "دریافت")</f>
        <v>3200000</v>
      </c>
      <c r="E15" s="168">
        <f>Table2[[#This Row],[کل فروش]]-Table2[[#This Row],[تسویه شده]]</f>
        <v>300000</v>
      </c>
      <c r="F15" s="189"/>
      <c r="G15" s="139"/>
      <c r="H15" s="140"/>
      <c r="I15" s="140"/>
    </row>
    <row r="16" spans="2:9" ht="18.75" hidden="1" customHeight="1" x14ac:dyDescent="0.45">
      <c r="B16" s="175" t="str">
        <v>فاطمه - سالن</v>
      </c>
      <c r="C16" s="168">
        <f>SUMIFS(T[قیمت کل], T[فروشنده / مشتری], B16, T[نوع عملیات], "فروش")</f>
        <v>1650000</v>
      </c>
      <c r="D16" s="168">
        <f>SUMIFS(T[تسویه], T[فروشنده / مشتری], B16, T[نوع عملیات], "فروش") + SUMIFS(T[تسویه], T[فروشنده / مشتری], B16, T[نوع عملیات], "دریافت")</f>
        <v>1650000</v>
      </c>
      <c r="E16" s="168">
        <f>Table2[[#This Row],[کل فروش]]-Table2[[#This Row],[تسویه شده]]</f>
        <v>0</v>
      </c>
      <c r="F16" s="189"/>
      <c r="G16" s="139" t="s">
        <v>310</v>
      </c>
      <c r="H16" s="140"/>
      <c r="I16" s="140"/>
    </row>
    <row r="17" spans="2:9" ht="18.75" customHeight="1" x14ac:dyDescent="0.45">
      <c r="B17" s="176" t="str">
        <v>فرشته (نهال) - سالن</v>
      </c>
      <c r="C17" s="168">
        <f>SUMIFS(T[قیمت کل], T[فروشنده / مشتری], B17, T[نوع عملیات], "فروش")</f>
        <v>14050000</v>
      </c>
      <c r="D17" s="168">
        <f>SUMIFS(T[تسویه], T[فروشنده / مشتری], B17, T[نوع عملیات], "فروش") + SUMIFS(T[تسویه], T[فروشنده / مشتری], B17, T[نوع عملیات], "دریافت")</f>
        <v>12970000</v>
      </c>
      <c r="E17" s="168">
        <f>Table2[[#This Row],[کل فروش]]-Table2[[#This Row],[تسویه شده]]</f>
        <v>1080000</v>
      </c>
      <c r="F17" s="189"/>
      <c r="G17" s="139"/>
      <c r="H17" s="140"/>
      <c r="I17" s="140"/>
    </row>
    <row r="18" spans="2:9" ht="18.75" hidden="1" customHeight="1" x14ac:dyDescent="0.45">
      <c r="B18" s="175" t="str">
        <v>فاطیما</v>
      </c>
      <c r="C18" s="168">
        <f>SUMIFS(T[قیمت کل], T[فروشنده / مشتری], B18, T[نوع عملیات], "فروش")</f>
        <v>4000000</v>
      </c>
      <c r="D18" s="168">
        <f>SUMIFS(T[تسویه], T[فروشنده / مشتری], B18, T[نوع عملیات], "فروش") + SUMIFS(T[تسویه], T[فروشنده / مشتری], B18, T[نوع عملیات], "دریافت")</f>
        <v>4000000</v>
      </c>
      <c r="E18" s="168">
        <f>Table2[[#This Row],[کل فروش]]-Table2[[#This Row],[تسویه شده]]</f>
        <v>0</v>
      </c>
      <c r="F18" s="189"/>
      <c r="G18" s="139"/>
      <c r="H18" s="140"/>
      <c r="I18" s="140"/>
    </row>
    <row r="19" spans="2:9" ht="18.75" customHeight="1" x14ac:dyDescent="0.45">
      <c r="B19" s="176" t="str">
        <v>هستی</v>
      </c>
      <c r="C19" s="168">
        <f>SUMIFS(T[قیمت کل], T[فروشنده / مشتری], B19, T[نوع عملیات], "فروش")</f>
        <v>5100000</v>
      </c>
      <c r="D19" s="168">
        <f>SUMIFS(T[تسویه], T[فروشنده / مشتری], B19, T[نوع عملیات], "فروش") + SUMIFS(T[تسویه], T[فروشنده / مشتری], B19, T[نوع عملیات], "دریافت")</f>
        <v>3000000</v>
      </c>
      <c r="E19" s="168">
        <f>Table2[[#This Row],[کل فروش]]-Table2[[#This Row],[تسویه شده]]</f>
        <v>2100000</v>
      </c>
      <c r="F19" s="189"/>
      <c r="G19" s="139"/>
      <c r="H19" s="140"/>
      <c r="I19" s="140"/>
    </row>
    <row r="20" spans="2:9" ht="18.75" customHeight="1" x14ac:dyDescent="0.45">
      <c r="B20" s="175" t="str">
        <v>سوگل رنگ - سالن</v>
      </c>
      <c r="C20" s="168">
        <f>SUMIFS(T[قیمت کل], T[فروشنده / مشتری], B20, T[نوع عملیات], "فروش")</f>
        <v>8470000</v>
      </c>
      <c r="D20" s="168">
        <f>SUMIFS(T[تسویه], T[فروشنده / مشتری], B20, T[نوع عملیات], "فروش") + SUMIFS(T[تسویه], T[فروشنده / مشتری], B20, T[نوع عملیات], "دریافت")</f>
        <v>6900000</v>
      </c>
      <c r="E20" s="168">
        <f>Table2[[#This Row],[کل فروش]]-Table2[[#This Row],[تسویه شده]]</f>
        <v>1570000</v>
      </c>
      <c r="F20" s="189"/>
      <c r="G20" s="139"/>
      <c r="H20" s="140"/>
      <c r="I20" s="140"/>
    </row>
    <row r="21" spans="2:9" ht="18.75" hidden="1" customHeight="1" x14ac:dyDescent="0.45">
      <c r="B21" s="176" t="str">
        <v>نرگس - سالن</v>
      </c>
      <c r="C21" s="168">
        <f>SUMIFS(T[قیمت کل], T[فروشنده / مشتری], B21, T[نوع عملیات], "فروش")</f>
        <v>1100000</v>
      </c>
      <c r="D21" s="168">
        <f>SUMIFS(T[تسویه], T[فروشنده / مشتری], B21, T[نوع عملیات], "فروش") + SUMIFS(T[تسویه], T[فروشنده / مشتری], B21, T[نوع عملیات], "دریافت")</f>
        <v>1100000</v>
      </c>
      <c r="E21" s="168">
        <f>Table2[[#This Row],[کل فروش]]-Table2[[#This Row],[تسویه شده]]</f>
        <v>0</v>
      </c>
      <c r="F21" s="189" t="s">
        <v>318</v>
      </c>
      <c r="G21" s="139" t="s">
        <v>317</v>
      </c>
      <c r="H21" s="140"/>
      <c r="I21" s="140"/>
    </row>
    <row r="22" spans="2:9" ht="18.75" hidden="1" customHeight="1" x14ac:dyDescent="0.45">
      <c r="B22" s="175" t="str">
        <v>میترا جون و دخترش</v>
      </c>
      <c r="C22" s="168">
        <f>SUMIFS(T[قیمت کل], T[فروشنده / مشتری], B22, T[نوع عملیات], "فروش")</f>
        <v>2800000</v>
      </c>
      <c r="D22" s="168">
        <f>SUMIFS(T[تسویه], T[فروشنده / مشتری], B22, T[نوع عملیات], "فروش") + SUMIFS(T[تسویه], T[فروشنده / مشتری], B22, T[نوع عملیات], "دریافت")</f>
        <v>2800000</v>
      </c>
      <c r="E22" s="168">
        <f>Table2[[#This Row],[کل فروش]]-Table2[[#This Row],[تسویه شده]]</f>
        <v>0</v>
      </c>
      <c r="F22" s="189"/>
      <c r="G22" s="139" t="s">
        <v>315</v>
      </c>
      <c r="H22" s="140"/>
      <c r="I22" s="140"/>
    </row>
    <row r="23" spans="2:9" ht="18.75" hidden="1" customHeight="1" x14ac:dyDescent="0.45">
      <c r="B23" s="176" t="str">
        <v>آزیتا</v>
      </c>
      <c r="C23" s="168">
        <f>SUMIFS(T[قیمت کل], T[فروشنده / مشتری], B23, T[نوع عملیات], "فروش")</f>
        <v>100000</v>
      </c>
      <c r="D23" s="168">
        <f>SUMIFS(T[تسویه], T[فروشنده / مشتری], B23, T[نوع عملیات], "فروش") + SUMIFS(T[تسویه], T[فروشنده / مشتری], B23, T[نوع عملیات], "دریافت")</f>
        <v>100000</v>
      </c>
      <c r="E23" s="168">
        <f>Table2[[#This Row],[کل فروش]]-Table2[[#This Row],[تسویه شده]]</f>
        <v>0</v>
      </c>
      <c r="F23" s="189"/>
      <c r="G23" s="139"/>
      <c r="H23" s="140"/>
      <c r="I23" s="140"/>
    </row>
    <row r="24" spans="2:9" ht="18.75" hidden="1" customHeight="1" x14ac:dyDescent="0.45">
      <c r="B24" s="175" t="str">
        <v>خانم طایفی</v>
      </c>
      <c r="C24" s="168">
        <f>SUMIFS(T[قیمت کل], T[فروشنده / مشتری], B24, T[نوع عملیات], "فروش")</f>
        <v>5350000</v>
      </c>
      <c r="D24" s="168">
        <f>SUMIFS(T[تسویه], T[فروشنده / مشتری], B24, T[نوع عملیات], "فروش") + SUMIFS(T[تسویه], T[فروشنده / مشتری], B24, T[نوع عملیات], "دریافت")</f>
        <v>5350000</v>
      </c>
      <c r="E24" s="168">
        <f>Table2[[#This Row],[کل فروش]]-Table2[[#This Row],[تسویه شده]]</f>
        <v>0</v>
      </c>
      <c r="F24" s="189"/>
      <c r="G24" s="139"/>
      <c r="H24" s="140"/>
      <c r="I24" s="140"/>
    </row>
    <row r="25" spans="2:9" ht="18.75" customHeight="1" x14ac:dyDescent="0.45">
      <c r="B25" s="176" t="str">
        <v>مریم رنگ - سالن</v>
      </c>
      <c r="C25" s="168">
        <f>SUMIFS(T[قیمت کل], T[فروشنده / مشتری], B25, T[نوع عملیات], "فروش")</f>
        <v>11050000</v>
      </c>
      <c r="D25" s="168">
        <f>SUMIFS(T[تسویه], T[فروشنده / مشتری], B25, T[نوع عملیات], "فروش") + SUMIFS(T[تسویه], T[فروشنده / مشتری], B25, T[نوع عملیات], "دریافت")</f>
        <v>9100000</v>
      </c>
      <c r="E25" s="168">
        <f>Table2[[#This Row],[کل فروش]]-Table2[[#This Row],[تسویه شده]]</f>
        <v>1950000</v>
      </c>
      <c r="F25" s="189"/>
      <c r="G25" s="139"/>
      <c r="H25" s="140"/>
      <c r="I25" s="140"/>
    </row>
    <row r="26" spans="2:9" ht="18.75" customHeight="1" x14ac:dyDescent="0.45">
      <c r="B26" s="175" t="str">
        <v>میترا - سالن</v>
      </c>
      <c r="C26" s="168">
        <f>SUMIFS(T[قیمت کل], T[فروشنده / مشتری], B26, T[نوع عملیات], "فروش")</f>
        <v>9200000</v>
      </c>
      <c r="D26" s="168">
        <f>SUMIFS(T[تسویه], T[فروشنده / مشتری], B26, T[نوع عملیات], "فروش") + SUMIFS(T[تسویه], T[فروشنده / مشتری], B26, T[نوع عملیات], "دریافت")</f>
        <v>7150000</v>
      </c>
      <c r="E26" s="168">
        <f>Table2[[#This Row],[کل فروش]]-Table2[[#This Row],[تسویه شده]]</f>
        <v>2050000</v>
      </c>
      <c r="F26" s="189"/>
      <c r="G26" s="139"/>
      <c r="H26" s="140"/>
      <c r="I26" s="140"/>
    </row>
    <row r="27" spans="2:9" ht="18.75" hidden="1" customHeight="1" x14ac:dyDescent="0.45">
      <c r="B27" s="176" t="str">
        <v>خانم اقبالی - سالن</v>
      </c>
      <c r="C27" s="168">
        <f>SUMIFS(T[قیمت کل], T[فروشنده / مشتری], B27, T[نوع عملیات], "فروش")</f>
        <v>1500000</v>
      </c>
      <c r="D27" s="168">
        <f>SUMIFS(T[تسویه], T[فروشنده / مشتری], B27, T[نوع عملیات], "فروش") + SUMIFS(T[تسویه], T[فروشنده / مشتری], B27, T[نوع عملیات], "دریافت")</f>
        <v>1500000</v>
      </c>
      <c r="E27" s="168">
        <f>Table2[[#This Row],[کل فروش]]-Table2[[#This Row],[تسویه شده]]</f>
        <v>0</v>
      </c>
      <c r="F27" s="189"/>
      <c r="G27" s="139"/>
      <c r="H27" s="140"/>
      <c r="I27" s="140"/>
    </row>
    <row r="28" spans="2:9" ht="18.75" customHeight="1" x14ac:dyDescent="0.45">
      <c r="B28" s="175" t="str">
        <v>گندم - سالن</v>
      </c>
      <c r="C28" s="168">
        <f>SUMIFS(T[قیمت کل], T[فروشنده / مشتری], B28, T[نوع عملیات], "فروش")</f>
        <v>14450000</v>
      </c>
      <c r="D28" s="168">
        <f>SUMIFS(T[تسویه], T[فروشنده / مشتری], B28, T[نوع عملیات], "فروش") + SUMIFS(T[تسویه], T[فروشنده / مشتری], B28, T[نوع عملیات], "دریافت")</f>
        <v>17650000</v>
      </c>
      <c r="E28" s="168">
        <f>Table2[[#This Row],[کل فروش]]-Table2[[#This Row],[تسویه شده]]</f>
        <v>-3200000</v>
      </c>
      <c r="F28" s="189"/>
      <c r="G28" s="139"/>
      <c r="H28" s="140"/>
      <c r="I28" s="140"/>
    </row>
    <row r="29" spans="2:9" ht="18.75" customHeight="1" x14ac:dyDescent="0.45">
      <c r="B29" s="176" t="str">
        <v>عاطفه</v>
      </c>
      <c r="C29" s="168">
        <f>SUMIFS(T[قیمت کل], T[فروشنده / مشتری], B29, T[نوع عملیات], "فروش")</f>
        <v>13400000</v>
      </c>
      <c r="D29" s="168">
        <f>SUMIFS(T[تسویه], T[فروشنده / مشتری], B29, T[نوع عملیات], "فروش") + SUMIFS(T[تسویه], T[فروشنده / مشتری], B29, T[نوع عملیات], "دریافت")</f>
        <v>8200000</v>
      </c>
      <c r="E29" s="168">
        <f>Table2[[#This Row],[کل فروش]]-Table2[[#This Row],[تسویه شده]]</f>
        <v>5200000</v>
      </c>
      <c r="F29" s="189"/>
      <c r="G29" s="139"/>
      <c r="H29" s="140"/>
      <c r="I29" s="140"/>
    </row>
    <row r="30" spans="2:9" ht="18.75" hidden="1" customHeight="1" x14ac:dyDescent="0.45">
      <c r="B30" s="175" t="str">
        <v>آرزو دوست عاطفه</v>
      </c>
      <c r="C30" s="168">
        <f>SUMIFS(T[قیمت کل], T[فروشنده / مشتری], B30, T[نوع عملیات], "فروش")</f>
        <v>1200000</v>
      </c>
      <c r="D30" s="168">
        <f>SUMIFS(T[تسویه], T[فروشنده / مشتری], B30, T[نوع عملیات], "فروش") + SUMIFS(T[تسویه], T[فروشنده / مشتری], B30, T[نوع عملیات], "دریافت")</f>
        <v>1200000</v>
      </c>
      <c r="E30" s="168">
        <f>Table2[[#This Row],[کل فروش]]-Table2[[#This Row],[تسویه شده]]</f>
        <v>0</v>
      </c>
      <c r="F30" s="189"/>
      <c r="G30" s="139"/>
      <c r="H30" s="140"/>
      <c r="I30" s="140"/>
    </row>
    <row r="31" spans="2:9" ht="18.75" customHeight="1" x14ac:dyDescent="0.45">
      <c r="B31" s="176" t="str">
        <v>سوگل مژه - سالن</v>
      </c>
      <c r="C31" s="168">
        <f>SUMIFS(T[قیمت کل], T[فروشنده / مشتری], B31, T[نوع عملیات], "فروش")</f>
        <v>5919000</v>
      </c>
      <c r="D31" s="168">
        <f>SUMIFS(T[تسویه], T[فروشنده / مشتری], B31, T[نوع عملیات], "فروش") + SUMIFS(T[تسویه], T[فروشنده / مشتری], B31, T[نوع عملیات], "دریافت")</f>
        <v>3839000</v>
      </c>
      <c r="E31" s="168">
        <f>Table2[[#This Row],[کل فروش]]-Table2[[#This Row],[تسویه شده]]</f>
        <v>2080000</v>
      </c>
      <c r="F31" s="189"/>
      <c r="G31" s="139"/>
      <c r="H31" s="140"/>
      <c r="I31" s="140"/>
    </row>
    <row r="32" spans="2:9" ht="18.75" hidden="1" customHeight="1" x14ac:dyDescent="0.45">
      <c r="B32" s="175" t="str">
        <v>الهه - سالن</v>
      </c>
      <c r="C32" s="168">
        <f>SUMIFS(T[قیمت کل], T[فروشنده / مشتری], B32, T[نوع عملیات], "فروش")</f>
        <v>7270000</v>
      </c>
      <c r="D32" s="168">
        <f>SUMIFS(T[تسویه], T[فروشنده / مشتری], B32, T[نوع عملیات], "فروش") + SUMIFS(T[تسویه], T[فروشنده / مشتری], B32, T[نوع عملیات], "دریافت")</f>
        <v>7270000</v>
      </c>
      <c r="E32" s="168">
        <f>Table2[[#This Row],[کل فروش]]-Table2[[#This Row],[تسویه شده]]</f>
        <v>0</v>
      </c>
      <c r="F32" s="189"/>
      <c r="G32" s="139"/>
      <c r="H32" s="140"/>
      <c r="I32" s="140"/>
    </row>
    <row r="33" spans="2:9" ht="18.75" hidden="1" customHeight="1" x14ac:dyDescent="0.45">
      <c r="B33" s="176" t="str">
        <v>سمیرا - سالن</v>
      </c>
      <c r="C33" s="168">
        <f>SUMIFS(T[قیمت کل], T[فروشنده / مشتری], B33, T[نوع عملیات], "فروش")</f>
        <v>4300000</v>
      </c>
      <c r="D33" s="168">
        <f>SUMIFS(T[تسویه], T[فروشنده / مشتری], B33, T[نوع عملیات], "فروش") + SUMIFS(T[تسویه], T[فروشنده / مشتری], B33, T[نوع عملیات], "دریافت")</f>
        <v>4300000</v>
      </c>
      <c r="E33" s="168">
        <f>Table2[[#This Row],[کل فروش]]-Table2[[#This Row],[تسویه شده]]</f>
        <v>0</v>
      </c>
      <c r="F33" s="189"/>
      <c r="G33" s="139"/>
      <c r="H33" s="140"/>
      <c r="I33" s="140"/>
    </row>
    <row r="34" spans="2:9" ht="18.75" hidden="1" customHeight="1" x14ac:dyDescent="0.45">
      <c r="B34" s="175" t="str">
        <v>پرستو - سالن</v>
      </c>
      <c r="C34" s="168">
        <f>SUMIFS(T[قیمت کل], T[فروشنده / مشتری], B34, T[نوع عملیات], "فروش")</f>
        <v>920000</v>
      </c>
      <c r="D34" s="168">
        <f>SUMIFS(T[تسویه], T[فروشنده / مشتری], B34, T[نوع عملیات], "فروش") + SUMIFS(T[تسویه], T[فروشنده / مشتری], B34, T[نوع عملیات], "دریافت")</f>
        <v>920000</v>
      </c>
      <c r="E34" s="168">
        <f>Table2[[#This Row],[کل فروش]]-Table2[[#This Row],[تسویه شده]]</f>
        <v>0</v>
      </c>
      <c r="F34" s="189"/>
      <c r="G34" s="139"/>
      <c r="H34" s="140"/>
      <c r="I34" s="140"/>
    </row>
    <row r="35" spans="2:9" ht="18.75" customHeight="1" x14ac:dyDescent="0.45">
      <c r="B35" s="176" t="str">
        <v>مهدیه صندوق - سالن</v>
      </c>
      <c r="C35" s="168">
        <f>SUMIFS(T[قیمت کل], T[فروشنده / مشتری], B35, T[نوع عملیات], "فروش")</f>
        <v>11200000</v>
      </c>
      <c r="D35" s="168">
        <f>SUMIFS(T[تسویه], T[فروشنده / مشتری], B35, T[نوع عملیات], "فروش") + SUMIFS(T[تسویه], T[فروشنده / مشتری], B35, T[نوع عملیات], "دریافت")</f>
        <v>12550000</v>
      </c>
      <c r="E35" s="168">
        <f>Table2[[#This Row],[کل فروش]]-Table2[[#This Row],[تسویه شده]]</f>
        <v>-1350000</v>
      </c>
      <c r="F35" s="189"/>
      <c r="G35" s="139"/>
      <c r="H35" s="140"/>
      <c r="I35" s="140"/>
    </row>
    <row r="36" spans="2:9" ht="18.75" hidden="1" customHeight="1" x14ac:dyDescent="0.45">
      <c r="B36" s="175" t="str">
        <v>شهرزاد ناخن - سالن</v>
      </c>
      <c r="C36" s="168">
        <f>SUMIFS(T[قیمت کل], T[فروشنده / مشتری], B36, T[نوع عملیات], "فروش")</f>
        <v>18100000</v>
      </c>
      <c r="D36" s="168">
        <f>SUMIFS(T[تسویه], T[فروشنده / مشتری], B36, T[نوع عملیات], "فروش") + SUMIFS(T[تسویه], T[فروشنده / مشتری], B36, T[نوع عملیات], "دریافت")</f>
        <v>18100000</v>
      </c>
      <c r="E36" s="168">
        <f>Table2[[#This Row],[کل فروش]]-Table2[[#This Row],[تسویه شده]]</f>
        <v>0</v>
      </c>
      <c r="F36" s="189"/>
      <c r="G36" s="139"/>
      <c r="H36" s="140"/>
      <c r="I36" s="140"/>
    </row>
    <row r="37" spans="2:9" ht="18.75" hidden="1" customHeight="1" x14ac:dyDescent="0.45">
      <c r="B37" s="176" t="str">
        <v>مهسا - سالن</v>
      </c>
      <c r="C37" s="168">
        <f>SUMIFS(T[قیمت کل], T[فروشنده / مشتری], B37, T[نوع عملیات], "فروش")</f>
        <v>2230000</v>
      </c>
      <c r="D37" s="168">
        <f>SUMIFS(T[تسویه], T[فروشنده / مشتری], B37, T[نوع عملیات], "فروش") + SUMIFS(T[تسویه], T[فروشنده / مشتری], B37, T[نوع عملیات], "دریافت")</f>
        <v>2230000</v>
      </c>
      <c r="E37" s="168">
        <f>Table2[[#This Row],[کل فروش]]-Table2[[#This Row],[تسویه شده]]</f>
        <v>0</v>
      </c>
      <c r="F37" s="189"/>
      <c r="G37" s="139"/>
      <c r="H37" s="140"/>
      <c r="I37" s="140"/>
    </row>
    <row r="38" spans="2:9" ht="18.75" hidden="1" customHeight="1" x14ac:dyDescent="0.45">
      <c r="B38" s="175" t="str">
        <v>سوسن - خدمه</v>
      </c>
      <c r="C38" s="168">
        <f>SUMIFS(T[قیمت کل], T[فروشنده / مشتری], B38, T[نوع عملیات], "فروش")</f>
        <v>2350000</v>
      </c>
      <c r="D38" s="168">
        <f>SUMIFS(T[تسویه], T[فروشنده / مشتری], B38, T[نوع عملیات], "فروش") + SUMIFS(T[تسویه], T[فروشنده / مشتری], B38, T[نوع عملیات], "دریافت")</f>
        <v>2350000</v>
      </c>
      <c r="E38" s="168">
        <f>Table2[[#This Row],[کل فروش]]-Table2[[#This Row],[تسویه شده]]</f>
        <v>0</v>
      </c>
      <c r="F38" s="189"/>
      <c r="G38" s="139"/>
      <c r="H38" s="140"/>
      <c r="I38" s="140"/>
    </row>
    <row r="39" spans="2:9" ht="18.75" hidden="1" customHeight="1" x14ac:dyDescent="0.45">
      <c r="B39" s="176" t="str">
        <v>لیلا - سالن</v>
      </c>
      <c r="C39" s="168">
        <f>SUMIFS(T[قیمت کل], T[فروشنده / مشتری], B39, T[نوع عملیات], "فروش")</f>
        <v>7300000</v>
      </c>
      <c r="D39" s="168">
        <f>SUMIFS(T[تسویه], T[فروشنده / مشتری], B39, T[نوع عملیات], "فروش") + SUMIFS(T[تسویه], T[فروشنده / مشتری], B39, T[نوع عملیات], "دریافت")</f>
        <v>7300000</v>
      </c>
      <c r="E39" s="168">
        <f>Table2[[#This Row],[کل فروش]]-Table2[[#This Row],[تسویه شده]]</f>
        <v>0</v>
      </c>
      <c r="F39" s="189"/>
      <c r="G39" s="139"/>
      <c r="H39" s="140"/>
      <c r="I39" s="140"/>
    </row>
    <row r="40" spans="2:9" ht="18.75" customHeight="1" x14ac:dyDescent="0.45">
      <c r="B40" s="175" t="str">
        <v>مهتاب خدمه - سالن</v>
      </c>
      <c r="C40" s="168">
        <f>SUMIFS(T[قیمت کل], T[فروشنده / مشتری], B40, T[نوع عملیات], "فروش")</f>
        <v>4800000</v>
      </c>
      <c r="D40" s="168">
        <f>SUMIFS(T[تسویه], T[فروشنده / مشتری], B40, T[نوع عملیات], "فروش") + SUMIFS(T[تسویه], T[فروشنده / مشتری], B40, T[نوع عملیات], "دریافت")</f>
        <v>2000000</v>
      </c>
      <c r="E40" s="168">
        <f>Table2[[#This Row],[کل فروش]]-Table2[[#This Row],[تسویه شده]]</f>
        <v>2800000</v>
      </c>
      <c r="F40" s="189"/>
      <c r="G40" s="139"/>
      <c r="H40" s="140"/>
      <c r="I40" s="140"/>
    </row>
    <row r="41" spans="2:9" ht="18.75" customHeight="1" x14ac:dyDescent="0.45">
      <c r="B41" s="176" t="str">
        <v>سمیرا ناخن - سالن</v>
      </c>
      <c r="C41" s="168">
        <f>SUMIFS(T[قیمت کل], T[فروشنده / مشتری], B41, T[نوع عملیات], "فروش")</f>
        <v>7400000</v>
      </c>
      <c r="D41" s="168">
        <f>SUMIFS(T[تسویه], T[فروشنده / مشتری], B41, T[نوع عملیات], "فروش") + SUMIFS(T[تسویه], T[فروشنده / مشتری], B41, T[نوع عملیات], "دریافت")</f>
        <v>4350000</v>
      </c>
      <c r="E41" s="168">
        <f>Table2[[#This Row],[کل فروش]]-Table2[[#This Row],[تسویه شده]]</f>
        <v>3050000</v>
      </c>
      <c r="F41" s="189"/>
      <c r="G41" s="139"/>
      <c r="H41" s="140"/>
      <c r="I41" s="140"/>
    </row>
    <row r="42" spans="2:9" ht="18.75" hidden="1" customHeight="1" x14ac:dyDescent="0.45">
      <c r="B42" s="175" t="str">
        <v>یگانه ناخن - سالن</v>
      </c>
      <c r="C42" s="168">
        <f>SUMIFS(T[قیمت کل], T[فروشنده / مشتری], B42, T[نوع عملیات], "فروش")</f>
        <v>350000</v>
      </c>
      <c r="D42" s="168">
        <f>SUMIFS(T[تسویه], T[فروشنده / مشتری], B42, T[نوع عملیات], "فروش") + SUMIFS(T[تسویه], T[فروشنده / مشتری], B42, T[نوع عملیات], "دریافت")</f>
        <v>350000</v>
      </c>
      <c r="E42" s="168">
        <f>Table2[[#This Row],[کل فروش]]-Table2[[#This Row],[تسویه شده]]</f>
        <v>0</v>
      </c>
      <c r="F42" s="189"/>
      <c r="G42" s="139"/>
      <c r="H42" s="140"/>
      <c r="I42" s="140"/>
    </row>
    <row r="43" spans="2:9" ht="18.75" hidden="1" customHeight="1" x14ac:dyDescent="0.45">
      <c r="B43" s="176" t="str">
        <v>میترا صندوق - سالن</v>
      </c>
      <c r="C43" s="168">
        <f>SUMIFS(T[قیمت کل], T[فروشنده / مشتری], B43, T[نوع عملیات], "فروش")</f>
        <v>7200000</v>
      </c>
      <c r="D43" s="168">
        <f>SUMIFS(T[تسویه], T[فروشنده / مشتری], B43, T[نوع عملیات], "فروش") + SUMIFS(T[تسویه], T[فروشنده / مشتری], B43, T[نوع عملیات], "دریافت")</f>
        <v>7200000</v>
      </c>
      <c r="E43" s="168">
        <f>Table2[[#This Row],[کل فروش]]-Table2[[#This Row],[تسویه شده]]</f>
        <v>0</v>
      </c>
      <c r="F43" s="189"/>
      <c r="G43" s="139"/>
      <c r="H43" s="140"/>
      <c r="I43" s="140"/>
    </row>
    <row r="44" spans="2:9" ht="18.75" hidden="1" customHeight="1" x14ac:dyDescent="0.45">
      <c r="B44" s="175" t="str">
        <v>زهرا کراتین - سالن</v>
      </c>
      <c r="C44" s="168">
        <f>SUMIFS(T[قیمت کل], T[فروشنده / مشتری], B44, T[نوع عملیات], "فروش")</f>
        <v>4800000</v>
      </c>
      <c r="D44" s="168">
        <f>SUMIFS(T[تسویه], T[فروشنده / مشتری], B44, T[نوع عملیات], "فروش") + SUMIFS(T[تسویه], T[فروشنده / مشتری], B44, T[نوع عملیات], "دریافت")</f>
        <v>4800000</v>
      </c>
      <c r="E44" s="168">
        <f>Table2[[#This Row],[کل فروش]]-Table2[[#This Row],[تسویه شده]]</f>
        <v>0</v>
      </c>
      <c r="F44" s="189"/>
      <c r="G44" s="139"/>
      <c r="H44" s="140"/>
      <c r="I44" s="140"/>
    </row>
    <row r="45" spans="2:9" ht="18.75" hidden="1" customHeight="1" x14ac:dyDescent="0.45">
      <c r="B45" s="176" t="str">
        <v>فریده</v>
      </c>
      <c r="C45" s="168">
        <f>SUMIFS(T[قیمت کل], T[فروشنده / مشتری], B45, T[نوع عملیات], "فروش")</f>
        <v>3300000</v>
      </c>
      <c r="D45" s="168">
        <f>SUMIFS(T[تسویه], T[فروشنده / مشتری], B45, T[نوع عملیات], "فروش") + SUMIFS(T[تسویه], T[فروشنده / مشتری], B45, T[نوع عملیات], "دریافت")</f>
        <v>3300000</v>
      </c>
      <c r="E45" s="168">
        <f>Table2[[#This Row],[کل فروش]]-Table2[[#This Row],[تسویه شده]]</f>
        <v>0</v>
      </c>
      <c r="F45" s="189"/>
      <c r="G45" s="139"/>
      <c r="H45" s="140"/>
      <c r="I45" s="140"/>
    </row>
    <row r="46" spans="2:9" ht="18.75" hidden="1" customHeight="1" x14ac:dyDescent="0.45">
      <c r="B46" s="175" t="str">
        <v>عسل طراح شهرزاد - سالن</v>
      </c>
      <c r="C46" s="168">
        <f>SUMIFS(T[قیمت کل], T[فروشنده / مشتری], B46, T[نوع عملیات], "فروش")</f>
        <v>8920000</v>
      </c>
      <c r="D46" s="168">
        <f>SUMIFS(T[تسویه], T[فروشنده / مشتری], B46, T[نوع عملیات], "فروش") + SUMIFS(T[تسویه], T[فروشنده / مشتری], B46, T[نوع عملیات], "دریافت")</f>
        <v>8920000</v>
      </c>
      <c r="E46" s="168">
        <f>Table2[[#This Row],[کل فروش]]-Table2[[#This Row],[تسویه شده]]</f>
        <v>0</v>
      </c>
      <c r="F46" s="189"/>
      <c r="G46" s="139"/>
      <c r="H46" s="140"/>
      <c r="I46" s="140"/>
    </row>
    <row r="47" spans="2:9" ht="18.75" hidden="1" customHeight="1" x14ac:dyDescent="0.45">
      <c r="B47" s="176" t="str">
        <v>رکسانا - سالن</v>
      </c>
      <c r="C47" s="168">
        <f>SUMIFS(T[قیمت کل], T[فروشنده / مشتری], B47, T[نوع عملیات], "فروش")</f>
        <v>10000000</v>
      </c>
      <c r="D47" s="168">
        <f>SUMIFS(T[تسویه], T[فروشنده / مشتری], B47, T[نوع عملیات], "فروش") + SUMIFS(T[تسویه], T[فروشنده / مشتری], B47, T[نوع عملیات], "دریافت")</f>
        <v>10000000</v>
      </c>
      <c r="E47" s="168">
        <f>Table2[[#This Row],[کل فروش]]-Table2[[#This Row],[تسویه شده]]</f>
        <v>0</v>
      </c>
      <c r="F47" s="189" t="s">
        <v>509</v>
      </c>
      <c r="G47" s="139"/>
      <c r="H47" s="140"/>
      <c r="I47" s="140"/>
    </row>
    <row r="48" spans="2:9" ht="18.75" customHeight="1" x14ac:dyDescent="0.45">
      <c r="B48" s="175" t="str">
        <v>فاطمه فرشته - سالن</v>
      </c>
      <c r="C48" s="168">
        <f>SUMIFS(T[قیمت کل], T[فروشنده / مشتری], B48, T[نوع عملیات], "فروش")</f>
        <v>10150000</v>
      </c>
      <c r="D48" s="168">
        <f>SUMIFS(T[تسویه], T[فروشنده / مشتری], B48, T[نوع عملیات], "فروش") + SUMIFS(T[تسویه], T[فروشنده / مشتری], B48, T[نوع عملیات], "دریافت")</f>
        <v>9700000</v>
      </c>
      <c r="E48" s="168">
        <f>Table2[[#This Row],[کل فروش]]-Table2[[#This Row],[تسویه شده]]</f>
        <v>450000</v>
      </c>
      <c r="F48" s="189"/>
      <c r="G48" s="139"/>
      <c r="H48" s="140"/>
      <c r="I48" s="140"/>
    </row>
    <row r="49" spans="2:9" ht="18.75" hidden="1" customHeight="1" x14ac:dyDescent="0.45">
      <c r="B49" s="176" t="str">
        <v>فاطمه شاه بهار - سالن</v>
      </c>
      <c r="C49" s="168">
        <f>SUMIFS(T[قیمت کل], T[فروشنده / مشتری], B49, T[نوع عملیات], "فروش")</f>
        <v>750000</v>
      </c>
      <c r="D49" s="168">
        <f>SUMIFS(T[تسویه], T[فروشنده / مشتری], B49, T[نوع عملیات], "فروش") + SUMIFS(T[تسویه], T[فروشنده / مشتری], B49, T[نوع عملیات], "دریافت")</f>
        <v>750000</v>
      </c>
      <c r="E49" s="168">
        <f>Table2[[#This Row],[کل فروش]]-Table2[[#This Row],[تسویه شده]]</f>
        <v>0</v>
      </c>
      <c r="F49" s="189"/>
      <c r="G49" s="139"/>
      <c r="H49" s="140"/>
      <c r="I49" s="140"/>
    </row>
    <row r="50" spans="2:9" ht="18.75" hidden="1" customHeight="1" x14ac:dyDescent="0.45">
      <c r="B50" s="175" t="str">
        <v>شاه بهار - سالن</v>
      </c>
      <c r="C50" s="168">
        <f>SUMIFS(T[قیمت کل], T[فروشنده / مشتری], B50, T[نوع عملیات], "فروش")</f>
        <v>6200000</v>
      </c>
      <c r="D50" s="168">
        <f>SUMIFS(T[تسویه], T[فروشنده / مشتری], B50, T[نوع عملیات], "فروش") + SUMIFS(T[تسویه], T[فروشنده / مشتری], B50, T[نوع عملیات], "دریافت")</f>
        <v>6200000</v>
      </c>
      <c r="E50" s="168">
        <f>Table2[[#This Row],[کل فروش]]-Table2[[#This Row],[تسویه شده]]</f>
        <v>0</v>
      </c>
      <c r="F50" s="189"/>
      <c r="G50" s="139"/>
      <c r="H50" s="140"/>
      <c r="I50" s="140"/>
    </row>
    <row r="51" spans="2:9" ht="18.75" customHeight="1" x14ac:dyDescent="0.45">
      <c r="B51" s="176" t="str">
        <v>مهشید</v>
      </c>
      <c r="C51" s="168">
        <f>SUMIFS(T[قیمت کل], T[فروشنده / مشتری], B51, T[نوع عملیات], "فروش")</f>
        <v>8400000</v>
      </c>
      <c r="D51" s="168">
        <f>SUMIFS(T[تسویه], T[فروشنده / مشتری], B51, T[نوع عملیات], "فروش") + SUMIFS(T[تسویه], T[فروشنده / مشتری], B51, T[نوع عملیات], "دریافت")</f>
        <v>9000000</v>
      </c>
      <c r="E51" s="168">
        <f>Table2[[#This Row],[کل فروش]]-Table2[[#This Row],[تسویه شده]]</f>
        <v>-600000</v>
      </c>
      <c r="F51" s="189"/>
      <c r="G51" s="139"/>
      <c r="H51" s="140"/>
      <c r="I51" s="140"/>
    </row>
    <row r="52" spans="2:9" ht="18.75" hidden="1" customHeight="1" x14ac:dyDescent="0.45">
      <c r="B52" s="175" t="str">
        <v>سپیده صدری</v>
      </c>
      <c r="C52" s="168">
        <f>SUMIFS(T[قیمت کل], T[فروشنده / مشتری], B52, T[نوع عملیات], "فروش")</f>
        <v>1200000</v>
      </c>
      <c r="D52" s="168">
        <f>SUMIFS(T[تسویه], T[فروشنده / مشتری], B52, T[نوع عملیات], "فروش") + SUMIFS(T[تسویه], T[فروشنده / مشتری], B52, T[نوع عملیات], "دریافت")</f>
        <v>1200000</v>
      </c>
      <c r="E52" s="168">
        <f>Table2[[#This Row],[کل فروش]]-Table2[[#This Row],[تسویه شده]]</f>
        <v>0</v>
      </c>
      <c r="F52" s="189"/>
      <c r="G52" s="139"/>
      <c r="H52" s="140"/>
      <c r="I52" s="140"/>
    </row>
    <row r="53" spans="2:9" ht="18.75" hidden="1" customHeight="1" x14ac:dyDescent="0.45">
      <c r="B53" s="176" t="str">
        <v>سارینا - سالن</v>
      </c>
      <c r="C53" s="168">
        <f>SUMIFS(T[قیمت کل], T[فروشنده / مشتری], B53, T[نوع عملیات], "فروش")</f>
        <v>4900000</v>
      </c>
      <c r="D53" s="168">
        <f>SUMIFS(T[تسویه], T[فروشنده / مشتری], B53, T[نوع عملیات], "فروش") + SUMIFS(T[تسویه], T[فروشنده / مشتری], B53, T[نوع عملیات], "دریافت")</f>
        <v>4900000</v>
      </c>
      <c r="E53" s="168">
        <f>Table2[[#This Row],[کل فروش]]-Table2[[#This Row],[تسویه شده]]</f>
        <v>0</v>
      </c>
      <c r="F53" s="189"/>
      <c r="G53" s="139"/>
      <c r="H53" s="140"/>
      <c r="I53" s="140"/>
    </row>
    <row r="54" spans="2:9" ht="18.75" hidden="1" customHeight="1" x14ac:dyDescent="0.45">
      <c r="B54" s="175" t="str">
        <v>خانم خلج زاده</v>
      </c>
      <c r="C54" s="168">
        <f>SUMIFS(T[قیمت کل], T[فروشنده / مشتری], B54, T[نوع عملیات], "فروش")</f>
        <v>3200000</v>
      </c>
      <c r="D54" s="168">
        <f>SUMIFS(T[تسویه], T[فروشنده / مشتری], B54, T[نوع عملیات], "فروش") + SUMIFS(T[تسویه], T[فروشنده / مشتری], B54, T[نوع عملیات], "دریافت")</f>
        <v>3200000</v>
      </c>
      <c r="E54" s="168">
        <f>Table2[[#This Row],[کل فروش]]-Table2[[#This Row],[تسویه شده]]</f>
        <v>0</v>
      </c>
      <c r="F54" s="189"/>
      <c r="G54" s="139"/>
      <c r="H54" s="140"/>
      <c r="I54" s="140"/>
    </row>
    <row r="55" spans="2:9" ht="18.75" hidden="1" customHeight="1" x14ac:dyDescent="0.45">
      <c r="B55" s="176" t="str">
        <v>سودابه شینیون - سالن</v>
      </c>
      <c r="C55" s="168">
        <f>SUMIFS(T[قیمت کل], T[فروشنده / مشتری], B55, T[نوع عملیات], "فروش")</f>
        <v>1880000</v>
      </c>
      <c r="D55" s="168">
        <f>SUMIFS(T[تسویه], T[فروشنده / مشتری], B55, T[نوع عملیات], "فروش") + SUMIFS(T[تسویه], T[فروشنده / مشتری], B55, T[نوع عملیات], "دریافت")</f>
        <v>1880000</v>
      </c>
      <c r="E55" s="168">
        <f>Table2[[#This Row],[کل فروش]]-Table2[[#This Row],[تسویه شده]]</f>
        <v>0</v>
      </c>
      <c r="F55" s="189"/>
      <c r="G55" s="139"/>
      <c r="H55" s="140"/>
      <c r="I55" s="140"/>
    </row>
    <row r="56" spans="2:9" ht="18.75" customHeight="1" x14ac:dyDescent="0.45">
      <c r="B56" s="175" t="str">
        <v>مهسا اکستنشن - سالن</v>
      </c>
      <c r="C56" s="168">
        <f>SUMIFS(T[قیمت کل], T[فروشنده / مشتری], B56, T[نوع عملیات], "فروش")</f>
        <v>10250000</v>
      </c>
      <c r="D56" s="168">
        <f>SUMIFS(T[تسویه], T[فروشنده / مشتری], B56, T[نوع عملیات], "فروش") + SUMIFS(T[تسویه], T[فروشنده / مشتری], B56, T[نوع عملیات], "دریافت")</f>
        <v>9650000</v>
      </c>
      <c r="E56" s="168">
        <f>Table2[[#This Row],[کل فروش]]-Table2[[#This Row],[تسویه شده]]</f>
        <v>600000</v>
      </c>
      <c r="F56" s="189"/>
      <c r="G56" s="139"/>
      <c r="H56" s="140"/>
      <c r="I56" s="140"/>
    </row>
    <row r="57" spans="2:9" ht="18.75" hidden="1" customHeight="1" x14ac:dyDescent="0.45">
      <c r="B57" s="176" t="str">
        <v>دنیا رنگ - سالن</v>
      </c>
      <c r="C57" s="168">
        <f>SUMIFS(T[قیمت کل], T[فروشنده / مشتری], B57, T[نوع عملیات], "فروش")</f>
        <v>2150000</v>
      </c>
      <c r="D57" s="168">
        <f>SUMIFS(T[تسویه], T[فروشنده / مشتری], B57, T[نوع عملیات], "فروش") + SUMIFS(T[تسویه], T[فروشنده / مشتری], B57, T[نوع عملیات], "دریافت")</f>
        <v>2150000</v>
      </c>
      <c r="E57" s="168">
        <f>Table2[[#This Row],[کل فروش]]-Table2[[#This Row],[تسویه شده]]</f>
        <v>0</v>
      </c>
      <c r="F57" s="189"/>
      <c r="G57" s="139"/>
      <c r="H57" s="140"/>
      <c r="I57" s="140"/>
    </row>
    <row r="58" spans="2:9" ht="18.75" hidden="1" customHeight="1" x14ac:dyDescent="0.45">
      <c r="B58" s="175" t="str">
        <v>خواهر سحر رنگ</v>
      </c>
      <c r="C58" s="168">
        <f>SUMIFS(T[قیمت کل], T[فروشنده / مشتری], B58, T[نوع عملیات], "فروش")</f>
        <v>2300000</v>
      </c>
      <c r="D58" s="168">
        <f>SUMIFS(T[تسویه], T[فروشنده / مشتری], B58, T[نوع عملیات], "فروش") + SUMIFS(T[تسویه], T[فروشنده / مشتری], B58, T[نوع عملیات], "دریافت")</f>
        <v>2300000</v>
      </c>
      <c r="E58" s="168">
        <f>Table2[[#This Row],[کل فروش]]-Table2[[#This Row],[تسویه شده]]</f>
        <v>0</v>
      </c>
      <c r="F58" s="189"/>
      <c r="G58" s="139"/>
      <c r="H58" s="140"/>
      <c r="I58" s="140"/>
    </row>
    <row r="59" spans="2:9" ht="18.75" hidden="1" customHeight="1" x14ac:dyDescent="0.45">
      <c r="B59" s="176" t="str">
        <v>سپیده سحر رنگ</v>
      </c>
      <c r="C59" s="168">
        <f>SUMIFS(T[قیمت کل], T[فروشنده / مشتری], B59, T[نوع عملیات], "فروش")</f>
        <v>2400000</v>
      </c>
      <c r="D59" s="168">
        <f>SUMIFS(T[تسویه], T[فروشنده / مشتری], B59, T[نوع عملیات], "فروش") + SUMIFS(T[تسویه], T[فروشنده / مشتری], B59, T[نوع عملیات], "دریافت")</f>
        <v>2400000</v>
      </c>
      <c r="E59" s="168">
        <f>Table2[[#This Row],[کل فروش]]-Table2[[#This Row],[تسویه شده]]</f>
        <v>0</v>
      </c>
      <c r="F59" s="189"/>
      <c r="G59" s="139"/>
      <c r="H59" s="140"/>
      <c r="I59" s="140"/>
    </row>
    <row r="60" spans="2:9" ht="18.75" hidden="1" customHeight="1" x14ac:dyDescent="0.45">
      <c r="B60" s="175" t="str">
        <v>منیره بهزادی</v>
      </c>
      <c r="C60" s="168">
        <f>SUMIFS(T[قیمت کل], T[فروشنده / مشتری], B60, T[نوع عملیات], "فروش")</f>
        <v>2400000</v>
      </c>
      <c r="D60" s="168">
        <f>SUMIFS(T[تسویه], T[فروشنده / مشتری], B60, T[نوع عملیات], "فروش") + SUMIFS(T[تسویه], T[فروشنده / مشتری], B60, T[نوع عملیات], "دریافت")</f>
        <v>2400000</v>
      </c>
      <c r="E60" s="168">
        <f>Table2[[#This Row],[کل فروش]]-Table2[[#This Row],[تسویه شده]]</f>
        <v>0</v>
      </c>
      <c r="F60" s="189"/>
      <c r="G60" s="139"/>
      <c r="H60" s="140"/>
      <c r="I60" s="140"/>
    </row>
    <row r="61" spans="2:9" ht="18.75" hidden="1" customHeight="1" x14ac:dyDescent="0.45">
      <c r="B61" s="176" t="str">
        <v>سمانه میترا بهزادی</v>
      </c>
      <c r="C61" s="168">
        <f>SUMIFS(T[قیمت کل], T[فروشنده / مشتری], B61, T[نوع عملیات], "فروش")</f>
        <v>11050000</v>
      </c>
      <c r="D61" s="168">
        <f>SUMIFS(T[تسویه], T[فروشنده / مشتری], B61, T[نوع عملیات], "فروش") + SUMIFS(T[تسویه], T[فروشنده / مشتری], B61, T[نوع عملیات], "دریافت")</f>
        <v>11050000</v>
      </c>
      <c r="E61" s="168">
        <f>Table2[[#This Row],[کل فروش]]-Table2[[#This Row],[تسویه شده]]</f>
        <v>0</v>
      </c>
      <c r="F61" s="189"/>
      <c r="G61" s="139"/>
      <c r="H61" s="140"/>
      <c r="I61" s="140"/>
    </row>
    <row r="62" spans="2:9" ht="18.75" hidden="1" customHeight="1" x14ac:dyDescent="0.45">
      <c r="B62" s="175" t="str">
        <v>سارا خاله</v>
      </c>
      <c r="C62" s="168">
        <f>SUMIFS(T[قیمت کل], T[فروشنده / مشتری], B62, T[نوع عملیات], "فروش")</f>
        <v>2400000</v>
      </c>
      <c r="D62" s="168">
        <f>SUMIFS(T[تسویه], T[فروشنده / مشتری], B62, T[نوع عملیات], "فروش") + SUMIFS(T[تسویه], T[فروشنده / مشتری], B62, T[نوع عملیات], "دریافت")</f>
        <v>2400000</v>
      </c>
      <c r="E62" s="168">
        <f>Table2[[#This Row],[کل فروش]]-Table2[[#This Row],[تسویه شده]]</f>
        <v>0</v>
      </c>
      <c r="F62" s="189"/>
      <c r="G62" s="139"/>
      <c r="H62" s="140"/>
      <c r="I62" s="140"/>
    </row>
    <row r="63" spans="2:9" ht="18.75" hidden="1" customHeight="1" x14ac:dyDescent="0.45">
      <c r="B63" s="176" t="str">
        <v>سحر سودابه - سالن</v>
      </c>
      <c r="C63" s="168">
        <f>SUMIFS(T[قیمت کل], T[فروشنده / مشتری], B63, T[نوع عملیات], "فروش")</f>
        <v>400000</v>
      </c>
      <c r="D63" s="168">
        <f>SUMIFS(T[تسویه], T[فروشنده / مشتری], B63, T[نوع عملیات], "فروش") + SUMIFS(T[تسویه], T[فروشنده / مشتری], B63, T[نوع عملیات], "دریافت")</f>
        <v>400000</v>
      </c>
      <c r="E63" s="168">
        <f>Table2[[#This Row],[کل فروش]]-Table2[[#This Row],[تسویه شده]]</f>
        <v>0</v>
      </c>
      <c r="F63" s="189"/>
      <c r="G63" s="139"/>
      <c r="H63" s="140"/>
      <c r="I63" s="140"/>
    </row>
    <row r="64" spans="2:9" ht="18.75" customHeight="1" x14ac:dyDescent="0.45">
      <c r="B64" s="175" t="str">
        <v>زهره فرشته</v>
      </c>
      <c r="C64" s="168">
        <f>SUMIFS(T[قیمت کل], T[فروشنده / مشتری], B64, T[نوع عملیات], "فروش")</f>
        <v>4350000</v>
      </c>
      <c r="D64" s="168">
        <f>SUMIFS(T[تسویه], T[فروشنده / مشتری], B64, T[نوع عملیات], "فروش") + SUMIFS(T[تسویه], T[فروشنده / مشتری], B64, T[نوع عملیات], "دریافت")</f>
        <v>2300000</v>
      </c>
      <c r="E64" s="168">
        <f>Table2[[#This Row],[کل فروش]]-Table2[[#This Row],[تسویه شده]]</f>
        <v>2050000</v>
      </c>
      <c r="F64" s="189"/>
      <c r="G64" s="139"/>
      <c r="H64" s="140"/>
      <c r="I64" s="140"/>
    </row>
    <row r="65" spans="2:9" ht="18.75" hidden="1" customHeight="1" x14ac:dyDescent="0.45">
      <c r="B65" s="176" t="str">
        <v>خانم کیا - سالن</v>
      </c>
      <c r="C65" s="168">
        <f>SUMIFS(T[قیمت کل], T[فروشنده / مشتری], B65, T[نوع عملیات], "فروش")</f>
        <v>1200000</v>
      </c>
      <c r="D65" s="168">
        <f>SUMIFS(T[تسویه], T[فروشنده / مشتری], B65, T[نوع عملیات], "فروش") + SUMIFS(T[تسویه], T[فروشنده / مشتری], B65, T[نوع عملیات], "دریافت")</f>
        <v>1200000</v>
      </c>
      <c r="E65" s="168">
        <f>Table2[[#This Row],[کل فروش]]-Table2[[#This Row],[تسویه شده]]</f>
        <v>0</v>
      </c>
      <c r="F65" s="189"/>
      <c r="G65" s="139"/>
      <c r="H65" s="140"/>
      <c r="I65" s="140"/>
    </row>
    <row r="66" spans="2:9" ht="18.75" customHeight="1" x14ac:dyDescent="0.45">
      <c r="B66" s="175" t="str">
        <v>مهسا اپیلاسیون - سالن</v>
      </c>
      <c r="C66" s="168">
        <f>SUMIFS(T[قیمت کل], T[فروشنده / مشتری], B66, T[نوع عملیات], "فروش")</f>
        <v>2750000</v>
      </c>
      <c r="D66" s="168">
        <f>SUMIFS(T[تسویه], T[فروشنده / مشتری], B66, T[نوع عملیات], "فروش") + SUMIFS(T[تسویه], T[فروشنده / مشتری], B66, T[نوع عملیات], "دریافت")</f>
        <v>1800000</v>
      </c>
      <c r="E66" s="168">
        <f>Table2[[#This Row],[کل فروش]]-Table2[[#This Row],[تسویه شده]]</f>
        <v>950000</v>
      </c>
      <c r="F66" s="189"/>
      <c r="G66" s="139"/>
      <c r="H66" s="140"/>
      <c r="I66" s="140"/>
    </row>
    <row r="67" spans="2:9" ht="18.75" hidden="1" customHeight="1" x14ac:dyDescent="0.45">
      <c r="B67" s="176" t="str">
        <v>مهتاب صندوق - سالن</v>
      </c>
      <c r="C67" s="168">
        <f>SUMIFS(T[قیمت کل], T[فروشنده / مشتری], B67, T[نوع عملیات], "فروش")</f>
        <v>800000</v>
      </c>
      <c r="D67" s="168">
        <f>SUMIFS(T[تسویه], T[فروشنده / مشتری], B67, T[نوع عملیات], "فروش") + SUMIFS(T[تسویه], T[فروشنده / مشتری], B67, T[نوع عملیات], "دریافت")</f>
        <v>800000</v>
      </c>
      <c r="E67" s="168">
        <f>Table2[[#This Row],[کل فروش]]-Table2[[#This Row],[تسویه شده]]</f>
        <v>0</v>
      </c>
      <c r="F67" s="189"/>
      <c r="G67" s="139"/>
      <c r="H67" s="140"/>
      <c r="I67" s="140"/>
    </row>
    <row r="68" spans="2:9" ht="18.75" hidden="1" customHeight="1" x14ac:dyDescent="0.45">
      <c r="B68" s="175" t="str">
        <v>پونه - سالن</v>
      </c>
      <c r="C68" s="168">
        <f>SUMIFS(T[قیمت کل], T[فروشنده / مشتری], B68, T[نوع عملیات], "فروش")</f>
        <v>1300000</v>
      </c>
      <c r="D68" s="168">
        <f>SUMIFS(T[تسویه], T[فروشنده / مشتری], B68, T[نوع عملیات], "فروش") + SUMIFS(T[تسویه], T[فروشنده / مشتری], B68, T[نوع عملیات], "دریافت")</f>
        <v>1300000</v>
      </c>
      <c r="E68" s="168">
        <f>Table2[[#This Row],[کل فروش]]-Table2[[#This Row],[تسویه شده]]</f>
        <v>0</v>
      </c>
      <c r="F68" s="189"/>
      <c r="G68" s="139"/>
      <c r="H68" s="140"/>
      <c r="I68" s="140"/>
    </row>
    <row r="69" spans="2:9" ht="18.75" customHeight="1" x14ac:dyDescent="0.45">
      <c r="B69" s="176" t="str">
        <v>راحیل فرشته - سالن</v>
      </c>
      <c r="C69" s="168">
        <f>SUMIFS(T[قیمت کل], T[فروشنده / مشتری], B69, T[نوع عملیات], "فروش")</f>
        <v>19300000</v>
      </c>
      <c r="D69" s="168">
        <f>SUMIFS(T[تسویه], T[فروشنده / مشتری], B69, T[نوع عملیات], "فروش") + SUMIFS(T[تسویه], T[فروشنده / مشتری], B69, T[نوع عملیات], "دریافت")</f>
        <v>9750000</v>
      </c>
      <c r="E69" s="168">
        <f>Table2[[#This Row],[کل فروش]]-Table2[[#This Row],[تسویه شده]]</f>
        <v>9550000</v>
      </c>
      <c r="F69" s="189"/>
      <c r="G69" s="139"/>
      <c r="H69" s="140"/>
      <c r="I69" s="140"/>
    </row>
    <row r="70" spans="2:9" ht="18.75" hidden="1" customHeight="1" x14ac:dyDescent="0.45">
      <c r="B70" s="175" t="str">
        <v>مهگام - سالن</v>
      </c>
      <c r="C70" s="168">
        <f>SUMIFS(T[قیمت کل], T[فروشنده / مشتری], B70, T[نوع عملیات], "فروش")</f>
        <v>5000000</v>
      </c>
      <c r="D70" s="168">
        <f>SUMIFS(T[تسویه], T[فروشنده / مشتری], B70, T[نوع عملیات], "فروش") + SUMIFS(T[تسویه], T[فروشنده / مشتری], B70, T[نوع عملیات], "دریافت")</f>
        <v>5000000</v>
      </c>
      <c r="E70" s="168">
        <f>Table2[[#This Row],[کل فروش]]-Table2[[#This Row],[تسویه شده]]</f>
        <v>0</v>
      </c>
      <c r="F70" s="189"/>
      <c r="G70" s="139"/>
      <c r="H70" s="140"/>
      <c r="I70" s="140"/>
    </row>
    <row r="71" spans="2:9" ht="18.75" customHeight="1" x14ac:dyDescent="0.45">
      <c r="B71" s="176" t="str">
        <v>مرجان میکاپ - سالن</v>
      </c>
      <c r="C71" s="168">
        <f>SUMIFS(T[قیمت کل], T[فروشنده / مشتری], B71, T[نوع عملیات], "فروش")</f>
        <v>2800000</v>
      </c>
      <c r="D71" s="168">
        <f>SUMIFS(T[تسویه], T[فروشنده / مشتری], B71, T[نوع عملیات], "فروش") + SUMIFS(T[تسویه], T[فروشنده / مشتری], B71, T[نوع عملیات], "دریافت")</f>
        <v>0</v>
      </c>
      <c r="E71" s="168">
        <f>Table2[[#This Row],[کل فروش]]-Table2[[#This Row],[تسویه شده]]</f>
        <v>2800000</v>
      </c>
      <c r="F71" s="189"/>
      <c r="G71" s="139"/>
      <c r="H71" s="140"/>
      <c r="I71" s="140"/>
    </row>
    <row r="72" spans="2:9" ht="18.75" customHeight="1" x14ac:dyDescent="0.45">
      <c r="B72" s="175" t="str">
        <v>هستی هنگامه</v>
      </c>
      <c r="C72" s="168">
        <f>SUMIFS(T[قیمت کل], T[فروشنده / مشتری], B72, T[نوع عملیات], "فروش")</f>
        <v>3600000</v>
      </c>
      <c r="D72" s="168">
        <f>SUMIFS(T[تسویه], T[فروشنده / مشتری], B72, T[نوع عملیات], "فروش") + SUMIFS(T[تسویه], T[فروشنده / مشتری], B72, T[نوع عملیات], "دریافت")</f>
        <v>0</v>
      </c>
      <c r="E72" s="168">
        <f>Table2[[#This Row],[کل فروش]]-Table2[[#This Row],[تسویه شده]]</f>
        <v>3600000</v>
      </c>
      <c r="F72" s="189"/>
      <c r="G72" s="139"/>
      <c r="H72" s="140"/>
      <c r="I72" s="140"/>
    </row>
    <row r="73" spans="2:9" ht="18.75" customHeight="1" x14ac:dyDescent="0.45">
      <c r="B73" s="176" t="str">
        <v>پریسا وکس - سالن</v>
      </c>
      <c r="C73" s="168">
        <f>SUMIFS(T[قیمت کل], T[فروشنده / مشتری], B73, T[نوع عملیات], "فروش")</f>
        <v>3300000</v>
      </c>
      <c r="D73" s="168">
        <f>SUMIFS(T[تسویه], T[فروشنده / مشتری], B73, T[نوع عملیات], "فروش") + SUMIFS(T[تسویه], T[فروشنده / مشتری], B73, T[نوع عملیات], "دریافت")</f>
        <v>2500000</v>
      </c>
      <c r="E73" s="168">
        <f>Table2[[#This Row],[کل فروش]]-Table2[[#This Row],[تسویه شده]]</f>
        <v>800000</v>
      </c>
      <c r="F73" s="189"/>
      <c r="G73" s="139"/>
      <c r="H73" s="140"/>
      <c r="I73" s="140"/>
    </row>
    <row r="74" spans="2:9" ht="18.75" hidden="1" customHeight="1" x14ac:dyDescent="0.45">
      <c r="B74" s="175" t="str">
        <v>مونا میکاپ - سالن</v>
      </c>
      <c r="C74" s="168">
        <f>SUMIFS(T[قیمت کل], T[فروشنده / مشتری], B74, T[نوع عملیات], "فروش")</f>
        <v>2300000</v>
      </c>
      <c r="D74" s="168">
        <f>SUMIFS(T[تسویه], T[فروشنده / مشتری], B74, T[نوع عملیات], "فروش") + SUMIFS(T[تسویه], T[فروشنده / مشتری], B74, T[نوع عملیات], "دریافت")</f>
        <v>2300000</v>
      </c>
      <c r="E74" s="168">
        <f>Table2[[#This Row],[کل فروش]]-Table2[[#This Row],[تسویه شده]]</f>
        <v>0</v>
      </c>
      <c r="F74" s="189"/>
      <c r="G74" s="139"/>
      <c r="H74" s="140"/>
      <c r="I74" s="140"/>
    </row>
    <row r="75" spans="2:9" ht="18.75" customHeight="1" x14ac:dyDescent="0.45">
      <c r="B75" s="176" t="str">
        <v>نگین ناخن - سالن</v>
      </c>
      <c r="C75" s="168">
        <f>SUMIFS(T[قیمت کل], T[فروشنده / مشتری], B75, T[نوع عملیات], "فروش")</f>
        <v>8850000</v>
      </c>
      <c r="D75" s="168">
        <f>SUMIFS(T[تسویه], T[فروشنده / مشتری], B75, T[نوع عملیات], "فروش") + SUMIFS(T[تسویه], T[فروشنده / مشتری], B75, T[نوع عملیات], "دریافت")</f>
        <v>12500000</v>
      </c>
      <c r="E75" s="168">
        <f>Table2[[#This Row],[کل فروش]]-Table2[[#This Row],[تسویه شده]]</f>
        <v>-3650000</v>
      </c>
      <c r="F75" s="189"/>
      <c r="G75" s="139"/>
      <c r="H75" s="140"/>
      <c r="I75" s="140"/>
    </row>
    <row r="76" spans="2:9" ht="18.75" hidden="1" customHeight="1" x14ac:dyDescent="0.45">
      <c r="B76" s="175" t="str">
        <v>فاطمه مژه - سالن</v>
      </c>
      <c r="C76" s="168">
        <f>SUMIFS(T[قیمت کل], T[فروشنده / مشتری], B76, T[نوع عملیات], "فروش")</f>
        <v>350000</v>
      </c>
      <c r="D76" s="168">
        <f>SUMIFS(T[تسویه], T[فروشنده / مشتری], B76, T[نوع عملیات], "فروش") + SUMIFS(T[تسویه], T[فروشنده / مشتری], B76, T[نوع عملیات], "دریافت")</f>
        <v>350000</v>
      </c>
      <c r="E76" s="168">
        <f>Table2[[#This Row],[کل فروش]]-Table2[[#This Row],[تسویه شده]]</f>
        <v>0</v>
      </c>
      <c r="F76" s="189"/>
      <c r="G76" s="139"/>
      <c r="H76" s="140"/>
      <c r="I76" s="140"/>
    </row>
    <row r="77" spans="2:9" ht="18.75" hidden="1" customHeight="1" x14ac:dyDescent="0.45">
      <c r="B77" s="176" t="str">
        <v>عسل عاطفه - سالن</v>
      </c>
      <c r="C77" s="168">
        <f>SUMIFS(T[قیمت کل], T[فروشنده / مشتری], B77, T[نوع عملیات], "فروش")</f>
        <v>500000</v>
      </c>
      <c r="D77" s="168">
        <f>SUMIFS(T[تسویه], T[فروشنده / مشتری], B77, T[نوع عملیات], "فروش") + SUMIFS(T[تسویه], T[فروشنده / مشتری], B77, T[نوع عملیات], "دریافت")</f>
        <v>500000</v>
      </c>
      <c r="E77" s="168">
        <f>Table2[[#This Row],[کل فروش]]-Table2[[#This Row],[تسویه شده]]</f>
        <v>0</v>
      </c>
      <c r="F77" s="189"/>
      <c r="G77" s="139"/>
      <c r="H77" s="140"/>
      <c r="I77" s="140"/>
    </row>
    <row r="78" spans="2:9" ht="18.75" hidden="1" customHeight="1" x14ac:dyDescent="0.45">
      <c r="B78" s="175" t="str">
        <v>سوسن خدمه - سالن</v>
      </c>
      <c r="C78" s="168">
        <f>SUMIFS(T[قیمت کل], T[فروشنده / مشتری], B78, T[نوع عملیات], "فروش")</f>
        <v>1200000</v>
      </c>
      <c r="D78" s="168">
        <f>SUMIFS(T[تسویه], T[فروشنده / مشتری], B78, T[نوع عملیات], "فروش") + SUMIFS(T[تسویه], T[فروشنده / مشتری], B78, T[نوع عملیات], "دریافت")</f>
        <v>1200000</v>
      </c>
      <c r="E78" s="168">
        <f>Table2[[#This Row],[کل فروش]]-Table2[[#This Row],[تسویه شده]]</f>
        <v>0</v>
      </c>
      <c r="F78" s="189"/>
      <c r="G78" s="139"/>
      <c r="H78" s="140"/>
      <c r="I78" s="140"/>
    </row>
    <row r="79" spans="2:9" ht="18.75" hidden="1" customHeight="1" x14ac:dyDescent="0.45">
      <c r="B79" s="176" t="str">
        <v>نگین 2 - سالن</v>
      </c>
      <c r="C79" s="168">
        <f>SUMIFS(T[قیمت کل], T[فروشنده / مشتری], B79, T[نوع عملیات], "فروش")</f>
        <v>1600000</v>
      </c>
      <c r="D79" s="168">
        <f>SUMIFS(T[تسویه], T[فروشنده / مشتری], B79, T[نوع عملیات], "فروش") + SUMIFS(T[تسویه], T[فروشنده / مشتری], B79, T[نوع عملیات], "دریافت")</f>
        <v>1600000</v>
      </c>
      <c r="E79" s="168">
        <f>Table2[[#This Row],[کل فروش]]-Table2[[#This Row],[تسویه شده]]</f>
        <v>0</v>
      </c>
      <c r="F79" s="189"/>
      <c r="G79" s="139"/>
      <c r="H79" s="140"/>
      <c r="I79" s="140"/>
    </row>
    <row r="80" spans="2:9" ht="18.75" hidden="1" customHeight="1" x14ac:dyDescent="0.45">
      <c r="B80" s="175" t="str">
        <v>پرستو دستیار - سالن</v>
      </c>
      <c r="C80" s="168">
        <f>SUMIFS(T[قیمت کل], T[فروشنده / مشتری], B80, T[نوع عملیات], "فروش")</f>
        <v>1000000</v>
      </c>
      <c r="D80" s="168">
        <f>SUMIFS(T[تسویه], T[فروشنده / مشتری], B80, T[نوع عملیات], "فروش") + SUMIFS(T[تسویه], T[فروشنده / مشتری], B80, T[نوع عملیات], "دریافت")</f>
        <v>1000000</v>
      </c>
      <c r="E80" s="168">
        <f>Table2[[#This Row],[کل فروش]]-Table2[[#This Row],[تسویه شده]]</f>
        <v>0</v>
      </c>
      <c r="F80" s="189"/>
      <c r="G80" s="139"/>
      <c r="H80" s="140"/>
      <c r="I80" s="140"/>
    </row>
    <row r="81" spans="2:9" ht="18.75" hidden="1" customHeight="1" x14ac:dyDescent="0.45">
      <c r="B81" s="176" t="str">
        <v>زهرا شینیون - سالن</v>
      </c>
      <c r="C81" s="168">
        <f>SUMIFS(T[قیمت کل], T[فروشنده / مشتری], B81, T[نوع عملیات], "فروش")</f>
        <v>350000</v>
      </c>
      <c r="D81" s="168">
        <f>SUMIFS(T[تسویه], T[فروشنده / مشتری], B81, T[نوع عملیات], "فروش") + SUMIFS(T[تسویه], T[فروشنده / مشتری], B81, T[نوع عملیات], "دریافت")</f>
        <v>350000</v>
      </c>
      <c r="E81" s="168">
        <f>Table2[[#This Row],[کل فروش]]-Table2[[#This Row],[تسویه شده]]</f>
        <v>0</v>
      </c>
      <c r="F81" s="189"/>
      <c r="G81" s="139"/>
      <c r="H81" s="140"/>
      <c r="I81" s="140"/>
    </row>
    <row r="82" spans="2:9" ht="18.75" hidden="1" customHeight="1" x14ac:dyDescent="0.45">
      <c r="B82" s="175" t="str">
        <v>خودم</v>
      </c>
      <c r="C82" s="168">
        <f>SUMIFS(T[قیمت کل], T[فروشنده / مشتری], B82, T[نوع عملیات], "فروش")</f>
        <v>0</v>
      </c>
      <c r="D82" s="168">
        <f>SUMIFS(T[تسویه], T[فروشنده / مشتری], B82, T[نوع عملیات], "فروش") + SUMIFS(T[تسویه], T[فروشنده / مشتری], B82, T[نوع عملیات], "دریافت")</f>
        <v>0</v>
      </c>
      <c r="E82" s="168">
        <f>Table2[[#This Row],[کل فروش]]-Table2[[#This Row],[تسویه شده]]</f>
        <v>0</v>
      </c>
      <c r="F82" s="189"/>
      <c r="G82" s="139"/>
      <c r="H82" s="140"/>
      <c r="I82" s="140"/>
    </row>
    <row r="83" spans="2:9" ht="18.75" hidden="1" customHeight="1" x14ac:dyDescent="0.45">
      <c r="B83" s="176"/>
      <c r="C83" s="168">
        <f>SUMIFS(T[قیمت کل], T[فروشنده / مشتری], B83, T[نوع عملیات], "فروش")</f>
        <v>0</v>
      </c>
      <c r="D83" s="168">
        <f>SUMIFS(T[تسویه], T[فروشنده / مشتری], B83, T[نوع عملیات], "فروش") + SUMIFS(T[تسویه], T[فروشنده / مشتری], B83, T[نوع عملیات], "دریافت")</f>
        <v>0</v>
      </c>
      <c r="E83" s="168">
        <f>Table2[[#This Row],[کل فروش]]-Table2[[#This Row],[تسویه شده]]</f>
        <v>0</v>
      </c>
      <c r="F83" s="189"/>
      <c r="G83" s="139"/>
      <c r="H83" s="140"/>
      <c r="I83" s="140"/>
    </row>
    <row r="84" spans="2:9" ht="18.75" hidden="1" customHeight="1" x14ac:dyDescent="0.45">
      <c r="B84" s="175"/>
      <c r="C84" s="168">
        <f>SUMIFS(T[قیمت کل], T[فروشنده / مشتری], B84, T[نوع عملیات], "فروش")</f>
        <v>0</v>
      </c>
      <c r="D84" s="168">
        <f>SUMIFS(T[تسویه], T[فروشنده / مشتری], B84, T[نوع عملیات], "فروش") + SUMIFS(T[تسویه], T[فروشنده / مشتری], B84, T[نوع عملیات], "دریافت")</f>
        <v>0</v>
      </c>
      <c r="E84" s="168">
        <f>Table2[[#This Row],[کل فروش]]-Table2[[#This Row],[تسویه شده]]</f>
        <v>0</v>
      </c>
      <c r="F84" s="189"/>
      <c r="G84" s="139"/>
      <c r="H84" s="140"/>
      <c r="I84" s="140"/>
    </row>
    <row r="85" spans="2:9" ht="18.75" hidden="1" customHeight="1" x14ac:dyDescent="0.45">
      <c r="B85" s="176"/>
      <c r="C85" s="168">
        <f>SUMIFS(T[قیمت کل], T[فروشنده / مشتری], B85, T[نوع عملیات], "فروش")</f>
        <v>0</v>
      </c>
      <c r="D85" s="168">
        <f>SUMIFS(T[تسویه], T[فروشنده / مشتری], B85, T[نوع عملیات], "فروش") + SUMIFS(T[تسویه], T[فروشنده / مشتری], B85, T[نوع عملیات], "دریافت")</f>
        <v>0</v>
      </c>
      <c r="E85" s="168">
        <f>Table2[[#This Row],[کل فروش]]-Table2[[#This Row],[تسویه شده]]</f>
        <v>0</v>
      </c>
      <c r="F85" s="189"/>
      <c r="G85" s="139"/>
      <c r="H85" s="140"/>
      <c r="I85" s="140"/>
    </row>
    <row r="86" spans="2:9" ht="18.75" hidden="1" customHeight="1" x14ac:dyDescent="0.45">
      <c r="B86" s="175"/>
      <c r="C86" s="168">
        <f>SUMIFS(T[قیمت کل], T[فروشنده / مشتری], B86, T[نوع عملیات], "فروش")</f>
        <v>0</v>
      </c>
      <c r="D86" s="168">
        <f>SUMIFS(T[تسویه], T[فروشنده / مشتری], B86, T[نوع عملیات], "فروش") + SUMIFS(T[تسویه], T[فروشنده / مشتری], B86, T[نوع عملیات], "دریافت")</f>
        <v>0</v>
      </c>
      <c r="E86" s="168">
        <f>Table2[[#This Row],[کل فروش]]-Table2[[#This Row],[تسویه شده]]</f>
        <v>0</v>
      </c>
      <c r="F86" s="189"/>
      <c r="G86" s="139"/>
      <c r="H86" s="140"/>
      <c r="I86" s="140"/>
    </row>
    <row r="87" spans="2:9" ht="18.75" hidden="1" customHeight="1" x14ac:dyDescent="0.45">
      <c r="B87" s="176"/>
      <c r="C87" s="168">
        <f>SUMIFS(T[قیمت کل], T[فروشنده / مشتری], B87, T[نوع عملیات], "فروش")</f>
        <v>0</v>
      </c>
      <c r="D87" s="168">
        <f>SUMIFS(T[تسویه], T[فروشنده / مشتری], B87, T[نوع عملیات], "فروش") + SUMIFS(T[تسویه], T[فروشنده / مشتری], B87, T[نوع عملیات], "دریافت")</f>
        <v>0</v>
      </c>
      <c r="E87" s="168">
        <f>Table2[[#This Row],[کل فروش]]-Table2[[#This Row],[تسویه شده]]</f>
        <v>0</v>
      </c>
      <c r="F87" s="189"/>
      <c r="G87" s="139"/>
      <c r="H87" s="140"/>
      <c r="I87" s="140"/>
    </row>
    <row r="88" spans="2:9" ht="18.75" hidden="1" customHeight="1" x14ac:dyDescent="0.45">
      <c r="B88" s="175"/>
      <c r="C88" s="168">
        <f>SUMIFS(T[قیمت کل], T[فروشنده / مشتری], B88, T[نوع عملیات], "فروش")</f>
        <v>0</v>
      </c>
      <c r="D88" s="168">
        <f>SUMIFS(T[تسویه], T[فروشنده / مشتری], B88, T[نوع عملیات], "فروش") + SUMIFS(T[تسویه], T[فروشنده / مشتری], B88, T[نوع عملیات], "دریافت")</f>
        <v>0</v>
      </c>
      <c r="E88" s="168">
        <f>Table2[[#This Row],[کل فروش]]-Table2[[#This Row],[تسویه شده]]</f>
        <v>0</v>
      </c>
      <c r="F88" s="189"/>
      <c r="G88" s="139"/>
      <c r="H88" s="140"/>
      <c r="I88" s="140"/>
    </row>
    <row r="89" spans="2:9" ht="18.75" hidden="1" customHeight="1" x14ac:dyDescent="0.45">
      <c r="B89" s="176"/>
      <c r="C89" s="168">
        <f>SUMIFS(T[قیمت کل], T[فروشنده / مشتری], B89, T[نوع عملیات], "فروش")</f>
        <v>0</v>
      </c>
      <c r="D89" s="168">
        <f>SUMIFS(T[تسویه], T[فروشنده / مشتری], B89, T[نوع عملیات], "فروش") + SUMIFS(T[تسویه], T[فروشنده / مشتری], B89, T[نوع عملیات], "دریافت")</f>
        <v>0</v>
      </c>
      <c r="E89" s="168">
        <f>Table2[[#This Row],[کل فروش]]-Table2[[#This Row],[تسویه شده]]</f>
        <v>0</v>
      </c>
      <c r="F89" s="189"/>
      <c r="G89" s="139"/>
      <c r="H89" s="140"/>
      <c r="I89" s="140"/>
    </row>
    <row r="90" spans="2:9" ht="18.75" hidden="1" customHeight="1" x14ac:dyDescent="0.45">
      <c r="B90" s="175"/>
      <c r="C90" s="168">
        <f>SUMIFS(T[قیمت کل], T[فروشنده / مشتری], B90, T[نوع عملیات], "فروش")</f>
        <v>0</v>
      </c>
      <c r="D90" s="168">
        <f>SUMIFS(T[تسویه], T[فروشنده / مشتری], B90, T[نوع عملیات], "فروش") + SUMIFS(T[تسویه], T[فروشنده / مشتری], B90, T[نوع عملیات], "دریافت")</f>
        <v>0</v>
      </c>
      <c r="E90" s="168">
        <f>Table2[[#This Row],[کل فروش]]-Table2[[#This Row],[تسویه شده]]</f>
        <v>0</v>
      </c>
      <c r="F90" s="189"/>
      <c r="G90" s="139"/>
      <c r="H90" s="140"/>
      <c r="I90" s="140"/>
    </row>
    <row r="91" spans="2:9" ht="18.75" hidden="1" customHeight="1" x14ac:dyDescent="0.45">
      <c r="B91" s="176"/>
      <c r="C91" s="168">
        <f>SUMIFS(T[قیمت کل], T[فروشنده / مشتری], B91, T[نوع عملیات], "فروش")</f>
        <v>0</v>
      </c>
      <c r="D91" s="168">
        <f>SUMIFS(T[تسویه], T[فروشنده / مشتری], B91, T[نوع عملیات], "فروش") + SUMIFS(T[تسویه], T[فروشنده / مشتری], B91, T[نوع عملیات], "دریافت")</f>
        <v>0</v>
      </c>
      <c r="E91" s="168">
        <f>Table2[[#This Row],[کل فروش]]-Table2[[#This Row],[تسویه شده]]</f>
        <v>0</v>
      </c>
      <c r="F91" s="189"/>
      <c r="G91" s="139"/>
      <c r="H91" s="140"/>
      <c r="I91" s="140"/>
    </row>
    <row r="92" spans="2:9" ht="18.75" hidden="1" customHeight="1" x14ac:dyDescent="0.45">
      <c r="B92" s="175"/>
      <c r="C92" s="168">
        <f>SUMIFS(T[قیمت کل], T[فروشنده / مشتری], B92, T[نوع عملیات], "فروش")</f>
        <v>0</v>
      </c>
      <c r="D92" s="168">
        <f>SUMIFS(T[تسویه], T[فروشنده / مشتری], B92, T[نوع عملیات], "فروش") + SUMIFS(T[تسویه], T[فروشنده / مشتری], B92, T[نوع عملیات], "دریافت")</f>
        <v>0</v>
      </c>
      <c r="E92" s="168">
        <f>Table2[[#This Row],[کل فروش]]-Table2[[#This Row],[تسویه شده]]</f>
        <v>0</v>
      </c>
      <c r="F92" s="189"/>
      <c r="G92" s="139"/>
      <c r="H92" s="140"/>
      <c r="I92" s="140"/>
    </row>
    <row r="93" spans="2:9" ht="18.75" hidden="1" customHeight="1" x14ac:dyDescent="0.45">
      <c r="B93" s="176"/>
      <c r="C93" s="168">
        <f>SUMIFS(T[قیمت کل], T[فروشنده / مشتری], B93, T[نوع عملیات], "فروش")</f>
        <v>0</v>
      </c>
      <c r="D93" s="168">
        <f>SUMIFS(T[تسویه], T[فروشنده / مشتری], B93, T[نوع عملیات], "فروش") + SUMIFS(T[تسویه], T[فروشنده / مشتری], B93, T[نوع عملیات], "دریافت")</f>
        <v>0</v>
      </c>
      <c r="E93" s="168">
        <f>Table2[[#This Row],[کل فروش]]-Table2[[#This Row],[تسویه شده]]</f>
        <v>0</v>
      </c>
      <c r="F93" s="189"/>
      <c r="G93" s="139"/>
      <c r="H93" s="140"/>
      <c r="I93" s="140"/>
    </row>
    <row r="94" spans="2:9" ht="18.75" hidden="1" customHeight="1" x14ac:dyDescent="0.45">
      <c r="B94" s="175"/>
      <c r="C94" s="168">
        <f>SUMIFS(T[قیمت کل], T[فروشنده / مشتری], B94, T[نوع عملیات], "فروش")</f>
        <v>0</v>
      </c>
      <c r="D94" s="168">
        <f>SUMIFS(T[تسویه], T[فروشنده / مشتری], B94, T[نوع عملیات], "فروش") + SUMIFS(T[تسویه], T[فروشنده / مشتری], B94, T[نوع عملیات], "دریافت")</f>
        <v>0</v>
      </c>
      <c r="E94" s="168">
        <f>Table2[[#This Row],[کل فروش]]-Table2[[#This Row],[تسویه شده]]</f>
        <v>0</v>
      </c>
      <c r="F94" s="189"/>
      <c r="G94" s="139"/>
      <c r="H94" s="140"/>
      <c r="I94" s="140"/>
    </row>
    <row r="95" spans="2:9" ht="18.75" hidden="1" customHeight="1" x14ac:dyDescent="0.45">
      <c r="B95" s="176"/>
      <c r="C95" s="168">
        <f>SUMIFS(T[قیمت کل], T[فروشنده / مشتری], B95, T[نوع عملیات], "فروش")</f>
        <v>0</v>
      </c>
      <c r="D95" s="168">
        <f>SUMIFS(T[تسویه], T[فروشنده / مشتری], B95, T[نوع عملیات], "فروش") + SUMIFS(T[تسویه], T[فروشنده / مشتری], B95, T[نوع عملیات], "دریافت")</f>
        <v>0</v>
      </c>
      <c r="E95" s="168">
        <f>Table2[[#This Row],[کل فروش]]-Table2[[#This Row],[تسویه شده]]</f>
        <v>0</v>
      </c>
      <c r="F95" s="189"/>
      <c r="G95" s="139"/>
      <c r="H95" s="140"/>
      <c r="I95" s="140"/>
    </row>
    <row r="96" spans="2:9" ht="18.75" hidden="1" customHeight="1" x14ac:dyDescent="0.45">
      <c r="B96" s="175"/>
      <c r="C96" s="168">
        <f>SUMIFS(T[قیمت کل], T[فروشنده / مشتری], B96, T[نوع عملیات], "فروش")</f>
        <v>0</v>
      </c>
      <c r="D96" s="168">
        <f>SUMIFS(T[تسویه], T[فروشنده / مشتری], B96, T[نوع عملیات], "فروش") + SUMIFS(T[تسویه], T[فروشنده / مشتری], B96, T[نوع عملیات], "دریافت")</f>
        <v>0</v>
      </c>
      <c r="E96" s="168">
        <f>Table2[[#This Row],[کل فروش]]-Table2[[#This Row],[تسویه شده]]</f>
        <v>0</v>
      </c>
      <c r="F96" s="189"/>
      <c r="G96" s="139"/>
      <c r="H96" s="140"/>
      <c r="I96" s="140"/>
    </row>
    <row r="97" spans="2:9" ht="18.75" hidden="1" customHeight="1" x14ac:dyDescent="0.45">
      <c r="B97" s="176"/>
      <c r="C97" s="168">
        <f>SUMIFS(T[قیمت کل], T[فروشنده / مشتری], B97, T[نوع عملیات], "فروش")</f>
        <v>0</v>
      </c>
      <c r="D97" s="168">
        <f>SUMIFS(T[تسویه], T[فروشنده / مشتری], B97, T[نوع عملیات], "فروش") + SUMIFS(T[تسویه], T[فروشنده / مشتری], B97, T[نوع عملیات], "دریافت")</f>
        <v>0</v>
      </c>
      <c r="E97" s="168">
        <f>Table2[[#This Row],[کل فروش]]-Table2[[#This Row],[تسویه شده]]</f>
        <v>0</v>
      </c>
      <c r="F97" s="189"/>
      <c r="G97" s="139"/>
      <c r="H97" s="140"/>
      <c r="I97" s="140"/>
    </row>
    <row r="98" spans="2:9" ht="18.75" hidden="1" customHeight="1" x14ac:dyDescent="0.45">
      <c r="B98" s="175"/>
      <c r="C98" s="168">
        <f>SUMIFS(T[قیمت کل], T[فروشنده / مشتری], B98, T[نوع عملیات], "فروش")</f>
        <v>0</v>
      </c>
      <c r="D98" s="168">
        <f>SUMIFS(T[تسویه], T[فروشنده / مشتری], B98, T[نوع عملیات], "فروش") + SUMIFS(T[تسویه], T[فروشنده / مشتری], B98, T[نوع عملیات], "دریافت")</f>
        <v>0</v>
      </c>
      <c r="E98" s="169">
        <f>Table2[[#This Row],[کل فروش]]-Table2[[#This Row],[تسویه شده]]</f>
        <v>0</v>
      </c>
      <c r="F98" s="190"/>
      <c r="G98" s="164"/>
      <c r="H98" s="165"/>
      <c r="I98" s="165"/>
    </row>
  </sheetData>
  <conditionalFormatting sqref="E2:E1048576">
    <cfRule type="expression" dxfId="60" priority="1">
      <formula>($E2&lt;0)</formula>
    </cfRule>
    <cfRule type="expression" dxfId="59" priority="2">
      <formula>($E2=0)</formula>
    </cfRule>
    <cfRule type="expression" dxfId="58" priority="3">
      <formula>AND(($E2/$C2)&lt;=20%, $E2&gt;0)</formula>
    </cfRule>
    <cfRule type="expression" dxfId="57" priority="4">
      <formula>AND(($E2/$C2)&gt;20%, ($E2/$C2)&lt;100%)</formula>
    </cfRule>
    <cfRule type="expression" dxfId="56" priority="5">
      <formula>AND($E2=$C2, $C2&gt;0)</formula>
    </cfRule>
  </conditionalFormatting>
  <conditionalFormatting sqref="E1">
    <cfRule type="expression" dxfId="55" priority="27">
      <formula>($E1&lt;0)</formula>
    </cfRule>
    <cfRule type="expression" dxfId="54" priority="28">
      <formula>($E1=0)</formula>
    </cfRule>
    <cfRule type="expression" dxfId="53" priority="29">
      <formula>AND(($E1/#REF!)&lt;=20%, $E1&gt;0)</formula>
    </cfRule>
    <cfRule type="expression" dxfId="52" priority="30">
      <formula>AND(($E1/#REF!)&gt;20%, ($E1/#REF!)&lt;100%)</formula>
    </cfRule>
    <cfRule type="expression" dxfId="51" priority="31">
      <formula>AND($E1=#REF!, #REF!&gt;0)</formula>
    </cfRule>
  </conditionalFormatting>
  <pageMargins left="0.7" right="0.7" top="0.75" bottom="0.75" header="0.3" footer="0.3"/>
  <ignoredErrors>
    <ignoredError sqref="F21:G21" numberStoredAsText="1"/>
  </ignoredErrors>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8FDF9-BC8E-4729-A1DF-F0E23794FD88}">
  <sheetPr codeName="Sheet107">
    <tabColor theme="9" tint="-0.249977111117893"/>
  </sheetPr>
  <dimension ref="B1:K49"/>
  <sheetViews>
    <sheetView showGridLines="0" rightToLeft="1" zoomScale="90" zoomScaleNormal="90" workbookViewId="0">
      <selection activeCell="D19" sqref="D19"/>
    </sheetView>
  </sheetViews>
  <sheetFormatPr defaultRowHeight="18.75" customHeight="1" x14ac:dyDescent="0.45"/>
  <cols>
    <col min="1" max="1" width="4.19921875" customWidth="1"/>
    <col min="2" max="2" width="22.265625" customWidth="1"/>
    <col min="3" max="3" width="15.1328125" customWidth="1"/>
    <col min="4" max="4" width="16.06640625" customWidth="1"/>
    <col min="5" max="5" width="16.06640625" style="337" customWidth="1"/>
    <col min="6" max="7" width="15.1328125" customWidth="1"/>
    <col min="8" max="8" width="24.06640625" customWidth="1"/>
    <col min="9" max="9" width="21.73046875" customWidth="1"/>
    <col min="10" max="10" width="14.19921875" customWidth="1"/>
    <col min="11" max="11" width="18.265625" customWidth="1"/>
    <col min="12" max="12" width="35.265625" customWidth="1"/>
    <col min="13" max="15" width="14.1328125" customWidth="1"/>
  </cols>
  <sheetData>
    <row r="1" spans="2:11" ht="23.25" x14ac:dyDescent="0.7">
      <c r="B1" s="323" t="s">
        <v>125</v>
      </c>
    </row>
    <row r="2" spans="2:11" ht="26.25" customHeight="1" thickBot="1" x14ac:dyDescent="0.5">
      <c r="B2" s="184" t="s">
        <v>126</v>
      </c>
      <c r="C2" s="182" t="s">
        <v>300</v>
      </c>
      <c r="D2" s="182" t="s">
        <v>382</v>
      </c>
      <c r="E2" s="338" t="s">
        <v>577</v>
      </c>
      <c r="F2" s="182" t="s">
        <v>291</v>
      </c>
      <c r="G2" s="182" t="s">
        <v>576</v>
      </c>
      <c r="H2" s="183" t="s">
        <v>127</v>
      </c>
      <c r="I2" s="173" t="s">
        <v>301</v>
      </c>
      <c r="J2" s="170" t="s">
        <v>294</v>
      </c>
      <c r="K2" s="172" t="s">
        <v>502</v>
      </c>
    </row>
    <row r="3" spans="2:11" ht="7.5" hidden="1" customHeight="1" x14ac:dyDescent="0.45">
      <c r="B3" s="166"/>
      <c r="C3" s="179">
        <f>SUMIFS(T[قیمت کل], T[فروشنده / مشتری], B3, T[نوع عملیات], "خرید")</f>
        <v>0</v>
      </c>
      <c r="D3" s="179">
        <f>SUMIFS(Summary[ارزش کالای فروخته شده], Summary[فروشنده], B3)</f>
        <v>0</v>
      </c>
      <c r="E3" s="336" t="e">
        <f>1-Table3[[#This Row],[فروخته شده]]/Table3[[#This Row],[کل خرید]]</f>
        <v>#DIV/0!</v>
      </c>
      <c r="F3" s="179">
        <f>SUMIFS(T[تسویه], T[فروشنده / مشتری], B3, T[نوع عملیات], "خرید") + SUMIFS(T[تسویه], T[فروشنده / مشتری], B3, T[نوع عملیات], "پرداخت")</f>
        <v>0</v>
      </c>
      <c r="G3" s="179">
        <f>Table3[[#This Row],[کل خرید]]-Table3[[#This Row],[تسویه شده]]</f>
        <v>0</v>
      </c>
      <c r="H3" s="166"/>
      <c r="I3" s="140"/>
      <c r="J3" s="140"/>
      <c r="K3" s="177"/>
    </row>
    <row r="4" spans="2:11" ht="18.75" customHeight="1" x14ac:dyDescent="0.45">
      <c r="B4" s="185" t="str" cm="1">
        <f t="array" ref="B4:B21">_xlfn.UNIQUE(_xlfn._xlws.FILTER(T[فروشنده / مشتری], T[نوع عملیات]="خرید"))</f>
        <v>وان ترکیه</v>
      </c>
      <c r="C4" s="179">
        <f>SUMIFS(T[قیمت کل], T[فروشنده / مشتری], B4, T[نوع عملیات], "خرید")</f>
        <v>23960000</v>
      </c>
      <c r="D4" s="179">
        <f>SUMIFS(Summary[ارزش کالای فروخته شده], Summary[فروشنده], B4)</f>
        <v>3750000</v>
      </c>
      <c r="E4" s="336">
        <f>1-Table3[[#This Row],[فروخته شده]]/Table3[[#This Row],[کل خرید]]</f>
        <v>0.84348914858096824</v>
      </c>
      <c r="F4" s="179">
        <f>SUMIFS(T[تسویه], T[فروشنده / مشتری], B4, T[نوع عملیات], "خرید") + SUMIFS(T[تسویه], T[فروشنده / مشتری], B4, T[نوع عملیات], "پرداخت")</f>
        <v>23960000</v>
      </c>
      <c r="G4" s="179">
        <f>Table3[[#This Row],[کل خرید]]-Table3[[#This Row],[تسویه شده]]</f>
        <v>0</v>
      </c>
      <c r="H4" s="166"/>
      <c r="I4" s="140"/>
      <c r="J4" s="140"/>
      <c r="K4" s="177"/>
    </row>
    <row r="5" spans="2:11" ht="18.75" customHeight="1" x14ac:dyDescent="0.45">
      <c r="B5" s="186" t="str">
        <v>مهناز - تولیدی</v>
      </c>
      <c r="C5" s="179">
        <f>SUMIFS(T[قیمت کل], T[فروشنده / مشتری], B5, T[نوع عملیات], "خرید")</f>
        <v>37260000</v>
      </c>
      <c r="D5" s="179">
        <f>SUMIFS(Summary[ارزش کالای فروخته شده], Summary[فروشنده], B5)</f>
        <v>17370000</v>
      </c>
      <c r="E5" s="336">
        <f>1-Table3[[#This Row],[فروخته شده]]/Table3[[#This Row],[کل خرید]]</f>
        <v>0.53381642512077287</v>
      </c>
      <c r="F5" s="179">
        <f>SUMIFS(T[تسویه], T[فروشنده / مشتری], B5, T[نوع عملیات], "خرید") + SUMIFS(T[تسویه], T[فروشنده / مشتری], B5, T[نوع عملیات], "پرداخت")</f>
        <v>0</v>
      </c>
      <c r="G5" s="179">
        <f>Table3[[#This Row],[کل خرید]]-Table3[[#This Row],[تسویه شده]]</f>
        <v>37260000</v>
      </c>
      <c r="H5" s="166"/>
      <c r="I5" s="140"/>
      <c r="J5" s="140"/>
      <c r="K5" s="177"/>
    </row>
    <row r="6" spans="2:11" ht="18.75" customHeight="1" x14ac:dyDescent="0.45">
      <c r="B6" s="185" t="str">
        <v>فریده</v>
      </c>
      <c r="C6" s="179">
        <f>SUMIFS(T[قیمت کل], T[فروشنده / مشتری], B6, T[نوع عملیات], "خرید")</f>
        <v>31824000</v>
      </c>
      <c r="D6" s="179">
        <f>SUMIFS(Summary[ارزش کالای فروخته شده], Summary[فروشنده], B6)</f>
        <v>15747000</v>
      </c>
      <c r="E6" s="336">
        <f>1-Table3[[#This Row],[فروخته شده]]/Table3[[#This Row],[کل خرید]]</f>
        <v>0.50518476621417796</v>
      </c>
      <c r="F6" s="179">
        <f>SUMIFS(T[تسویه], T[فروشنده / مشتری], B6, T[نوع عملیات], "خرید") + SUMIFS(T[تسویه], T[فروشنده / مشتری], B6, T[نوع عملیات], "پرداخت")</f>
        <v>0</v>
      </c>
      <c r="G6" s="179">
        <f>Table3[[#This Row],[کل خرید]]-Table3[[#This Row],[تسویه شده]]</f>
        <v>31824000</v>
      </c>
      <c r="H6" s="166"/>
      <c r="I6" s="140"/>
      <c r="J6" s="140"/>
      <c r="K6" s="177"/>
    </row>
    <row r="7" spans="2:11" ht="18.75" customHeight="1" x14ac:dyDescent="0.45">
      <c r="B7" s="186" t="str">
        <v>بازار</v>
      </c>
      <c r="C7" s="179">
        <f>SUMIFS(T[قیمت کل], T[فروشنده / مشتری], B7, T[نوع عملیات], "خرید")</f>
        <v>70159500</v>
      </c>
      <c r="D7" s="179">
        <f>SUMIFS(Summary[ارزش کالای فروخته شده], Summary[فروشنده], B7)</f>
        <v>40995903.361344539</v>
      </c>
      <c r="E7" s="336">
        <f>1-Table3[[#This Row],[فروخته شده]]/Table3[[#This Row],[کل خرید]]</f>
        <v>0.415675662435671</v>
      </c>
      <c r="F7" s="179">
        <f>SUMIFS(T[تسویه], T[فروشنده / مشتری], B7, T[نوع عملیات], "خرید") + SUMIFS(T[تسویه], T[فروشنده / مشتری], B7, T[نوع عملیات], "پرداخت")</f>
        <v>70159500</v>
      </c>
      <c r="G7" s="179">
        <f>Table3[[#This Row],[کل خرید]]-Table3[[#This Row],[تسویه شده]]</f>
        <v>0</v>
      </c>
      <c r="H7" s="166"/>
      <c r="I7" s="140"/>
      <c r="J7" s="140"/>
      <c r="K7" s="177"/>
    </row>
    <row r="8" spans="2:11" ht="18.75" hidden="1" customHeight="1" x14ac:dyDescent="0.45">
      <c r="B8" s="185" t="str">
        <v>استانبول</v>
      </c>
      <c r="C8" s="179">
        <f>SUMIFS(T[قیمت کل], T[فروشنده / مشتری], B8, T[نوع عملیات], "خرید")</f>
        <v>0</v>
      </c>
      <c r="D8" s="179">
        <f>SUMIFS(Summary[ارزش کالای فروخته شده], Summary[فروشنده], B8)</f>
        <v>0</v>
      </c>
      <c r="E8" s="336" t="e">
        <f>1-Table3[[#This Row],[فروخته شده]]/Table3[[#This Row],[کل خرید]]</f>
        <v>#DIV/0!</v>
      </c>
      <c r="F8" s="179">
        <f>SUMIFS(T[تسویه], T[فروشنده / مشتری], B8, T[نوع عملیات], "خرید") + SUMIFS(T[تسویه], T[فروشنده / مشتری], B8, T[نوع عملیات], "پرداخت")</f>
        <v>0</v>
      </c>
      <c r="G8" s="179">
        <f>Table3[[#This Row],[کل خرید]]-Table3[[#This Row],[تسویه شده]]</f>
        <v>0</v>
      </c>
      <c r="H8" s="166"/>
      <c r="I8" s="140"/>
      <c r="J8" s="140"/>
      <c r="K8" s="177"/>
    </row>
    <row r="9" spans="2:11" ht="18.75" customHeight="1" x14ac:dyDescent="0.45">
      <c r="B9" s="186" t="str">
        <v>دلگشا</v>
      </c>
      <c r="C9" s="179">
        <f>SUMIFS(T[قیمت کل], T[فروشنده / مشتری], B9, T[نوع عملیات], "خرید")</f>
        <v>30280000</v>
      </c>
      <c r="D9" s="179">
        <f>SUMIFS(Summary[ارزش کالای فروخته شده], Summary[فروشنده], B9)</f>
        <v>17830000</v>
      </c>
      <c r="E9" s="336">
        <f>1-Table3[[#This Row],[فروخته شده]]/Table3[[#This Row],[کل خرید]]</f>
        <v>0.41116248348745044</v>
      </c>
      <c r="F9" s="179">
        <f>SUMIFS(T[تسویه], T[فروشنده / مشتری], B9, T[نوع عملیات], "خرید") + SUMIFS(T[تسویه], T[فروشنده / مشتری], B9, T[نوع عملیات], "پرداخت")</f>
        <v>30280000</v>
      </c>
      <c r="G9" s="179">
        <f>Table3[[#This Row],[کل خرید]]-Table3[[#This Row],[تسویه شده]]</f>
        <v>0</v>
      </c>
      <c r="H9" s="166"/>
      <c r="I9" s="140"/>
      <c r="J9" s="140"/>
      <c r="K9" s="177"/>
    </row>
    <row r="10" spans="2:11" ht="18.75" hidden="1" customHeight="1" x14ac:dyDescent="0.45">
      <c r="B10" s="185" t="str">
        <v>خودم</v>
      </c>
      <c r="C10" s="179">
        <f>SUMIFS(T[قیمت کل], T[فروشنده / مشتری], B10, T[نوع عملیات], "خرید")</f>
        <v>0</v>
      </c>
      <c r="D10" s="179">
        <f>SUMIFS(Summary[ارزش کالای فروخته شده], Summary[فروشنده], B10)</f>
        <v>0</v>
      </c>
      <c r="E10" s="336" t="e">
        <f>1-Table3[[#This Row],[فروخته شده]]/Table3[[#This Row],[کل خرید]]</f>
        <v>#DIV/0!</v>
      </c>
      <c r="F10" s="179">
        <f>SUMIFS(T[تسویه], T[فروشنده / مشتری], B10, T[نوع عملیات], "خرید") + SUMIFS(T[تسویه], T[فروشنده / مشتری], B10, T[نوع عملیات], "پرداخت")</f>
        <v>0</v>
      </c>
      <c r="G10" s="179">
        <f>Table3[[#This Row],[کل خرید]]-Table3[[#This Row],[تسویه شده]]</f>
        <v>0</v>
      </c>
      <c r="H10" s="166"/>
      <c r="I10" s="140"/>
      <c r="J10" s="140"/>
      <c r="K10" s="177"/>
    </row>
    <row r="11" spans="2:11" ht="18.75" customHeight="1" x14ac:dyDescent="0.45">
      <c r="B11" s="186" t="str">
        <v>عبدل آباد</v>
      </c>
      <c r="C11" s="179">
        <f>SUMIFS(T[قیمت کل], T[فروشنده / مشتری], B11, T[نوع عملیات], "خرید")</f>
        <v>345778000</v>
      </c>
      <c r="D11" s="179">
        <f>SUMIFS(Summary[ارزش کالای فروخته شده], Summary[فروشنده], B11)</f>
        <v>184509000</v>
      </c>
      <c r="E11" s="336">
        <f>1-Table3[[#This Row],[فروخته شده]]/Table3[[#This Row],[کل خرید]]</f>
        <v>0.46639462313970237</v>
      </c>
      <c r="F11" s="179">
        <f>SUMIFS(T[تسویه], T[فروشنده / مشتری], B11, T[نوع عملیات], "خرید") + SUMIFS(T[تسویه], T[فروشنده / مشتری], B11, T[نوع عملیات], "پرداخت")</f>
        <v>335778000</v>
      </c>
      <c r="G11" s="179">
        <f>Table3[[#This Row],[کل خرید]]-Table3[[#This Row],[تسویه شده]]</f>
        <v>10000000</v>
      </c>
      <c r="H11" s="166"/>
      <c r="I11" s="140"/>
      <c r="J11" s="140"/>
      <c r="K11" s="177"/>
    </row>
    <row r="12" spans="2:11" ht="18.75" customHeight="1" x14ac:dyDescent="0.45">
      <c r="B12" s="185" t="str">
        <v>تولیدی پوشاک تین استایل</v>
      </c>
      <c r="C12" s="179">
        <f>SUMIFS(T[قیمت کل], T[فروشنده / مشتری], B12, T[نوع عملیات], "خرید")</f>
        <v>1188000</v>
      </c>
      <c r="D12" s="179">
        <f>SUMIFS(Summary[ارزش کالای فروخته شده], Summary[فروشنده], B12)</f>
        <v>792000</v>
      </c>
      <c r="E12" s="336">
        <f>1-Table3[[#This Row],[فروخته شده]]/Table3[[#This Row],[کل خرید]]</f>
        <v>0.33333333333333337</v>
      </c>
      <c r="F12" s="179">
        <f>SUMIFS(T[تسویه], T[فروشنده / مشتری], B12, T[نوع عملیات], "خرید") + SUMIFS(T[تسویه], T[فروشنده / مشتری], B12, T[نوع عملیات], "پرداخت")</f>
        <v>1188000</v>
      </c>
      <c r="G12" s="179">
        <f>Table3[[#This Row],[کل خرید]]-Table3[[#This Row],[تسویه شده]]</f>
        <v>0</v>
      </c>
      <c r="H12" s="166"/>
      <c r="I12" s="140"/>
      <c r="J12" s="140"/>
      <c r="K12" s="177"/>
    </row>
    <row r="13" spans="2:11" ht="18.75" customHeight="1" x14ac:dyDescent="0.45">
      <c r="B13" s="186" t="str">
        <v>خانی آباد</v>
      </c>
      <c r="C13" s="179">
        <f>SUMIFS(T[قیمت کل], T[فروشنده / مشتری], B13, T[نوع عملیات], "خرید")</f>
        <v>450000</v>
      </c>
      <c r="D13" s="179">
        <f>SUMIFS(Summary[ارزش کالای فروخته شده], Summary[فروشنده], B13)</f>
        <v>0</v>
      </c>
      <c r="E13" s="336">
        <f>1-Table3[[#This Row],[فروخته شده]]/Table3[[#This Row],[کل خرید]]</f>
        <v>1</v>
      </c>
      <c r="F13" s="179">
        <f>SUMIFS(T[تسویه], T[فروشنده / مشتری], B13, T[نوع عملیات], "خرید") + SUMIFS(T[تسویه], T[فروشنده / مشتری], B13, T[نوع عملیات], "پرداخت")</f>
        <v>450000</v>
      </c>
      <c r="G13" s="179">
        <f>Table3[[#This Row],[کل خرید]]-Table3[[#This Row],[تسویه شده]]</f>
        <v>0</v>
      </c>
      <c r="H13" s="166"/>
      <c r="I13" s="140"/>
      <c r="J13" s="140"/>
      <c r="K13" s="177"/>
    </row>
    <row r="14" spans="2:11" ht="18.75" customHeight="1" x14ac:dyDescent="0.45">
      <c r="B14" s="185" t="str">
        <v>سیروس</v>
      </c>
      <c r="C14" s="179">
        <f>SUMIFS(T[قیمت کل], T[فروشنده / مشتری], B14, T[نوع عملیات], "خرید")</f>
        <v>600000</v>
      </c>
      <c r="D14" s="179">
        <f>SUMIFS(Summary[ارزش کالای فروخته شده], Summary[فروشنده], B14)</f>
        <v>400000</v>
      </c>
      <c r="E14" s="336">
        <f>1-Table3[[#This Row],[فروخته شده]]/Table3[[#This Row],[کل خرید]]</f>
        <v>0.33333333333333337</v>
      </c>
      <c r="F14" s="179">
        <f>SUMIFS(T[تسویه], T[فروشنده / مشتری], B14, T[نوع عملیات], "خرید") + SUMIFS(T[تسویه], T[فروشنده / مشتری], B14, T[نوع عملیات], "پرداخت")</f>
        <v>600000</v>
      </c>
      <c r="G14" s="179">
        <f>Table3[[#This Row],[کل خرید]]-Table3[[#This Row],[تسویه شده]]</f>
        <v>0</v>
      </c>
      <c r="H14" s="166"/>
      <c r="I14" s="140"/>
      <c r="J14" s="140"/>
      <c r="K14" s="177"/>
    </row>
    <row r="15" spans="2:11" ht="18.75" customHeight="1" x14ac:dyDescent="0.45">
      <c r="B15" s="186" t="str">
        <v>سرای ملی</v>
      </c>
      <c r="C15" s="179">
        <f>SUMIFS(T[قیمت کل], T[فروشنده / مشتری], B15, T[نوع عملیات], "خرید")</f>
        <v>104231000</v>
      </c>
      <c r="D15" s="179">
        <f>SUMIFS(Summary[ارزش کالای فروخته شده], Summary[فروشنده], B15)</f>
        <v>40860666.666666664</v>
      </c>
      <c r="E15" s="336">
        <f>1-Table3[[#This Row],[فروخته شده]]/Table3[[#This Row],[کل خرید]]</f>
        <v>0.60797971173003562</v>
      </c>
      <c r="F15" s="179">
        <f>SUMIFS(T[تسویه], T[فروشنده / مشتری], B15, T[نوع عملیات], "خرید") + SUMIFS(T[تسویه], T[فروشنده / مشتری], B15, T[نوع عملیات], "پرداخت")</f>
        <v>104231000</v>
      </c>
      <c r="G15" s="179">
        <f>Table3[[#This Row],[کل خرید]]-Table3[[#This Row],[تسویه شده]]</f>
        <v>0</v>
      </c>
      <c r="H15" s="166"/>
      <c r="I15" s="140"/>
      <c r="J15" s="140"/>
      <c r="K15" s="177"/>
    </row>
    <row r="16" spans="2:11" ht="18.75" customHeight="1" x14ac:dyDescent="0.45">
      <c r="B16" s="185" t="str">
        <v>فروشنده نامشخص</v>
      </c>
      <c r="C16" s="179">
        <f>SUMIFS(T[قیمت کل], T[فروشنده / مشتری], B16, T[نوع عملیات], "خرید")</f>
        <v>750000</v>
      </c>
      <c r="D16" s="179">
        <f>SUMIFS(Summary[ارزش کالای فروخته شده], Summary[فروشنده], B16)</f>
        <v>750000</v>
      </c>
      <c r="E16" s="336">
        <f>1-Table3[[#This Row],[فروخته شده]]/Table3[[#This Row],[کل خرید]]</f>
        <v>0</v>
      </c>
      <c r="F16" s="179">
        <f>SUMIFS(T[تسویه], T[فروشنده / مشتری], B16, T[نوع عملیات], "خرید") + SUMIFS(T[تسویه], T[فروشنده / مشتری], B16, T[نوع عملیات], "پرداخت")</f>
        <v>750000</v>
      </c>
      <c r="G16" s="179">
        <f>Table3[[#This Row],[کل خرید]]-Table3[[#This Row],[تسویه شده]]</f>
        <v>0</v>
      </c>
      <c r="H16" s="166"/>
      <c r="I16" s="140"/>
      <c r="J16" s="140"/>
      <c r="K16" s="177"/>
    </row>
    <row r="17" spans="2:11" ht="18.75" customHeight="1" x14ac:dyDescent="0.45">
      <c r="B17" s="186" t="str">
        <v>مهسا - سالن</v>
      </c>
      <c r="C17" s="179">
        <f>SUMIFS(T[قیمت کل], T[فروشنده / مشتری], B17, T[نوع عملیات], "خرید")</f>
        <v>640000</v>
      </c>
      <c r="D17" s="179">
        <f>SUMIFS(Summary[ارزش کالای فروخته شده], Summary[فروشنده], B17)</f>
        <v>640000</v>
      </c>
      <c r="E17" s="336">
        <f>1-Table3[[#This Row],[فروخته شده]]/Table3[[#This Row],[کل خرید]]</f>
        <v>0</v>
      </c>
      <c r="F17" s="179">
        <f>SUMIFS(T[تسویه], T[فروشنده / مشتری], B17, T[نوع عملیات], "خرید") + SUMIFS(T[تسویه], T[فروشنده / مشتری], B17, T[نوع عملیات], "پرداخت")</f>
        <v>530000</v>
      </c>
      <c r="G17" s="179">
        <f>Table3[[#This Row],[کل خرید]]-Table3[[#This Row],[تسویه شده]]</f>
        <v>110000</v>
      </c>
      <c r="H17" s="166"/>
      <c r="I17" s="140"/>
      <c r="J17" s="140"/>
      <c r="K17" s="177"/>
    </row>
    <row r="18" spans="2:11" ht="18.75" customHeight="1" x14ac:dyDescent="0.45">
      <c r="B18" s="185" t="str">
        <v>بازار پارسیان</v>
      </c>
      <c r="C18" s="179">
        <f>SUMIFS(T[قیمت کل], T[فروشنده / مشتری], B18, T[نوع عملیات], "خرید")</f>
        <v>50300000</v>
      </c>
      <c r="D18" s="179">
        <f>SUMIFS(Summary[ارزش کالای فروخته شده], Summary[فروشنده], B18)</f>
        <v>28920607.769423559</v>
      </c>
      <c r="E18" s="336">
        <f>1-Table3[[#This Row],[فروخته شده]]/Table3[[#This Row],[کل خرید]]</f>
        <v>0.42503761889813996</v>
      </c>
      <c r="F18" s="179">
        <f>SUMIFS(T[تسویه], T[فروشنده / مشتری], B18, T[نوع عملیات], "خرید") + SUMIFS(T[تسویه], T[فروشنده / مشتری], B18, T[نوع عملیات], "پرداخت")</f>
        <v>41500000</v>
      </c>
      <c r="G18" s="179">
        <f>Table3[[#This Row],[کل خرید]]-Table3[[#This Row],[تسویه شده]]</f>
        <v>8800000</v>
      </c>
      <c r="H18" s="166"/>
      <c r="I18" s="140"/>
      <c r="J18" s="140"/>
      <c r="K18" s="177"/>
    </row>
    <row r="19" spans="2:11" ht="18.75" customHeight="1" x14ac:dyDescent="0.45">
      <c r="B19" s="186" t="str">
        <v>هستی هنگامه</v>
      </c>
      <c r="C19" s="179">
        <f>SUMIFS(T[قیمت کل], T[فروشنده / مشتری], B19, T[نوع عملیات], "خرید")</f>
        <v>27940000</v>
      </c>
      <c r="D19" s="179">
        <f>SUMIFS(Summary[ارزش کالای فروخته شده], Summary[فروشنده], B19)</f>
        <v>3700000</v>
      </c>
      <c r="E19" s="336">
        <f>1-Table3[[#This Row],[فروخته شده]]/Table3[[#This Row],[کل خرید]]</f>
        <v>0.86757337151037939</v>
      </c>
      <c r="F19" s="179">
        <f>SUMIFS(T[تسویه], T[فروشنده / مشتری], B19, T[نوع عملیات], "خرید") + SUMIFS(T[تسویه], T[فروشنده / مشتری], B19, T[نوع عملیات], "پرداخت")</f>
        <v>700000</v>
      </c>
      <c r="G19" s="179">
        <f>Table3[[#This Row],[کل خرید]]-Table3[[#This Row],[تسویه شده]]</f>
        <v>27240000</v>
      </c>
      <c r="H19" s="166"/>
      <c r="I19" s="140"/>
      <c r="J19" s="140"/>
      <c r="K19" s="177"/>
    </row>
    <row r="20" spans="2:11" ht="18.75" hidden="1" customHeight="1" x14ac:dyDescent="0.45">
      <c r="B20" s="185" t="str">
        <v>تولیدی رونیا</v>
      </c>
      <c r="C20" s="179">
        <f>SUMIFS(T[قیمت کل], T[فروشنده / مشتری], B20, T[نوع عملیات], "خرید")</f>
        <v>500000</v>
      </c>
      <c r="D20" s="179">
        <f>SUMIFS(Summary[ارزش کالای فروخته شده], Summary[فروشنده], B20)</f>
        <v>0</v>
      </c>
      <c r="E20" s="336">
        <f>1-Table3[[#This Row],[فروخته شده]]/Table3[[#This Row],[کل خرید]]</f>
        <v>1</v>
      </c>
      <c r="F20" s="179">
        <f>SUMIFS(T[تسویه], T[فروشنده / مشتری], B20, T[نوع عملیات], "خرید") + SUMIFS(T[تسویه], T[فروشنده / مشتری], B20, T[نوع عملیات], "پرداخت")</f>
        <v>0</v>
      </c>
      <c r="G20" s="179">
        <f>Table3[[#This Row],[کل خرید]]-Table3[[#This Row],[تسویه شده]]</f>
        <v>500000</v>
      </c>
      <c r="H20" s="166"/>
      <c r="I20" s="140"/>
      <c r="J20" s="140"/>
      <c r="K20" s="177"/>
    </row>
    <row r="21" spans="2:11" ht="18.75" hidden="1" customHeight="1" x14ac:dyDescent="0.45">
      <c r="B21" s="186" t="str">
        <v>مزون دانتل</v>
      </c>
      <c r="C21" s="179">
        <f>SUMIFS(T[قیمت کل], T[فروشنده / مشتری], B21, T[نوع عملیات], "خرید")</f>
        <v>2085000</v>
      </c>
      <c r="D21" s="179">
        <f>SUMIFS(Summary[ارزش کالای فروخته شده], Summary[فروشنده], B21)</f>
        <v>1042500</v>
      </c>
      <c r="E21" s="336">
        <f>1-Table3[[#This Row],[فروخته شده]]/Table3[[#This Row],[کل خرید]]</f>
        <v>0.5</v>
      </c>
      <c r="F21" s="179">
        <f>SUMIFS(T[تسویه], T[فروشنده / مشتری], B21, T[نوع عملیات], "خرید") + SUMIFS(T[تسویه], T[فروشنده / مشتری], B21, T[نوع عملیات], "پرداخت")</f>
        <v>2085000</v>
      </c>
      <c r="G21" s="179">
        <f>Table3[[#This Row],[کل خرید]]-Table3[[#This Row],[تسویه شده]]</f>
        <v>0</v>
      </c>
      <c r="H21" s="166"/>
      <c r="I21" s="140"/>
      <c r="J21" s="140"/>
      <c r="K21" s="177"/>
    </row>
    <row r="22" spans="2:11" ht="18.75" hidden="1" customHeight="1" x14ac:dyDescent="0.45">
      <c r="B22" s="185"/>
      <c r="C22" s="179">
        <f>SUMIFS(T[قیمت کل], T[فروشنده / مشتری], B22, T[نوع عملیات], "خرید")</f>
        <v>0</v>
      </c>
      <c r="D22" s="179">
        <f>SUMIFS(Summary[ارزش کالای فروخته شده], Summary[فروشنده], B22)</f>
        <v>0</v>
      </c>
      <c r="E22" s="336" t="e">
        <f>1-Table3[[#This Row],[فروخته شده]]/Table3[[#This Row],[کل خرید]]</f>
        <v>#DIV/0!</v>
      </c>
      <c r="F22" s="179">
        <f>SUMIFS(T[تسویه], T[فروشنده / مشتری], B22, T[نوع عملیات], "خرید") + SUMIFS(T[تسویه], T[فروشنده / مشتری], B22, T[نوع عملیات], "پرداخت")</f>
        <v>0</v>
      </c>
      <c r="G22" s="179">
        <f>Table3[[#This Row],[کل خرید]]-Table3[[#This Row],[تسویه شده]]</f>
        <v>0</v>
      </c>
      <c r="H22" s="166"/>
      <c r="I22" s="140"/>
      <c r="J22" s="140"/>
      <c r="K22" s="177"/>
    </row>
    <row r="23" spans="2:11" ht="18.75" hidden="1" customHeight="1" x14ac:dyDescent="0.45">
      <c r="B23" s="186"/>
      <c r="C23" s="179">
        <f>SUMIFS(T[قیمت کل], T[فروشنده / مشتری], B23, T[نوع عملیات], "خرید")</f>
        <v>0</v>
      </c>
      <c r="D23" s="179">
        <f>SUMIFS(Summary[ارزش کالای فروخته شده], Summary[فروشنده], B23)</f>
        <v>0</v>
      </c>
      <c r="E23" s="336" t="e">
        <f>1-Table3[[#This Row],[فروخته شده]]/Table3[[#This Row],[کل خرید]]</f>
        <v>#DIV/0!</v>
      </c>
      <c r="F23" s="179">
        <f>SUMIFS(T[تسویه], T[فروشنده / مشتری], B23, T[نوع عملیات], "خرید") + SUMIFS(T[تسویه], T[فروشنده / مشتری], B23, T[نوع عملیات], "پرداخت")</f>
        <v>0</v>
      </c>
      <c r="G23" s="179">
        <f>Table3[[#This Row],[کل خرید]]-Table3[[#This Row],[تسویه شده]]</f>
        <v>0</v>
      </c>
      <c r="H23" s="166"/>
      <c r="I23" s="140"/>
      <c r="J23" s="140"/>
      <c r="K23" s="177"/>
    </row>
    <row r="24" spans="2:11" ht="18.75" hidden="1" customHeight="1" x14ac:dyDescent="0.45">
      <c r="B24" s="185"/>
      <c r="C24" s="179">
        <f>SUMIFS(T[قیمت کل], T[فروشنده / مشتری], B24, T[نوع عملیات], "خرید")</f>
        <v>0</v>
      </c>
      <c r="D24" s="179">
        <f>SUMIFS(Summary[ارزش کالای فروخته شده], Summary[فروشنده], B24)</f>
        <v>0</v>
      </c>
      <c r="E24" s="336" t="e">
        <f>1-Table3[[#This Row],[فروخته شده]]/Table3[[#This Row],[کل خرید]]</f>
        <v>#DIV/0!</v>
      </c>
      <c r="F24" s="179">
        <f>SUMIFS(T[تسویه], T[فروشنده / مشتری], B24, T[نوع عملیات], "خرید") + SUMIFS(T[تسویه], T[فروشنده / مشتری], B24, T[نوع عملیات], "پرداخت")</f>
        <v>0</v>
      </c>
      <c r="G24" s="179">
        <f>Table3[[#This Row],[کل خرید]]-Table3[[#This Row],[تسویه شده]]</f>
        <v>0</v>
      </c>
      <c r="H24" s="166"/>
      <c r="I24" s="140"/>
      <c r="J24" s="140"/>
      <c r="K24" s="177"/>
    </row>
    <row r="25" spans="2:11" ht="18.75" hidden="1" customHeight="1" x14ac:dyDescent="0.45">
      <c r="B25" s="186"/>
      <c r="C25" s="179">
        <f>SUMIFS(T[قیمت کل], T[فروشنده / مشتری], B25, T[نوع عملیات], "خرید")</f>
        <v>0</v>
      </c>
      <c r="D25" s="179">
        <f>SUMIFS(Summary[ارزش کالای فروخته شده], Summary[فروشنده], B25)</f>
        <v>0</v>
      </c>
      <c r="E25" s="336" t="e">
        <f>1-Table3[[#This Row],[فروخته شده]]/Table3[[#This Row],[کل خرید]]</f>
        <v>#DIV/0!</v>
      </c>
      <c r="F25" s="179">
        <f>SUMIFS(T[تسویه], T[فروشنده / مشتری], B25, T[نوع عملیات], "خرید") + SUMIFS(T[تسویه], T[فروشنده / مشتری], B25, T[نوع عملیات], "پرداخت")</f>
        <v>0</v>
      </c>
      <c r="G25" s="179">
        <f>Table3[[#This Row],[کل خرید]]-Table3[[#This Row],[تسویه شده]]</f>
        <v>0</v>
      </c>
      <c r="H25" s="166"/>
      <c r="I25" s="140"/>
      <c r="J25" s="140"/>
      <c r="K25" s="177"/>
    </row>
    <row r="26" spans="2:11" ht="18.75" hidden="1" customHeight="1" x14ac:dyDescent="0.45">
      <c r="B26" s="185"/>
      <c r="C26" s="179">
        <f>SUMIFS(T[قیمت کل], T[فروشنده / مشتری], B26, T[نوع عملیات], "خرید")</f>
        <v>0</v>
      </c>
      <c r="D26" s="179">
        <f>SUMIFS(Summary[ارزش کالای فروخته شده], Summary[فروشنده], B26)</f>
        <v>0</v>
      </c>
      <c r="E26" s="336" t="e">
        <f>1-Table3[[#This Row],[فروخته شده]]/Table3[[#This Row],[کل خرید]]</f>
        <v>#DIV/0!</v>
      </c>
      <c r="F26" s="179">
        <f>SUMIFS(T[تسویه], T[فروشنده / مشتری], B26, T[نوع عملیات], "خرید") + SUMIFS(T[تسویه], T[فروشنده / مشتری], B26, T[نوع عملیات], "پرداخت")</f>
        <v>0</v>
      </c>
      <c r="G26" s="179">
        <f>Table3[[#This Row],[کل خرید]]-Table3[[#This Row],[تسویه شده]]</f>
        <v>0</v>
      </c>
      <c r="H26" s="166"/>
      <c r="I26" s="140"/>
      <c r="J26" s="140"/>
      <c r="K26" s="177"/>
    </row>
    <row r="27" spans="2:11" ht="18.75" hidden="1" customHeight="1" x14ac:dyDescent="0.45">
      <c r="B27" s="186"/>
      <c r="C27" s="179">
        <f>SUMIFS(T[قیمت کل], T[فروشنده / مشتری], B27, T[نوع عملیات], "خرید")</f>
        <v>0</v>
      </c>
      <c r="D27" s="179">
        <f>SUMIFS(Summary[ارزش کالای فروخته شده], Summary[فروشنده], B27)</f>
        <v>0</v>
      </c>
      <c r="E27" s="336" t="e">
        <f>1-Table3[[#This Row],[فروخته شده]]/Table3[[#This Row],[کل خرید]]</f>
        <v>#DIV/0!</v>
      </c>
      <c r="F27" s="179">
        <f>SUMIFS(T[تسویه], T[فروشنده / مشتری], B27, T[نوع عملیات], "خرید") + SUMIFS(T[تسویه], T[فروشنده / مشتری], B27, T[نوع عملیات], "پرداخت")</f>
        <v>0</v>
      </c>
      <c r="G27" s="179">
        <f>Table3[[#This Row],[کل خرید]]-Table3[[#This Row],[تسویه شده]]</f>
        <v>0</v>
      </c>
      <c r="H27" s="166"/>
      <c r="I27" s="140"/>
      <c r="J27" s="140"/>
      <c r="K27" s="177"/>
    </row>
    <row r="28" spans="2:11" ht="18.75" hidden="1" customHeight="1" x14ac:dyDescent="0.45">
      <c r="B28" s="185"/>
      <c r="C28" s="179">
        <f>SUMIFS(T[قیمت کل], T[فروشنده / مشتری], B28, T[نوع عملیات], "خرید")</f>
        <v>0</v>
      </c>
      <c r="D28" s="179">
        <f>SUMIFS(Summary[ارزش کالای فروخته شده], Summary[فروشنده], B28)</f>
        <v>0</v>
      </c>
      <c r="E28" s="336" t="e">
        <f>1-Table3[[#This Row],[فروخته شده]]/Table3[[#This Row],[کل خرید]]</f>
        <v>#DIV/0!</v>
      </c>
      <c r="F28" s="179">
        <f>SUMIFS(T[تسویه], T[فروشنده / مشتری], B28, T[نوع عملیات], "خرید") + SUMIFS(T[تسویه], T[فروشنده / مشتری], B28, T[نوع عملیات], "پرداخت")</f>
        <v>0</v>
      </c>
      <c r="G28" s="179">
        <f>Table3[[#This Row],[کل خرید]]-Table3[[#This Row],[تسویه شده]]</f>
        <v>0</v>
      </c>
      <c r="H28" s="166"/>
      <c r="I28" s="140"/>
      <c r="J28" s="140"/>
      <c r="K28" s="177"/>
    </row>
    <row r="29" spans="2:11" ht="18.75" hidden="1" customHeight="1" x14ac:dyDescent="0.45">
      <c r="B29" s="186"/>
      <c r="C29" s="179">
        <f>SUMIFS(T[قیمت کل], T[فروشنده / مشتری], B29, T[نوع عملیات], "خرید")</f>
        <v>0</v>
      </c>
      <c r="D29" s="179">
        <f>SUMIFS(Summary[ارزش کالای فروخته شده], Summary[فروشنده], B29)</f>
        <v>0</v>
      </c>
      <c r="E29" s="336" t="e">
        <f>1-Table3[[#This Row],[فروخته شده]]/Table3[[#This Row],[کل خرید]]</f>
        <v>#DIV/0!</v>
      </c>
      <c r="F29" s="179">
        <f>SUMIFS(T[تسویه], T[فروشنده / مشتری], B29, T[نوع عملیات], "خرید") + SUMIFS(T[تسویه], T[فروشنده / مشتری], B29, T[نوع عملیات], "پرداخت")</f>
        <v>0</v>
      </c>
      <c r="G29" s="179">
        <f>Table3[[#This Row],[کل خرید]]-Table3[[#This Row],[تسویه شده]]</f>
        <v>0</v>
      </c>
      <c r="H29" s="166"/>
      <c r="I29" s="140"/>
      <c r="J29" s="140"/>
      <c r="K29" s="177"/>
    </row>
    <row r="30" spans="2:11" ht="18.75" hidden="1" customHeight="1" x14ac:dyDescent="0.45">
      <c r="B30" s="185"/>
      <c r="C30" s="179">
        <f>SUMIFS(T[قیمت کل], T[فروشنده / مشتری], B30, T[نوع عملیات], "خرید")</f>
        <v>0</v>
      </c>
      <c r="D30" s="179">
        <f>SUMIFS(Summary[ارزش کالای فروخته شده], Summary[فروشنده], B30)</f>
        <v>0</v>
      </c>
      <c r="E30" s="336" t="e">
        <f>1-Table3[[#This Row],[فروخته شده]]/Table3[[#This Row],[کل خرید]]</f>
        <v>#DIV/0!</v>
      </c>
      <c r="F30" s="179">
        <f>SUMIFS(T[تسویه], T[فروشنده / مشتری], B30, T[نوع عملیات], "خرید") + SUMIFS(T[تسویه], T[فروشنده / مشتری], B30, T[نوع عملیات], "پرداخت")</f>
        <v>0</v>
      </c>
      <c r="G30" s="179">
        <f>Table3[[#This Row],[کل خرید]]-Table3[[#This Row],[تسویه شده]]</f>
        <v>0</v>
      </c>
      <c r="H30" s="166"/>
      <c r="I30" s="140"/>
      <c r="J30" s="140"/>
      <c r="K30" s="177"/>
    </row>
    <row r="31" spans="2:11" ht="18.75" hidden="1" customHeight="1" x14ac:dyDescent="0.45">
      <c r="B31" s="186"/>
      <c r="C31" s="179">
        <f>SUMIFS(T[قیمت کل], T[فروشنده / مشتری], B31, T[نوع عملیات], "خرید")</f>
        <v>0</v>
      </c>
      <c r="D31" s="179">
        <f>SUMIFS(Summary[ارزش کالای فروخته شده], Summary[فروشنده], B31)</f>
        <v>0</v>
      </c>
      <c r="E31" s="336" t="e">
        <f>1-Table3[[#This Row],[فروخته شده]]/Table3[[#This Row],[کل خرید]]</f>
        <v>#DIV/0!</v>
      </c>
      <c r="F31" s="179">
        <f>SUMIFS(T[تسویه], T[فروشنده / مشتری], B31, T[نوع عملیات], "خرید") + SUMIFS(T[تسویه], T[فروشنده / مشتری], B31, T[نوع عملیات], "پرداخت")</f>
        <v>0</v>
      </c>
      <c r="G31" s="179">
        <f>Table3[[#This Row],[کل خرید]]-Table3[[#This Row],[تسویه شده]]</f>
        <v>0</v>
      </c>
      <c r="H31" s="166"/>
      <c r="I31" s="140"/>
      <c r="J31" s="140"/>
      <c r="K31" s="177"/>
    </row>
    <row r="32" spans="2:11" ht="18.75" hidden="1" customHeight="1" x14ac:dyDescent="0.45">
      <c r="B32" s="185"/>
      <c r="C32" s="179">
        <f>SUMIFS(T[قیمت کل], T[فروشنده / مشتری], B32, T[نوع عملیات], "خرید")</f>
        <v>0</v>
      </c>
      <c r="D32" s="179">
        <f>SUMIFS(Summary[ارزش کالای فروخته شده], Summary[فروشنده], B32)</f>
        <v>0</v>
      </c>
      <c r="E32" s="336" t="e">
        <f>1-Table3[[#This Row],[فروخته شده]]/Table3[[#This Row],[کل خرید]]</f>
        <v>#DIV/0!</v>
      </c>
      <c r="F32" s="179">
        <f>SUMIFS(T[تسویه], T[فروشنده / مشتری], B32, T[نوع عملیات], "خرید") + SUMIFS(T[تسویه], T[فروشنده / مشتری], B32, T[نوع عملیات], "پرداخت")</f>
        <v>0</v>
      </c>
      <c r="G32" s="179">
        <f>Table3[[#This Row],[کل خرید]]-Table3[[#This Row],[تسویه شده]]</f>
        <v>0</v>
      </c>
      <c r="H32" s="166"/>
      <c r="I32" s="140"/>
      <c r="J32" s="140"/>
      <c r="K32" s="177"/>
    </row>
    <row r="33" spans="2:11" ht="18.75" hidden="1" customHeight="1" x14ac:dyDescent="0.45">
      <c r="B33" s="186"/>
      <c r="C33" s="179">
        <f>SUMIFS(T[قیمت کل], T[فروشنده / مشتری], B33, T[نوع عملیات], "خرید")</f>
        <v>0</v>
      </c>
      <c r="D33" s="179">
        <f>SUMIFS(Summary[ارزش کالای فروخته شده], Summary[فروشنده], B33)</f>
        <v>0</v>
      </c>
      <c r="E33" s="336" t="e">
        <f>1-Table3[[#This Row],[فروخته شده]]/Table3[[#This Row],[کل خرید]]</f>
        <v>#DIV/0!</v>
      </c>
      <c r="F33" s="179">
        <f>SUMIFS(T[تسویه], T[فروشنده / مشتری], B33, T[نوع عملیات], "خرید") + SUMIFS(T[تسویه], T[فروشنده / مشتری], B33, T[نوع عملیات], "پرداخت")</f>
        <v>0</v>
      </c>
      <c r="G33" s="179">
        <f>Table3[[#This Row],[کل خرید]]-Table3[[#This Row],[تسویه شده]]</f>
        <v>0</v>
      </c>
      <c r="H33" s="166"/>
      <c r="I33" s="140"/>
      <c r="J33" s="140"/>
      <c r="K33" s="177"/>
    </row>
    <row r="34" spans="2:11" ht="18.75" hidden="1" customHeight="1" x14ac:dyDescent="0.45">
      <c r="B34" s="185"/>
      <c r="C34" s="179">
        <f>SUMIFS(T[قیمت کل], T[فروشنده / مشتری], B34, T[نوع عملیات], "خرید")</f>
        <v>0</v>
      </c>
      <c r="D34" s="179">
        <f>SUMIFS(Summary[ارزش کالای فروخته شده], Summary[فروشنده], B34)</f>
        <v>0</v>
      </c>
      <c r="E34" s="336" t="e">
        <f>1-Table3[[#This Row],[فروخته شده]]/Table3[[#This Row],[کل خرید]]</f>
        <v>#DIV/0!</v>
      </c>
      <c r="F34" s="179">
        <f>SUMIFS(T[تسویه], T[فروشنده / مشتری], B34, T[نوع عملیات], "خرید") + SUMIFS(T[تسویه], T[فروشنده / مشتری], B34, T[نوع عملیات], "پرداخت")</f>
        <v>0</v>
      </c>
      <c r="G34" s="179">
        <f>Table3[[#This Row],[کل خرید]]-Table3[[#This Row],[تسویه شده]]</f>
        <v>0</v>
      </c>
      <c r="H34" s="166"/>
      <c r="I34" s="140"/>
      <c r="J34" s="140"/>
      <c r="K34" s="177"/>
    </row>
    <row r="35" spans="2:11" ht="18.75" hidden="1" customHeight="1" x14ac:dyDescent="0.45">
      <c r="B35" s="186"/>
      <c r="C35" s="179">
        <f>SUMIFS(T[قیمت کل], T[فروشنده / مشتری], B35, T[نوع عملیات], "خرید")</f>
        <v>0</v>
      </c>
      <c r="D35" s="179">
        <f>SUMIFS(Summary[ارزش کالای فروخته شده], Summary[فروشنده], B35)</f>
        <v>0</v>
      </c>
      <c r="E35" s="336" t="e">
        <f>1-Table3[[#This Row],[فروخته شده]]/Table3[[#This Row],[کل خرید]]</f>
        <v>#DIV/0!</v>
      </c>
      <c r="F35" s="179">
        <f>SUMIFS(T[تسویه], T[فروشنده / مشتری], B35, T[نوع عملیات], "خرید") + SUMIFS(T[تسویه], T[فروشنده / مشتری], B35, T[نوع عملیات], "پرداخت")</f>
        <v>0</v>
      </c>
      <c r="G35" s="179">
        <f>Table3[[#This Row],[کل خرید]]-Table3[[#This Row],[تسویه شده]]</f>
        <v>0</v>
      </c>
      <c r="H35" s="166"/>
      <c r="I35" s="140"/>
      <c r="J35" s="140"/>
      <c r="K35" s="177"/>
    </row>
    <row r="36" spans="2:11" ht="18.75" hidden="1" customHeight="1" x14ac:dyDescent="0.45">
      <c r="B36" s="185"/>
      <c r="C36" s="179">
        <f>SUMIFS(T[قیمت کل], T[فروشنده / مشتری], B36, T[نوع عملیات], "خرید")</f>
        <v>0</v>
      </c>
      <c r="D36" s="179">
        <f>SUMIFS(Summary[ارزش کالای فروخته شده], Summary[فروشنده], B36)</f>
        <v>0</v>
      </c>
      <c r="E36" s="336" t="e">
        <f>1-Table3[[#This Row],[فروخته شده]]/Table3[[#This Row],[کل خرید]]</f>
        <v>#DIV/0!</v>
      </c>
      <c r="F36" s="179">
        <f>SUMIFS(T[تسویه], T[فروشنده / مشتری], B36, T[نوع عملیات], "خرید") + SUMIFS(T[تسویه], T[فروشنده / مشتری], B36, T[نوع عملیات], "پرداخت")</f>
        <v>0</v>
      </c>
      <c r="G36" s="179">
        <f>Table3[[#This Row],[کل خرید]]-Table3[[#This Row],[تسویه شده]]</f>
        <v>0</v>
      </c>
      <c r="H36" s="166"/>
      <c r="I36" s="140"/>
      <c r="J36" s="140"/>
      <c r="K36" s="177"/>
    </row>
    <row r="37" spans="2:11" ht="18.75" hidden="1" customHeight="1" x14ac:dyDescent="0.45">
      <c r="B37" s="186"/>
      <c r="C37" s="179">
        <f>SUMIFS(T[قیمت کل], T[فروشنده / مشتری], B37, T[نوع عملیات], "خرید")</f>
        <v>0</v>
      </c>
      <c r="D37" s="179">
        <f>SUMIFS(Summary[ارزش کالای فروخته شده], Summary[فروشنده], B37)</f>
        <v>0</v>
      </c>
      <c r="E37" s="336" t="e">
        <f>1-Table3[[#This Row],[فروخته شده]]/Table3[[#This Row],[کل خرید]]</f>
        <v>#DIV/0!</v>
      </c>
      <c r="F37" s="179">
        <f>SUMIFS(T[تسویه], T[فروشنده / مشتری], B37, T[نوع عملیات], "خرید") + SUMIFS(T[تسویه], T[فروشنده / مشتری], B37, T[نوع عملیات], "پرداخت")</f>
        <v>0</v>
      </c>
      <c r="G37" s="179">
        <f>Table3[[#This Row],[کل خرید]]-Table3[[#This Row],[تسویه شده]]</f>
        <v>0</v>
      </c>
      <c r="H37" s="166"/>
      <c r="I37" s="140"/>
      <c r="J37" s="140"/>
      <c r="K37" s="177"/>
    </row>
    <row r="38" spans="2:11" ht="18.75" hidden="1" customHeight="1" x14ac:dyDescent="0.45">
      <c r="B38" s="185"/>
      <c r="C38" s="179">
        <f>SUMIFS(T[قیمت کل], T[فروشنده / مشتری], B38, T[نوع عملیات], "خرید")</f>
        <v>0</v>
      </c>
      <c r="D38" s="179">
        <f>SUMIFS(Summary[ارزش کالای فروخته شده], Summary[فروشنده], B38)</f>
        <v>0</v>
      </c>
      <c r="E38" s="336" t="e">
        <f>1-Table3[[#This Row],[فروخته شده]]/Table3[[#This Row],[کل خرید]]</f>
        <v>#DIV/0!</v>
      </c>
      <c r="F38" s="179">
        <f>SUMIFS(T[تسویه], T[فروشنده / مشتری], B38, T[نوع عملیات], "خرید") + SUMIFS(T[تسویه], T[فروشنده / مشتری], B38, T[نوع عملیات], "پرداخت")</f>
        <v>0</v>
      </c>
      <c r="G38" s="179">
        <f>Table3[[#This Row],[کل خرید]]-Table3[[#This Row],[تسویه شده]]</f>
        <v>0</v>
      </c>
      <c r="H38" s="166"/>
      <c r="I38" s="140"/>
      <c r="J38" s="140"/>
      <c r="K38" s="177"/>
    </row>
    <row r="39" spans="2:11" ht="18.75" hidden="1" customHeight="1" x14ac:dyDescent="0.45">
      <c r="B39" s="186"/>
      <c r="C39" s="179">
        <f>SUMIFS(T[قیمت کل], T[فروشنده / مشتری], B39, T[نوع عملیات], "خرید")</f>
        <v>0</v>
      </c>
      <c r="D39" s="179">
        <f>SUMIFS(Summary[ارزش کالای فروخته شده], Summary[فروشنده], B39)</f>
        <v>0</v>
      </c>
      <c r="E39" s="336" t="e">
        <f>1-Table3[[#This Row],[فروخته شده]]/Table3[[#This Row],[کل خرید]]</f>
        <v>#DIV/0!</v>
      </c>
      <c r="F39" s="179">
        <f>SUMIFS(T[تسویه], T[فروشنده / مشتری], B39, T[نوع عملیات], "خرید") + SUMIFS(T[تسویه], T[فروشنده / مشتری], B39, T[نوع عملیات], "پرداخت")</f>
        <v>0</v>
      </c>
      <c r="G39" s="179">
        <f>Table3[[#This Row],[کل خرید]]-Table3[[#This Row],[تسویه شده]]</f>
        <v>0</v>
      </c>
      <c r="H39" s="166"/>
      <c r="I39" s="140"/>
      <c r="J39" s="140"/>
      <c r="K39" s="177"/>
    </row>
    <row r="40" spans="2:11" ht="18.75" hidden="1" customHeight="1" x14ac:dyDescent="0.45">
      <c r="B40" s="185"/>
      <c r="C40" s="179">
        <f>SUMIFS(T[قیمت کل], T[فروشنده / مشتری], B40, T[نوع عملیات], "خرید")</f>
        <v>0</v>
      </c>
      <c r="D40" s="179">
        <f>SUMIFS(Summary[ارزش کالای فروخته شده], Summary[فروشنده], B40)</f>
        <v>0</v>
      </c>
      <c r="E40" s="336" t="e">
        <f>1-Table3[[#This Row],[فروخته شده]]/Table3[[#This Row],[کل خرید]]</f>
        <v>#DIV/0!</v>
      </c>
      <c r="F40" s="179">
        <f>SUMIFS(T[تسویه], T[فروشنده / مشتری], B40, T[نوع عملیات], "خرید") + SUMIFS(T[تسویه], T[فروشنده / مشتری], B40, T[نوع عملیات], "پرداخت")</f>
        <v>0</v>
      </c>
      <c r="G40" s="179">
        <f>Table3[[#This Row],[کل خرید]]-Table3[[#This Row],[تسویه شده]]</f>
        <v>0</v>
      </c>
      <c r="H40" s="166"/>
      <c r="I40" s="140"/>
      <c r="J40" s="140"/>
      <c r="K40" s="177"/>
    </row>
    <row r="41" spans="2:11" ht="18.75" hidden="1" customHeight="1" x14ac:dyDescent="0.45">
      <c r="B41" s="186"/>
      <c r="C41" s="179">
        <f>SUMIFS(T[قیمت کل], T[فروشنده / مشتری], B41, T[نوع عملیات], "خرید")</f>
        <v>0</v>
      </c>
      <c r="D41" s="179">
        <f>SUMIFS(Summary[ارزش کالای فروخته شده], Summary[فروشنده], B41)</f>
        <v>0</v>
      </c>
      <c r="E41" s="336" t="e">
        <f>1-Table3[[#This Row],[فروخته شده]]/Table3[[#This Row],[کل خرید]]</f>
        <v>#DIV/0!</v>
      </c>
      <c r="F41" s="179">
        <f>SUMIFS(T[تسویه], T[فروشنده / مشتری], B41, T[نوع عملیات], "خرید") + SUMIFS(T[تسویه], T[فروشنده / مشتری], B41, T[نوع عملیات], "پرداخت")</f>
        <v>0</v>
      </c>
      <c r="G41" s="179">
        <f>Table3[[#This Row],[کل خرید]]-Table3[[#This Row],[تسویه شده]]</f>
        <v>0</v>
      </c>
      <c r="H41" s="166"/>
      <c r="I41" s="140"/>
      <c r="J41" s="140"/>
      <c r="K41" s="177"/>
    </row>
    <row r="42" spans="2:11" ht="18.75" hidden="1" customHeight="1" x14ac:dyDescent="0.45">
      <c r="B42" s="185"/>
      <c r="C42" s="179">
        <f>SUMIFS(T[قیمت کل], T[فروشنده / مشتری], B42, T[نوع عملیات], "خرید")</f>
        <v>0</v>
      </c>
      <c r="D42" s="179">
        <f>SUMIFS(Summary[ارزش کالای فروخته شده], Summary[فروشنده], B42)</f>
        <v>0</v>
      </c>
      <c r="E42" s="336" t="e">
        <f>1-Table3[[#This Row],[فروخته شده]]/Table3[[#This Row],[کل خرید]]</f>
        <v>#DIV/0!</v>
      </c>
      <c r="F42" s="179">
        <f>SUMIFS(T[تسویه], T[فروشنده / مشتری], B42, T[نوع عملیات], "خرید") + SUMIFS(T[تسویه], T[فروشنده / مشتری], B42, T[نوع عملیات], "پرداخت")</f>
        <v>0</v>
      </c>
      <c r="G42" s="179">
        <f>Table3[[#This Row],[کل خرید]]-Table3[[#This Row],[تسویه شده]]</f>
        <v>0</v>
      </c>
      <c r="H42" s="166"/>
      <c r="I42" s="140"/>
      <c r="J42" s="140"/>
      <c r="K42" s="177"/>
    </row>
    <row r="43" spans="2:11" ht="18.75" hidden="1" customHeight="1" x14ac:dyDescent="0.45">
      <c r="B43" s="186"/>
      <c r="C43" s="179">
        <f>SUMIFS(T[قیمت کل], T[فروشنده / مشتری], B43, T[نوع عملیات], "خرید")</f>
        <v>0</v>
      </c>
      <c r="D43" s="179">
        <f>SUMIFS(Summary[ارزش کالای فروخته شده], Summary[فروشنده], B43)</f>
        <v>0</v>
      </c>
      <c r="E43" s="336" t="e">
        <f>1-Table3[[#This Row],[فروخته شده]]/Table3[[#This Row],[کل خرید]]</f>
        <v>#DIV/0!</v>
      </c>
      <c r="F43" s="179">
        <f>SUMIFS(T[تسویه], T[فروشنده / مشتری], B43, T[نوع عملیات], "خرید") + SUMIFS(T[تسویه], T[فروشنده / مشتری], B43, T[نوع عملیات], "پرداخت")</f>
        <v>0</v>
      </c>
      <c r="G43" s="179">
        <f>Table3[[#This Row],[کل خرید]]-Table3[[#This Row],[تسویه شده]]</f>
        <v>0</v>
      </c>
      <c r="H43" s="166"/>
      <c r="I43" s="140"/>
      <c r="J43" s="140"/>
      <c r="K43" s="177"/>
    </row>
    <row r="44" spans="2:11" ht="18.75" hidden="1" customHeight="1" x14ac:dyDescent="0.45">
      <c r="B44" s="185"/>
      <c r="C44" s="179">
        <f>SUMIFS(T[قیمت کل], T[فروشنده / مشتری], B44, T[نوع عملیات], "خرید")</f>
        <v>0</v>
      </c>
      <c r="D44" s="179">
        <f>SUMIFS(Summary[ارزش کالای فروخته شده], Summary[فروشنده], B44)</f>
        <v>0</v>
      </c>
      <c r="E44" s="336" t="e">
        <f>1-Table3[[#This Row],[فروخته شده]]/Table3[[#This Row],[کل خرید]]</f>
        <v>#DIV/0!</v>
      </c>
      <c r="F44" s="179">
        <f>SUMIFS(T[تسویه], T[فروشنده / مشتری], B44, T[نوع عملیات], "خرید") + SUMIFS(T[تسویه], T[فروشنده / مشتری], B44, T[نوع عملیات], "پرداخت")</f>
        <v>0</v>
      </c>
      <c r="G44" s="179">
        <f>Table3[[#This Row],[کل خرید]]-Table3[[#This Row],[تسویه شده]]</f>
        <v>0</v>
      </c>
      <c r="H44" s="166"/>
      <c r="I44" s="140"/>
      <c r="J44" s="140"/>
      <c r="K44" s="177"/>
    </row>
    <row r="45" spans="2:11" ht="18.75" hidden="1" customHeight="1" x14ac:dyDescent="0.45">
      <c r="B45" s="186"/>
      <c r="C45" s="179">
        <f>SUMIFS(T[قیمت کل], T[فروشنده / مشتری], B45, T[نوع عملیات], "خرید")</f>
        <v>0</v>
      </c>
      <c r="D45" s="179">
        <f>SUMIFS(Summary[ارزش کالای فروخته شده], Summary[فروشنده], B45)</f>
        <v>0</v>
      </c>
      <c r="E45" s="336" t="e">
        <f>1-Table3[[#This Row],[فروخته شده]]/Table3[[#This Row],[کل خرید]]</f>
        <v>#DIV/0!</v>
      </c>
      <c r="F45" s="179">
        <f>SUMIFS(T[تسویه], T[فروشنده / مشتری], B45, T[نوع عملیات], "خرید") + SUMIFS(T[تسویه], T[فروشنده / مشتری], B45, T[نوع عملیات], "پرداخت")</f>
        <v>0</v>
      </c>
      <c r="G45" s="179">
        <f>Table3[[#This Row],[کل خرید]]-Table3[[#This Row],[تسویه شده]]</f>
        <v>0</v>
      </c>
      <c r="H45" s="166"/>
      <c r="I45" s="140"/>
      <c r="J45" s="140"/>
      <c r="K45" s="177"/>
    </row>
    <row r="46" spans="2:11" ht="18.75" hidden="1" customHeight="1" x14ac:dyDescent="0.45">
      <c r="B46" s="185"/>
      <c r="C46" s="179">
        <f>SUMIFS(T[قیمت کل], T[فروشنده / مشتری], B46, T[نوع عملیات], "خرید")</f>
        <v>0</v>
      </c>
      <c r="D46" s="179">
        <f>SUMIFS(Summary[ارزش کالای فروخته شده], Summary[فروشنده], B46)</f>
        <v>0</v>
      </c>
      <c r="E46" s="336" t="e">
        <f>1-Table3[[#This Row],[فروخته شده]]/Table3[[#This Row],[کل خرید]]</f>
        <v>#DIV/0!</v>
      </c>
      <c r="F46" s="179">
        <f>SUMIFS(T[تسویه], T[فروشنده / مشتری], B46, T[نوع عملیات], "خرید") + SUMIFS(T[تسویه], T[فروشنده / مشتری], B46, T[نوع عملیات], "پرداخت")</f>
        <v>0</v>
      </c>
      <c r="G46" s="179">
        <f>Table3[[#This Row],[کل خرید]]-Table3[[#This Row],[تسویه شده]]</f>
        <v>0</v>
      </c>
      <c r="H46" s="166"/>
      <c r="I46" s="140"/>
      <c r="J46" s="140"/>
      <c r="K46" s="177"/>
    </row>
    <row r="47" spans="2:11" ht="18.75" hidden="1" customHeight="1" x14ac:dyDescent="0.45">
      <c r="B47" s="186"/>
      <c r="C47" s="179">
        <f>SUMIFS(T[قیمت کل], T[فروشنده / مشتری], B47, T[نوع عملیات], "خرید")</f>
        <v>0</v>
      </c>
      <c r="D47" s="179">
        <f>SUMIFS(Summary[ارزش کالای فروخته شده], Summary[فروشنده], B47)</f>
        <v>0</v>
      </c>
      <c r="E47" s="336" t="e">
        <f>1-Table3[[#This Row],[فروخته شده]]/Table3[[#This Row],[کل خرید]]</f>
        <v>#DIV/0!</v>
      </c>
      <c r="F47" s="179">
        <f>SUMIFS(T[تسویه], T[فروشنده / مشتری], B47, T[نوع عملیات], "خرید") + SUMIFS(T[تسویه], T[فروشنده / مشتری], B47, T[نوع عملیات], "پرداخت")</f>
        <v>0</v>
      </c>
      <c r="G47" s="179">
        <f>Table3[[#This Row],[کل خرید]]-Table3[[#This Row],[تسویه شده]]</f>
        <v>0</v>
      </c>
      <c r="H47" s="166"/>
      <c r="I47" s="140"/>
      <c r="J47" s="140"/>
      <c r="K47" s="177"/>
    </row>
    <row r="48" spans="2:11" ht="18.75" hidden="1" customHeight="1" x14ac:dyDescent="0.45">
      <c r="B48" s="185"/>
      <c r="C48" s="179">
        <f>SUMIFS(T[قیمت کل], T[فروشنده / مشتری], B48, T[نوع عملیات], "خرید")</f>
        <v>0</v>
      </c>
      <c r="D48" s="179">
        <f>SUMIFS(Summary[ارزش کالای فروخته شده], Summary[فروشنده], B48)</f>
        <v>0</v>
      </c>
      <c r="E48" s="336" t="e">
        <f>1-Table3[[#This Row],[فروخته شده]]/Table3[[#This Row],[کل خرید]]</f>
        <v>#DIV/0!</v>
      </c>
      <c r="F48" s="179">
        <f>SUMIFS(T[تسویه], T[فروشنده / مشتری], B48, T[نوع عملیات], "خرید") + SUMIFS(T[تسویه], T[فروشنده / مشتری], B48, T[نوع عملیات], "پرداخت")</f>
        <v>0</v>
      </c>
      <c r="G48" s="179">
        <f>Table3[[#This Row],[کل خرید]]-Table3[[#This Row],[تسویه شده]]</f>
        <v>0</v>
      </c>
      <c r="H48" s="166"/>
      <c r="I48" s="140"/>
      <c r="J48" s="140"/>
      <c r="K48" s="177"/>
    </row>
    <row r="49" spans="2:11" ht="18.75" hidden="1" customHeight="1" x14ac:dyDescent="0.45">
      <c r="B49" s="186"/>
      <c r="C49" s="179">
        <f>SUMIFS(T[قیمت کل], T[فروشنده / مشتری], B49, T[نوع عملیات], "خرید")</f>
        <v>0</v>
      </c>
      <c r="D49" s="179">
        <f>SUMIFS(Summary[ارزش کالای فروخته شده], Summary[فروشنده], B49)</f>
        <v>0</v>
      </c>
      <c r="E49" s="336" t="e">
        <f>1-Table3[[#This Row],[فروخته شده]]/Table3[[#This Row],[کل خرید]]</f>
        <v>#DIV/0!</v>
      </c>
      <c r="F49" s="179">
        <f>SUMIFS(T[تسویه], T[فروشنده / مشتری], B49, T[نوع عملیات], "خرید") + SUMIFS(T[تسویه], T[فروشنده / مشتری], B49, T[نوع عملیات], "پرداخت")</f>
        <v>0</v>
      </c>
      <c r="G49" s="179">
        <f>Table3[[#This Row],[کل خرید]]-Table3[[#This Row],[تسویه شده]]</f>
        <v>0</v>
      </c>
      <c r="H49" s="166"/>
      <c r="I49" s="140"/>
      <c r="J49" s="140"/>
      <c r="K49" s="177"/>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17A92-1B94-4FA8-BAA0-51BA6B96D7CA}">
  <sheetPr codeName="Sheet111">
    <tabColor theme="9" tint="0.39997558519241921"/>
  </sheetPr>
  <dimension ref="B1:J13"/>
  <sheetViews>
    <sheetView showGridLines="0" rightToLeft="1" zoomScale="120" workbookViewId="0">
      <selection activeCell="B11" sqref="B11"/>
    </sheetView>
  </sheetViews>
  <sheetFormatPr defaultRowHeight="18.75" customHeight="1" x14ac:dyDescent="0.45"/>
  <cols>
    <col min="1" max="1" width="4.19921875" customWidth="1"/>
    <col min="2" max="2" width="22.265625" customWidth="1"/>
    <col min="3" max="3" width="15.1328125" customWidth="1"/>
    <col min="4" max="4" width="12.6640625" bestFit="1" customWidth="1"/>
    <col min="5" max="5" width="15.1328125" customWidth="1"/>
    <col min="6" max="6" width="11.265625" bestFit="1" customWidth="1"/>
    <col min="7" max="8" width="15.1328125" customWidth="1"/>
    <col min="9" max="9" width="21.73046875" customWidth="1"/>
    <col min="10" max="10" width="14.3984375" bestFit="1" customWidth="1"/>
    <col min="11" max="11" width="10.19921875" bestFit="1" customWidth="1"/>
    <col min="12" max="12" width="35.265625" customWidth="1"/>
    <col min="13" max="15" width="14.1328125" customWidth="1"/>
  </cols>
  <sheetData>
    <row r="1" spans="2:10" ht="23.65" thickBot="1" x14ac:dyDescent="0.75">
      <c r="B1" s="323" t="s">
        <v>383</v>
      </c>
    </row>
    <row r="2" spans="2:10" ht="26.25" customHeight="1" thickBot="1" x14ac:dyDescent="0.5">
      <c r="B2" s="187" t="s">
        <v>126</v>
      </c>
      <c r="C2" s="182" t="s">
        <v>172</v>
      </c>
      <c r="D2" s="182" t="s">
        <v>313</v>
      </c>
      <c r="E2" s="182" t="s">
        <v>303</v>
      </c>
      <c r="F2" s="182" t="s">
        <v>292</v>
      </c>
      <c r="G2" s="183" t="s">
        <v>326</v>
      </c>
      <c r="H2" s="173" t="s">
        <v>327</v>
      </c>
      <c r="I2" s="173" t="s">
        <v>173</v>
      </c>
    </row>
    <row r="3" spans="2:10" ht="7.5" hidden="1" customHeight="1" x14ac:dyDescent="0.45">
      <c r="B3" s="166"/>
      <c r="C3" s="181"/>
      <c r="D3" s="181">
        <f>SUMIFS(T[تسویه], T[نحوه تسویه], B3, T[نوع عملیات], "فروش") + SUMIFS(T[تسویه], T[نحوه تسویه], B3, T[نوع عملیات], "دریافت")</f>
        <v>0</v>
      </c>
      <c r="E3" s="181">
        <f>SUMIFS(T[تسویه], T[نحوه تسویه], B3, T[نوع عملیات], "خرید") + SUMIFS(T[تسویه], T[نحوه تسویه], B3, T[نوع عملیات], "پرداخت") + SUMIFS(T[تسویه], T[فروشنده / مشتری], B3, T[نوع عملیات], "دریافت")</f>
        <v>0</v>
      </c>
      <c r="F3" s="179">
        <f>Table35[[#This Row],[موجودی اولیه]]+Table35[[#This Row],[واریزی ها]]-Table35[[#This Row],[پرداختی ها]]</f>
        <v>0</v>
      </c>
      <c r="G3" s="166"/>
      <c r="H3" s="140"/>
      <c r="I3" s="140"/>
    </row>
    <row r="4" spans="2:10" ht="18.75" customHeight="1" x14ac:dyDescent="0.45">
      <c r="B4" s="185" t="str" cm="1">
        <f t="array" ref="B4:B13">_xlfn.UNIQUE(T[نحوه تسویه])</f>
        <v>نقدی</v>
      </c>
      <c r="C4" s="179">
        <v>19110000</v>
      </c>
      <c r="D4" s="179">
        <f>SUMIFS(T[تسویه], T[نحوه تسویه], B4, T[نوع عملیات], "فروش") + SUMIFS(T[تسویه], T[نحوه تسویه], B4, T[نوع عملیات], "دریافت")</f>
        <v>17800000</v>
      </c>
      <c r="E4" s="179">
        <f>SUMIFS(T[تسویه], T[نحوه تسویه], B4, T[نوع عملیات], "خرید") + SUMIFS(T[تسویه], T[نحوه تسویه], B4, T[نوع عملیات], "پرداخت") + SUMIFS(T[تسویه], T[فروشنده / مشتری], B4, T[نوع عملیات], "دریافت")</f>
        <v>23960000</v>
      </c>
      <c r="F4" s="179">
        <f>Table35[[#This Row],[موجودی اولیه]]+Table35[[#This Row],[واریزی ها]]-Table35[[#This Row],[پرداختی ها]]</f>
        <v>12950000</v>
      </c>
      <c r="G4" s="166"/>
      <c r="H4" s="140"/>
      <c r="I4" s="140"/>
    </row>
    <row r="5" spans="2:10" ht="18.75" customHeight="1" x14ac:dyDescent="0.45">
      <c r="B5" s="186">
        <v>0</v>
      </c>
      <c r="C5" s="179"/>
      <c r="D5" s="179">
        <f>SUMIFS(T[تسویه], T[نحوه تسویه], B5, T[نوع عملیات], "فروش") + SUMIFS(T[تسویه], T[نحوه تسویه], B5, T[نوع عملیات], "دریافت")</f>
        <v>0</v>
      </c>
      <c r="E5" s="179">
        <f>SUMIFS(T[تسویه], T[نحوه تسویه], B5, T[نوع عملیات], "خرید") + SUMIFS(T[تسویه], T[نحوه تسویه], B5, T[نوع عملیات], "پرداخت") + SUMIFS(T[تسویه], T[فروشنده / مشتری], B5, T[نوع عملیات], "دریافت")</f>
        <v>0</v>
      </c>
      <c r="F5" s="179">
        <f>Table35[[#This Row],[موجودی اولیه]]+Table35[[#This Row],[واریزی ها]]-Table35[[#This Row],[پرداختی ها]]</f>
        <v>0</v>
      </c>
      <c r="G5" s="166"/>
      <c r="H5" s="140"/>
      <c r="I5" s="140"/>
    </row>
    <row r="6" spans="2:10" ht="18.75" customHeight="1" x14ac:dyDescent="0.45">
      <c r="B6" s="185" t="str">
        <v>اعتباری</v>
      </c>
      <c r="C6" s="179"/>
      <c r="D6" s="179">
        <f>SUMIFS(T[تسویه], T[نحوه تسویه], B6, T[نوع عملیات], "فروش") + SUMIFS(T[تسویه], T[نحوه تسویه], B6, T[نوع عملیات], "دریافت")</f>
        <v>0</v>
      </c>
      <c r="E6" s="179">
        <f>SUMIFS(T[تسویه], T[نحوه تسویه], B6, T[نوع عملیات], "خرید") + SUMIFS(T[تسویه], T[نحوه تسویه], B6, T[نوع عملیات], "پرداخت") + SUMIFS(T[تسویه], T[فروشنده / مشتری], B6, T[نوع عملیات], "دریافت")</f>
        <v>0</v>
      </c>
      <c r="F6" s="179">
        <f>Table35[[#This Row],[موجودی اولیه]]+Table35[[#This Row],[واریزی ها]]-Table35[[#This Row],[پرداختی ها]]</f>
        <v>0</v>
      </c>
      <c r="G6" s="166"/>
      <c r="H6" s="140"/>
      <c r="I6" s="140"/>
    </row>
    <row r="7" spans="2:10" ht="18.75" customHeight="1" x14ac:dyDescent="0.45">
      <c r="B7" s="186" t="str">
        <v>حساب 5802</v>
      </c>
      <c r="C7" s="179">
        <v>-8468374</v>
      </c>
      <c r="D7" s="179">
        <f>SUMIFS(T[تسویه], T[نحوه تسویه], B7, T[نوع عملیات], "فروش") + SUMIFS(T[تسویه], T[نحوه تسویه], B7, T[نوع عملیات], "دریافت")</f>
        <v>243834000</v>
      </c>
      <c r="E7" s="179">
        <f>SUMIFS(T[تسویه], T[نحوه تسویه], B7, T[نوع عملیات], "خرید") + SUMIFS(T[تسویه], T[نحوه تسویه], B7, T[نوع عملیات], "پرداخت") + SUMIFS(T[تسویه], T[فروشنده / مشتری], B7, T[نوع عملیات], "دریافت")</f>
        <v>305685200</v>
      </c>
      <c r="F7" s="179">
        <f>Table35[[#This Row],[موجودی اولیه]]+Table35[[#This Row],[واریزی ها]]-Table35[[#This Row],[پرداختی ها]]</f>
        <v>-70319574</v>
      </c>
      <c r="G7" s="166"/>
      <c r="H7" s="140"/>
      <c r="I7" s="140"/>
      <c r="J7" s="335">
        <v>10840126</v>
      </c>
    </row>
    <row r="8" spans="2:10" ht="18.75" customHeight="1" x14ac:dyDescent="0.45">
      <c r="B8" s="185" t="str">
        <v>حساب 1090</v>
      </c>
      <c r="C8" s="179">
        <v>10954000</v>
      </c>
      <c r="D8" s="179">
        <f>SUMIFS(T[تسویه], T[نحوه تسویه], B8, T[نوع عملیات], "فروش") + SUMIFS(T[تسویه], T[نحوه تسویه], B8, T[نوع عملیات], "دریافت")</f>
        <v>9000000</v>
      </c>
      <c r="E8" s="179">
        <f>SUMIFS(T[تسویه], T[نحوه تسویه], B8, T[نوع عملیات], "خرید") + SUMIFS(T[تسویه], T[نحوه تسویه], B8, T[نوع عملیات], "پرداخت") + SUMIFS(T[تسویه], T[فروشنده / مشتری], B8, T[نوع عملیات], "دریافت")</f>
        <v>20452600</v>
      </c>
      <c r="F8" s="179">
        <f>Table35[[#This Row],[موجودی اولیه]]+Table35[[#This Row],[واریزی ها]]-Table35[[#This Row],[پرداختی ها]]</f>
        <v>-498600</v>
      </c>
      <c r="G8" s="166"/>
      <c r="H8" s="140"/>
      <c r="I8" s="140"/>
    </row>
    <row r="9" spans="2:10" ht="18.75" customHeight="1" x14ac:dyDescent="0.45">
      <c r="B9" s="186" t="str">
        <v>کارت خوان 1</v>
      </c>
      <c r="C9" s="179"/>
      <c r="D9" s="179">
        <f>SUMIFS(T[تسویه], T[نحوه تسویه], B9, T[نوع عملیات], "فروش") + SUMIFS(T[تسویه], T[نحوه تسویه], B9, T[نوع عملیات], "دریافت")</f>
        <v>28530000</v>
      </c>
      <c r="E9" s="179">
        <f>SUMIFS(T[تسویه], T[نحوه تسویه], B9, T[نوع عملیات], "خرید") + SUMIFS(T[تسویه], T[نحوه تسویه], B9, T[نوع عملیات], "پرداخت") + SUMIFS(T[تسویه], T[فروشنده / مشتری], B9, T[نوع عملیات], "دریافت")</f>
        <v>21930000</v>
      </c>
      <c r="F9" s="179">
        <f>Table35[[#This Row],[موجودی اولیه]]+Table35[[#This Row],[واریزی ها]]-Table35[[#This Row],[پرداختی ها]]</f>
        <v>6600000</v>
      </c>
      <c r="G9" s="166"/>
      <c r="H9" s="140"/>
      <c r="I9" s="140"/>
    </row>
    <row r="10" spans="2:10" ht="18.75" customHeight="1" x14ac:dyDescent="0.45">
      <c r="B10" s="185" t="str">
        <v>کارت خوان 2</v>
      </c>
      <c r="C10" s="179"/>
      <c r="D10" s="179">
        <f>SUMIFS(T[تسویه], T[نحوه تسویه], B10, T[نوع عملیات], "فروش") + SUMIFS(T[تسویه], T[نحوه تسویه], B10, T[نوع عملیات], "دریافت")</f>
        <v>297949000</v>
      </c>
      <c r="E10" s="179">
        <f>SUMIFS(T[تسویه], T[نحوه تسویه], B10, T[نوع عملیات], "خرید") + SUMIFS(T[تسویه], T[نحوه تسویه], B10, T[نوع عملیات], "پرداخت") + SUMIFS(T[تسویه], T[فروشنده / مشتری], B10, T[نوع عملیات], "دریافت")</f>
        <v>62129000</v>
      </c>
      <c r="F10" s="179">
        <f>Table35[[#This Row],[موجودی اولیه]]+Table35[[#This Row],[واریزی ها]]-Table35[[#This Row],[پرداختی ها]]</f>
        <v>235820000</v>
      </c>
      <c r="G10" s="166"/>
      <c r="H10" s="140"/>
      <c r="I10" s="140"/>
    </row>
    <row r="11" spans="2:10" ht="18.75" customHeight="1" x14ac:dyDescent="0.45">
      <c r="B11" s="186" t="str">
        <v>حساب هستی</v>
      </c>
      <c r="C11" s="179"/>
      <c r="D11" s="179">
        <f>SUMIFS(T[تسویه], T[نحوه تسویه], B11, T[نوع عملیات], "فروش") + SUMIFS(T[تسویه], T[نحوه تسویه], B11, T[نوع عملیات], "دریافت")</f>
        <v>500000</v>
      </c>
      <c r="E11" s="179">
        <f>SUMIFS(T[تسویه], T[نحوه تسویه], B11, T[نوع عملیات], "خرید") + SUMIFS(T[تسویه], T[نحوه تسویه], B11, T[نوع عملیات], "پرداخت") + SUMIFS(T[تسویه], T[فروشنده / مشتری], B11, T[نوع عملیات], "دریافت")</f>
        <v>12510000</v>
      </c>
      <c r="F11" s="179">
        <f>Table35[[#This Row],[موجودی اولیه]]+Table35[[#This Row],[واریزی ها]]-Table35[[#This Row],[پرداختی ها]]</f>
        <v>-12010000</v>
      </c>
      <c r="G11" s="166"/>
      <c r="H11" s="140"/>
      <c r="I11" s="140"/>
    </row>
    <row r="12" spans="2:10" ht="18.75" customHeight="1" x14ac:dyDescent="0.45">
      <c r="B12" s="185" t="str">
        <v>کارت هنگامه</v>
      </c>
      <c r="C12" s="179"/>
      <c r="D12" s="179">
        <f>SUMIFS(T[تسویه], T[نحوه تسویه], B12, T[نوع عملیات], "فروش") + SUMIFS(T[تسویه], T[نحوه تسویه], B12, T[نوع عملیات], "دریافت")</f>
        <v>0</v>
      </c>
      <c r="E12" s="179">
        <f>SUMIFS(T[تسویه], T[نحوه تسویه], B12, T[نوع عملیات], "خرید") + SUMIFS(T[تسویه], T[نحوه تسویه], B12, T[نوع عملیات], "پرداخت") + SUMIFS(T[تسویه], T[فروشنده / مشتری], B12, T[نوع عملیات], "دریافت")</f>
        <v>74474000</v>
      </c>
      <c r="F12" s="179">
        <f>Table35[[#This Row],[موجودی اولیه]]+Table35[[#This Row],[واریزی ها]]-Table35[[#This Row],[پرداختی ها]]</f>
        <v>-74474000</v>
      </c>
      <c r="G12" s="166"/>
      <c r="H12" s="140"/>
      <c r="I12" s="140"/>
    </row>
    <row r="13" spans="2:10" ht="18.75" customHeight="1" x14ac:dyDescent="0.45">
      <c r="B13" s="186" t="str">
        <v>حساب بلو</v>
      </c>
      <c r="C13" s="180"/>
      <c r="D13" s="180">
        <f>SUMIFS(T[تسویه], T[نحوه تسویه], B13, T[نوع عملیات], "فروش") + SUMIFS(T[تسویه], T[نحوه تسویه], B13, T[نوع عملیات], "دریافت")</f>
        <v>168960000</v>
      </c>
      <c r="E13" s="179">
        <f>SUMIFS(T[تسویه], T[نحوه تسویه], B13, T[نوع عملیات], "خرید") + SUMIFS(T[تسویه], T[نحوه تسویه], B13, T[نوع عملیات], "پرداخت") + SUMIFS(T[تسویه], T[فروشنده / مشتری], B13, T[نوع عملیات], "دریافت")</f>
        <v>176344000</v>
      </c>
      <c r="F13" s="180">
        <f>Table35[[#This Row],[موجودی اولیه]]+Table35[[#This Row],[واریزی ها]]-Table35[[#This Row],[پرداختی ها]]</f>
        <v>-7384000</v>
      </c>
      <c r="G13" s="178"/>
      <c r="H13" s="165"/>
      <c r="I13" s="165"/>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CDDD4-A5F6-4EE9-98B3-4DB2123CD3BB}">
  <sheetPr codeName="Sheet4"/>
  <dimension ref="B1:E26"/>
  <sheetViews>
    <sheetView rightToLeft="1" workbookViewId="0">
      <selection activeCell="B15" sqref="B15"/>
    </sheetView>
  </sheetViews>
  <sheetFormatPr defaultRowHeight="14.25" x14ac:dyDescent="0.45"/>
  <cols>
    <col min="1" max="1" width="5.3984375" customWidth="1"/>
    <col min="2" max="2" width="26.86328125" customWidth="1"/>
    <col min="4" max="4" width="14.53125" bestFit="1" customWidth="1"/>
  </cols>
  <sheetData>
    <row r="1" spans="2:5" x14ac:dyDescent="0.45">
      <c r="B1" t="s">
        <v>174</v>
      </c>
      <c r="D1" t="s">
        <v>175</v>
      </c>
    </row>
    <row r="2" spans="2:5" x14ac:dyDescent="0.45">
      <c r="B2" s="153" t="s">
        <v>168</v>
      </c>
      <c r="D2" s="153" t="s">
        <v>176</v>
      </c>
      <c r="E2" t="s">
        <v>181</v>
      </c>
    </row>
    <row r="3" spans="2:5" x14ac:dyDescent="0.45">
      <c r="B3" s="153" t="s">
        <v>167</v>
      </c>
      <c r="D3" s="153" t="s">
        <v>155</v>
      </c>
      <c r="E3" t="s">
        <v>182</v>
      </c>
    </row>
    <row r="4" spans="2:5" x14ac:dyDescent="0.45">
      <c r="B4" s="153" t="s">
        <v>302</v>
      </c>
      <c r="D4" s="153" t="s">
        <v>177</v>
      </c>
      <c r="E4" t="s">
        <v>183</v>
      </c>
    </row>
    <row r="5" spans="2:5" x14ac:dyDescent="0.45">
      <c r="B5" s="153" t="s">
        <v>297</v>
      </c>
      <c r="D5" s="153" t="s">
        <v>180</v>
      </c>
      <c r="E5" t="s">
        <v>185</v>
      </c>
    </row>
    <row r="6" spans="2:5" x14ac:dyDescent="0.45">
      <c r="B6" s="153" t="s">
        <v>446</v>
      </c>
      <c r="D6" s="153" t="s">
        <v>179</v>
      </c>
      <c r="E6" t="s">
        <v>186</v>
      </c>
    </row>
    <row r="7" spans="2:5" x14ac:dyDescent="0.45">
      <c r="B7" s="153" t="s">
        <v>325</v>
      </c>
      <c r="D7" s="153" t="s">
        <v>178</v>
      </c>
      <c r="E7" t="s">
        <v>184</v>
      </c>
    </row>
    <row r="8" spans="2:5" x14ac:dyDescent="0.45">
      <c r="B8" s="153" t="s">
        <v>444</v>
      </c>
      <c r="D8" s="153" t="s">
        <v>188</v>
      </c>
      <c r="E8" t="s">
        <v>187</v>
      </c>
    </row>
    <row r="9" spans="2:5" x14ac:dyDescent="0.45">
      <c r="B9" s="153" t="s">
        <v>445</v>
      </c>
    </row>
    <row r="10" spans="2:5" x14ac:dyDescent="0.45">
      <c r="B10" s="153" t="s">
        <v>169</v>
      </c>
    </row>
    <row r="11" spans="2:5" x14ac:dyDescent="0.45">
      <c r="B11" s="153" t="s">
        <v>170</v>
      </c>
    </row>
    <row r="12" spans="2:5" x14ac:dyDescent="0.45">
      <c r="B12" s="153" t="s">
        <v>171</v>
      </c>
    </row>
    <row r="18" spans="2:2" x14ac:dyDescent="0.45">
      <c r="B18" t="s">
        <v>191</v>
      </c>
    </row>
    <row r="19" spans="2:2" x14ac:dyDescent="0.45">
      <c r="B19" s="153" t="s">
        <v>192</v>
      </c>
    </row>
    <row r="20" spans="2:2" x14ac:dyDescent="0.45">
      <c r="B20" s="153" t="s">
        <v>193</v>
      </c>
    </row>
    <row r="21" spans="2:2" x14ac:dyDescent="0.45">
      <c r="B21" s="153" t="s">
        <v>194</v>
      </c>
    </row>
    <row r="22" spans="2:2" x14ac:dyDescent="0.45">
      <c r="B22" s="153" t="s">
        <v>190</v>
      </c>
    </row>
    <row r="23" spans="2:2" x14ac:dyDescent="0.45">
      <c r="B23" s="153" t="s">
        <v>195</v>
      </c>
    </row>
    <row r="24" spans="2:2" x14ac:dyDescent="0.45">
      <c r="B24" s="153" t="s">
        <v>196</v>
      </c>
    </row>
    <row r="25" spans="2:2" x14ac:dyDescent="0.45">
      <c r="B25" s="153" t="s">
        <v>197</v>
      </c>
    </row>
    <row r="26" spans="2:2" x14ac:dyDescent="0.45">
      <c r="B26" s="15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9AA17-6FD4-4898-9619-E4B2A241466C}">
  <sheetPr codeName="Sheet3">
    <tabColor theme="5" tint="-0.249977111117893"/>
    <pageSetUpPr fitToPage="1"/>
  </sheetPr>
  <dimension ref="B1:U305"/>
  <sheetViews>
    <sheetView showGridLines="0" rightToLeft="1" zoomScaleNormal="100" workbookViewId="0">
      <pane ySplit="5" topLeftCell="A7" activePane="bottomLeft" state="frozen"/>
      <selection activeCell="I5" sqref="I5"/>
      <selection pane="bottomLeft" activeCell="B13" sqref="B13"/>
    </sheetView>
  </sheetViews>
  <sheetFormatPr defaultRowHeight="16.899999999999999" x14ac:dyDescent="0.8"/>
  <cols>
    <col min="1" max="1" width="1.73046875" customWidth="1"/>
    <col min="2" max="2" width="33" style="152" customWidth="1"/>
    <col min="3" max="3" width="7.06640625" bestFit="1" customWidth="1"/>
    <col min="4" max="4" width="9.1328125" style="141" customWidth="1"/>
    <col min="5" max="5" width="12.59765625" style="141" customWidth="1"/>
    <col min="6" max="6" width="12.33203125" style="141" customWidth="1"/>
    <col min="7" max="7" width="9.6640625" style="141" customWidth="1"/>
    <col min="8" max="8" width="13.59765625" style="141" customWidth="1"/>
    <col min="9" max="9" width="13.19921875" style="141" customWidth="1"/>
    <col min="10" max="10" width="12.3984375" style="141" customWidth="1"/>
    <col min="11" max="11" width="14.06640625" style="141" customWidth="1"/>
    <col min="18" max="18" width="10.86328125" customWidth="1"/>
    <col min="20" max="20" width="10.3984375" customWidth="1"/>
    <col min="21" max="21" width="10.1328125" customWidth="1"/>
  </cols>
  <sheetData>
    <row r="1" spans="2:21" ht="9" customHeight="1" x14ac:dyDescent="0.8"/>
    <row r="2" spans="2:21" ht="34.9" customHeight="1" x14ac:dyDescent="0.8">
      <c r="B2" s="138" t="s">
        <v>140</v>
      </c>
      <c r="C2" s="142"/>
      <c r="D2" s="217" t="s">
        <v>141</v>
      </c>
      <c r="E2" s="218" t="s">
        <v>142</v>
      </c>
      <c r="F2" s="205"/>
      <c r="G2" s="219" t="s">
        <v>143</v>
      </c>
      <c r="H2" s="220" t="s">
        <v>144</v>
      </c>
      <c r="I2" s="205"/>
      <c r="J2" s="223" t="s">
        <v>145</v>
      </c>
      <c r="K2" s="224" t="s">
        <v>146</v>
      </c>
    </row>
    <row r="3" spans="2:21" ht="30.75" customHeight="1" x14ac:dyDescent="0.45">
      <c r="B3" s="395"/>
      <c r="C3" s="395"/>
      <c r="D3" s="215" t="e">
        <f>SUM(D6:D305)</f>
        <v>#REF!</v>
      </c>
      <c r="E3" s="216" t="e">
        <f>SUM(E6:E305)</f>
        <v>#REF!</v>
      </c>
      <c r="F3" s="214"/>
      <c r="G3" s="221" t="e">
        <f>SUM(G6:G305)</f>
        <v>#REF!</v>
      </c>
      <c r="H3" s="222" t="e">
        <f>SUM(H6:H305)</f>
        <v>#REF!</v>
      </c>
      <c r="I3" s="214"/>
      <c r="J3" s="225" t="e">
        <f>SUM(J6:J305)</f>
        <v>#REF!</v>
      </c>
      <c r="K3" s="226" t="e">
        <f>SUM(K6:K305)</f>
        <v>#REF!</v>
      </c>
      <c r="L3" s="15"/>
      <c r="M3" s="15"/>
      <c r="N3" s="15"/>
      <c r="O3" s="15"/>
      <c r="P3" s="15"/>
      <c r="Q3" s="15"/>
      <c r="R3" s="15"/>
      <c r="S3" s="15"/>
      <c r="T3" s="15"/>
      <c r="U3" s="15"/>
    </row>
    <row r="4" spans="2:21" ht="30.4" x14ac:dyDescent="0.45">
      <c r="B4" s="204" t="s">
        <v>147</v>
      </c>
      <c r="C4" s="143"/>
      <c r="D4" s="207" t="s">
        <v>148</v>
      </c>
      <c r="E4" s="207"/>
      <c r="F4" s="208"/>
      <c r="G4" s="209" t="s">
        <v>149</v>
      </c>
      <c r="H4" s="210"/>
      <c r="I4" s="211"/>
      <c r="J4" s="212" t="s">
        <v>132</v>
      </c>
      <c r="K4" s="213"/>
    </row>
    <row r="5" spans="2:21" ht="36" customHeight="1" thickBot="1" x14ac:dyDescent="0.5">
      <c r="B5" s="195" t="s">
        <v>131</v>
      </c>
      <c r="C5" s="196" t="s">
        <v>150</v>
      </c>
      <c r="D5" s="197" t="s">
        <v>141</v>
      </c>
      <c r="E5" s="197" t="s">
        <v>142</v>
      </c>
      <c r="F5" s="198" t="s">
        <v>151</v>
      </c>
      <c r="G5" s="199" t="s">
        <v>143</v>
      </c>
      <c r="H5" s="200" t="s">
        <v>144</v>
      </c>
      <c r="I5" s="201" t="s">
        <v>152</v>
      </c>
      <c r="J5" s="202" t="s">
        <v>153</v>
      </c>
      <c r="K5" s="203" t="s">
        <v>154</v>
      </c>
    </row>
    <row r="6" spans="2:21" ht="18" customHeight="1" x14ac:dyDescent="0.8">
      <c r="B6" s="206" t="str">
        <f>Summary!B3</f>
        <v>گپ مشکی</v>
      </c>
      <c r="C6" s="144"/>
      <c r="D6" s="145">
        <f>Summary!C3</f>
        <v>1</v>
      </c>
      <c r="E6" s="145">
        <f>Summary!E3</f>
        <v>200000</v>
      </c>
      <c r="F6" s="145">
        <f>IFERROR(E6/D6, 0)</f>
        <v>200000</v>
      </c>
      <c r="G6" s="145">
        <f>Summary!F3</f>
        <v>1</v>
      </c>
      <c r="H6" s="145">
        <f>Summary!G3</f>
        <v>450000</v>
      </c>
      <c r="I6" s="145">
        <f>IFERROR(H6/G6, 0)</f>
        <v>450000</v>
      </c>
      <c r="J6" s="145">
        <f>Summary!I3</f>
        <v>0</v>
      </c>
      <c r="K6" s="146">
        <f>J6*F6</f>
        <v>0</v>
      </c>
      <c r="M6" s="13"/>
      <c r="N6" s="147"/>
    </row>
    <row r="7" spans="2:21" ht="18" customHeight="1" x14ac:dyDescent="0.8">
      <c r="B7" s="206" t="str">
        <f>Summary!B4</f>
        <v>دامن لینن کتان</v>
      </c>
      <c r="C7" s="144"/>
      <c r="D7" s="145">
        <f>Summary!C4</f>
        <v>0</v>
      </c>
      <c r="E7" s="145">
        <f>Summary!E4</f>
        <v>0</v>
      </c>
      <c r="F7" s="145">
        <f t="shared" ref="F7:F70" si="0">IFERROR(E7/D7, 0)</f>
        <v>0</v>
      </c>
      <c r="G7" s="145">
        <f>Summary!F4</f>
        <v>0</v>
      </c>
      <c r="H7" s="145">
        <f>Summary!G4</f>
        <v>0</v>
      </c>
      <c r="I7" s="145">
        <f t="shared" ref="I7:I70" si="1">IFERROR(H7/G7, 0)</f>
        <v>0</v>
      </c>
      <c r="J7" s="145">
        <f>Summary!I4</f>
        <v>0</v>
      </c>
      <c r="K7" s="146">
        <f t="shared" ref="K7:K70" si="2">J7*F7</f>
        <v>0</v>
      </c>
      <c r="M7" s="13"/>
      <c r="N7" s="147"/>
    </row>
    <row r="8" spans="2:21" ht="18" customHeight="1" x14ac:dyDescent="0.8">
      <c r="B8" s="206" t="str">
        <f>Summary!B5</f>
        <v>نیم تنه چپ و راستی</v>
      </c>
      <c r="C8" s="144"/>
      <c r="D8" s="145">
        <f>Summary!C5</f>
        <v>4</v>
      </c>
      <c r="E8" s="145">
        <f>Summary!E5</f>
        <v>1200000</v>
      </c>
      <c r="F8" s="145">
        <f t="shared" si="0"/>
        <v>300000</v>
      </c>
      <c r="G8" s="145">
        <f>Summary!F5</f>
        <v>4</v>
      </c>
      <c r="H8" s="145">
        <f>Summary!G5</f>
        <v>2500000</v>
      </c>
      <c r="I8" s="145">
        <f t="shared" si="1"/>
        <v>625000</v>
      </c>
      <c r="J8" s="145">
        <f>Summary!I5</f>
        <v>0</v>
      </c>
      <c r="K8" s="146">
        <f t="shared" si="2"/>
        <v>0</v>
      </c>
      <c r="M8" s="13"/>
      <c r="N8" s="147"/>
    </row>
    <row r="9" spans="2:21" ht="18" customHeight="1" x14ac:dyDescent="0.8">
      <c r="B9" s="206" t="str">
        <f>Summary!B6</f>
        <v>کراپ شلوار لینن</v>
      </c>
      <c r="C9" s="144"/>
      <c r="D9" s="145">
        <f>Summary!C6</f>
        <v>0</v>
      </c>
      <c r="E9" s="145">
        <f>Summary!E6</f>
        <v>0</v>
      </c>
      <c r="F9" s="145">
        <f t="shared" si="0"/>
        <v>0</v>
      </c>
      <c r="G9" s="145">
        <f>Summary!F6</f>
        <v>0</v>
      </c>
      <c r="H9" s="145">
        <f>Summary!G6</f>
        <v>0</v>
      </c>
      <c r="I9" s="145">
        <f t="shared" si="1"/>
        <v>0</v>
      </c>
      <c r="J9" s="145">
        <f>Summary!I6</f>
        <v>0</v>
      </c>
      <c r="K9" s="146">
        <f t="shared" si="2"/>
        <v>0</v>
      </c>
      <c r="M9" s="13"/>
      <c r="N9" s="147"/>
    </row>
    <row r="10" spans="2:21" ht="18" customHeight="1" x14ac:dyDescent="0.8">
      <c r="B10" s="206" t="str">
        <f>Summary!B7</f>
        <v>کت و شلوار لینن مشکی</v>
      </c>
      <c r="C10" s="144"/>
      <c r="D10" s="145">
        <f>Summary!C7</f>
        <v>1</v>
      </c>
      <c r="E10" s="145">
        <f>Summary!E7</f>
        <v>700000</v>
      </c>
      <c r="F10" s="145">
        <f t="shared" si="0"/>
        <v>700000</v>
      </c>
      <c r="G10" s="145">
        <f>Summary!F7</f>
        <v>2</v>
      </c>
      <c r="H10" s="145">
        <f>Summary!G7</f>
        <v>2100000</v>
      </c>
      <c r="I10" s="145">
        <f t="shared" si="1"/>
        <v>1050000</v>
      </c>
      <c r="J10" s="145">
        <f>Summary!I7</f>
        <v>-1</v>
      </c>
      <c r="K10" s="146">
        <f t="shared" si="2"/>
        <v>-700000</v>
      </c>
      <c r="M10" s="13"/>
      <c r="N10" s="147"/>
    </row>
    <row r="11" spans="2:21" ht="18" customHeight="1" x14ac:dyDescent="0.8">
      <c r="B11" s="206" t="str">
        <f>Summary!B8</f>
        <v>پیراهن شانتون</v>
      </c>
      <c r="C11" s="144"/>
      <c r="D11" s="145">
        <f>Summary!C8</f>
        <v>0</v>
      </c>
      <c r="E11" s="145">
        <f>Summary!E8</f>
        <v>0</v>
      </c>
      <c r="F11" s="145">
        <f t="shared" si="0"/>
        <v>0</v>
      </c>
      <c r="G11" s="145">
        <f>Summary!F8</f>
        <v>0</v>
      </c>
      <c r="H11" s="145">
        <f>Summary!G8</f>
        <v>0</v>
      </c>
      <c r="I11" s="145">
        <f t="shared" si="1"/>
        <v>0</v>
      </c>
      <c r="J11" s="145">
        <f>Summary!I8</f>
        <v>0</v>
      </c>
      <c r="K11" s="146">
        <f t="shared" si="2"/>
        <v>0</v>
      </c>
      <c r="M11" s="13"/>
      <c r="N11" s="147"/>
    </row>
    <row r="12" spans="2:21" ht="18" customHeight="1" x14ac:dyDescent="0.8">
      <c r="B12" s="206" t="str">
        <f>Summary!B9</f>
        <v>بلوز و شلوار ابر و بادی</v>
      </c>
      <c r="C12" s="144"/>
      <c r="D12" s="145">
        <f>Summary!C9</f>
        <v>1</v>
      </c>
      <c r="E12" s="145">
        <f>Summary!E9</f>
        <v>650000</v>
      </c>
      <c r="F12" s="145">
        <f t="shared" si="0"/>
        <v>650000</v>
      </c>
      <c r="G12" s="145">
        <f>Summary!F9</f>
        <v>1</v>
      </c>
      <c r="H12" s="145">
        <f>Summary!G9</f>
        <v>950000</v>
      </c>
      <c r="I12" s="145">
        <f t="shared" si="1"/>
        <v>950000</v>
      </c>
      <c r="J12" s="145">
        <f>Summary!I9</f>
        <v>0</v>
      </c>
      <c r="K12" s="146">
        <f t="shared" si="2"/>
        <v>0</v>
      </c>
      <c r="M12" s="13"/>
      <c r="N12" s="147"/>
    </row>
    <row r="13" spans="2:21" ht="18" customHeight="1" x14ac:dyDescent="0.8">
      <c r="B13" s="206" t="str">
        <f>Summary!B10</f>
        <v>شنل و شلوار</v>
      </c>
      <c r="C13" s="144"/>
      <c r="D13" s="145">
        <f>Summary!C10</f>
        <v>0</v>
      </c>
      <c r="E13" s="145">
        <f>Summary!E10</f>
        <v>0</v>
      </c>
      <c r="F13" s="145">
        <f t="shared" si="0"/>
        <v>0</v>
      </c>
      <c r="G13" s="145">
        <f>Summary!F10</f>
        <v>0</v>
      </c>
      <c r="H13" s="145">
        <f>Summary!G10</f>
        <v>0</v>
      </c>
      <c r="I13" s="145">
        <f t="shared" si="1"/>
        <v>0</v>
      </c>
      <c r="J13" s="145">
        <f>Summary!I10</f>
        <v>0</v>
      </c>
      <c r="K13" s="146">
        <f t="shared" si="2"/>
        <v>0</v>
      </c>
      <c r="M13" s="13"/>
      <c r="N13" s="147"/>
    </row>
    <row r="14" spans="2:21" ht="18" customHeight="1" x14ac:dyDescent="0.8">
      <c r="B14" s="206" t="str">
        <f>Summary!B11</f>
        <v>دامن لینن</v>
      </c>
      <c r="C14" s="144"/>
      <c r="D14" s="145">
        <f>Summary!C11</f>
        <v>1</v>
      </c>
      <c r="E14" s="145">
        <f>Summary!E11</f>
        <v>350000</v>
      </c>
      <c r="F14" s="145">
        <f t="shared" si="0"/>
        <v>350000</v>
      </c>
      <c r="G14" s="145">
        <f>Summary!F11</f>
        <v>1</v>
      </c>
      <c r="H14" s="145">
        <f>Summary!G11</f>
        <v>950000</v>
      </c>
      <c r="I14" s="145">
        <f t="shared" si="1"/>
        <v>950000</v>
      </c>
      <c r="J14" s="145">
        <f>Summary!I11</f>
        <v>0</v>
      </c>
      <c r="K14" s="146">
        <f t="shared" si="2"/>
        <v>0</v>
      </c>
      <c r="M14" s="13"/>
      <c r="N14" s="147"/>
    </row>
    <row r="15" spans="2:21" ht="18" customHeight="1" x14ac:dyDescent="0.8">
      <c r="B15" s="206" t="str">
        <f>Summary!B12</f>
        <v>نیم تنه مشکی</v>
      </c>
      <c r="C15" s="144"/>
      <c r="D15" s="145">
        <f>Summary!C12</f>
        <v>0</v>
      </c>
      <c r="E15" s="145">
        <f>Summary!E12</f>
        <v>0</v>
      </c>
      <c r="F15" s="145">
        <f t="shared" si="0"/>
        <v>0</v>
      </c>
      <c r="G15" s="145">
        <f>Summary!F12</f>
        <v>0</v>
      </c>
      <c r="H15" s="145">
        <f>Summary!G12</f>
        <v>0</v>
      </c>
      <c r="I15" s="145">
        <f t="shared" si="1"/>
        <v>0</v>
      </c>
      <c r="J15" s="145">
        <f>Summary!I12</f>
        <v>0</v>
      </c>
      <c r="K15" s="146">
        <f t="shared" si="2"/>
        <v>0</v>
      </c>
      <c r="M15" s="13"/>
      <c r="N15" s="147"/>
    </row>
    <row r="16" spans="2:21" ht="18" customHeight="1" x14ac:dyDescent="0.8">
      <c r="B16" s="206" t="str">
        <f>Summary!B13</f>
        <v>شلوار گشاد مازراتی تک بند</v>
      </c>
      <c r="C16" s="144"/>
      <c r="D16" s="145">
        <f>Summary!C13</f>
        <v>1</v>
      </c>
      <c r="E16" s="145">
        <f>Summary!E13</f>
        <v>650000</v>
      </c>
      <c r="F16" s="145">
        <f t="shared" si="0"/>
        <v>650000</v>
      </c>
      <c r="G16" s="145">
        <f>Summary!F13</f>
        <v>1</v>
      </c>
      <c r="H16" s="145">
        <f>Summary!G13</f>
        <v>1000000</v>
      </c>
      <c r="I16" s="145">
        <f t="shared" si="1"/>
        <v>1000000</v>
      </c>
      <c r="J16" s="145">
        <f>Summary!I13</f>
        <v>0</v>
      </c>
      <c r="K16" s="146">
        <f t="shared" si="2"/>
        <v>0</v>
      </c>
      <c r="M16" s="13"/>
      <c r="N16" s="147"/>
    </row>
    <row r="17" spans="2:14" ht="18" customHeight="1" x14ac:dyDescent="0.8">
      <c r="B17" s="206" t="str">
        <f>Summary!B14</f>
        <v>وست</v>
      </c>
      <c r="C17" s="144"/>
      <c r="D17" s="145">
        <f>Summary!C14</f>
        <v>0</v>
      </c>
      <c r="E17" s="145">
        <f>Summary!E14</f>
        <v>0</v>
      </c>
      <c r="F17" s="145">
        <f t="shared" si="0"/>
        <v>0</v>
      </c>
      <c r="G17" s="145">
        <f>Summary!F14</f>
        <v>0</v>
      </c>
      <c r="H17" s="145">
        <f>Summary!G14</f>
        <v>0</v>
      </c>
      <c r="I17" s="145">
        <f t="shared" si="1"/>
        <v>0</v>
      </c>
      <c r="J17" s="145">
        <f>Summary!I14</f>
        <v>0</v>
      </c>
      <c r="K17" s="146">
        <f t="shared" si="2"/>
        <v>0</v>
      </c>
      <c r="M17" s="13"/>
      <c r="N17" s="147"/>
    </row>
    <row r="18" spans="2:14" ht="18" customHeight="1" x14ac:dyDescent="0.8">
      <c r="B18" s="206" t="str">
        <f>Summary!B15</f>
        <v>بلوز سرشونه چین دار</v>
      </c>
      <c r="C18" s="144"/>
      <c r="D18" s="145">
        <f>Summary!C15</f>
        <v>1</v>
      </c>
      <c r="E18" s="145">
        <f>Summary!E15</f>
        <v>350000</v>
      </c>
      <c r="F18" s="145">
        <f t="shared" si="0"/>
        <v>350000</v>
      </c>
      <c r="G18" s="145">
        <f>Summary!F15</f>
        <v>1</v>
      </c>
      <c r="H18" s="145">
        <f>Summary!G15</f>
        <v>850000</v>
      </c>
      <c r="I18" s="145">
        <f t="shared" si="1"/>
        <v>850000</v>
      </c>
      <c r="J18" s="145">
        <f>Summary!I15</f>
        <v>0</v>
      </c>
      <c r="K18" s="146">
        <f t="shared" si="2"/>
        <v>0</v>
      </c>
      <c r="M18" s="13"/>
      <c r="N18" s="147"/>
    </row>
    <row r="19" spans="2:14" ht="18" customHeight="1" x14ac:dyDescent="0.8">
      <c r="B19" s="206" t="str">
        <f>Summary!B16</f>
        <v>شلوار گشاد مازراتی</v>
      </c>
      <c r="C19" s="144"/>
      <c r="D19" s="145">
        <f>Summary!C16</f>
        <v>6</v>
      </c>
      <c r="E19" s="145">
        <f>Summary!E16</f>
        <v>4080000</v>
      </c>
      <c r="F19" s="145">
        <f t="shared" si="0"/>
        <v>680000</v>
      </c>
      <c r="G19" s="145">
        <f>Summary!F16</f>
        <v>6</v>
      </c>
      <c r="H19" s="145">
        <f>Summary!G16</f>
        <v>6900000</v>
      </c>
      <c r="I19" s="145">
        <f t="shared" si="1"/>
        <v>1150000</v>
      </c>
      <c r="J19" s="145">
        <f>Summary!I16</f>
        <v>0</v>
      </c>
      <c r="K19" s="146">
        <f t="shared" si="2"/>
        <v>0</v>
      </c>
      <c r="M19" s="13"/>
      <c r="N19" s="147"/>
    </row>
    <row r="20" spans="2:14" ht="18" customHeight="1" x14ac:dyDescent="0.8">
      <c r="B20" s="206" t="str">
        <f>Summary!B17</f>
        <v>کت تک مازراتی</v>
      </c>
      <c r="C20" s="144"/>
      <c r="D20" s="145">
        <f>Summary!C17</f>
        <v>2</v>
      </c>
      <c r="E20" s="145">
        <f>Summary!E17</f>
        <v>1500000</v>
      </c>
      <c r="F20" s="145">
        <f t="shared" si="0"/>
        <v>750000</v>
      </c>
      <c r="G20" s="145">
        <f>Summary!F17</f>
        <v>2</v>
      </c>
      <c r="H20" s="145">
        <f>Summary!G17</f>
        <v>2200000</v>
      </c>
      <c r="I20" s="145">
        <f t="shared" si="1"/>
        <v>1100000</v>
      </c>
      <c r="J20" s="145">
        <f>Summary!I17</f>
        <v>0</v>
      </c>
      <c r="K20" s="146">
        <f t="shared" si="2"/>
        <v>0</v>
      </c>
      <c r="M20" s="13"/>
      <c r="N20" s="147"/>
    </row>
    <row r="21" spans="2:14" ht="18" customHeight="1" x14ac:dyDescent="0.8">
      <c r="B21" s="206" t="str">
        <f>Summary!B18</f>
        <v>کت و شلوار مازراتی</v>
      </c>
      <c r="C21" s="144"/>
      <c r="D21" s="145">
        <f>Summary!C18</f>
        <v>0</v>
      </c>
      <c r="E21" s="145">
        <f>Summary!E18</f>
        <v>0</v>
      </c>
      <c r="F21" s="145">
        <f t="shared" si="0"/>
        <v>0</v>
      </c>
      <c r="G21" s="145">
        <f>Summary!F18</f>
        <v>0</v>
      </c>
      <c r="H21" s="145">
        <f>Summary!G18</f>
        <v>0</v>
      </c>
      <c r="I21" s="145">
        <f t="shared" si="1"/>
        <v>0</v>
      </c>
      <c r="J21" s="145">
        <f>Summary!I18</f>
        <v>0</v>
      </c>
      <c r="K21" s="146">
        <f t="shared" si="2"/>
        <v>0</v>
      </c>
      <c r="M21" s="13"/>
      <c r="N21" s="147"/>
    </row>
    <row r="22" spans="2:14" ht="18" customHeight="1" x14ac:dyDescent="0.8">
      <c r="B22" s="206" t="str">
        <f>Summary!B19</f>
        <v>شلوارک مازراتی و لینن</v>
      </c>
      <c r="C22" s="144"/>
      <c r="D22" s="145">
        <f>Summary!C19</f>
        <v>0</v>
      </c>
      <c r="E22" s="145">
        <f>Summary!E19</f>
        <v>0</v>
      </c>
      <c r="F22" s="145">
        <f t="shared" si="0"/>
        <v>0</v>
      </c>
      <c r="G22" s="145">
        <f>Summary!F19</f>
        <v>0</v>
      </c>
      <c r="H22" s="145">
        <f>Summary!G19</f>
        <v>0</v>
      </c>
      <c r="I22" s="145">
        <f t="shared" si="1"/>
        <v>0</v>
      </c>
      <c r="J22" s="145">
        <f>Summary!I19</f>
        <v>0</v>
      </c>
      <c r="K22" s="146">
        <f t="shared" si="2"/>
        <v>0</v>
      </c>
      <c r="M22" s="13"/>
      <c r="N22" s="147"/>
    </row>
    <row r="23" spans="2:14" ht="18" customHeight="1" x14ac:dyDescent="0.8">
      <c r="B23" s="206" t="str">
        <f>Summary!B20</f>
        <v>دامن کارگو</v>
      </c>
      <c r="C23" s="144"/>
      <c r="D23" s="145">
        <f>Summary!C20</f>
        <v>1</v>
      </c>
      <c r="E23" s="145">
        <f>Summary!E20</f>
        <v>350000</v>
      </c>
      <c r="F23" s="145">
        <f t="shared" si="0"/>
        <v>350000</v>
      </c>
      <c r="G23" s="145">
        <f>Summary!F20</f>
        <v>1</v>
      </c>
      <c r="H23" s="145">
        <f>Summary!G20</f>
        <v>750000</v>
      </c>
      <c r="I23" s="145">
        <f t="shared" si="1"/>
        <v>750000</v>
      </c>
      <c r="J23" s="145">
        <f>Summary!I20</f>
        <v>0</v>
      </c>
      <c r="K23" s="146">
        <f t="shared" si="2"/>
        <v>0</v>
      </c>
      <c r="M23" s="13"/>
      <c r="N23" s="147"/>
    </row>
    <row r="24" spans="2:14" ht="18" customHeight="1" x14ac:dyDescent="0.8">
      <c r="B24" s="206" t="str">
        <f>Summary!B21</f>
        <v>ژیله مازراتی و لینن</v>
      </c>
      <c r="C24" s="144"/>
      <c r="D24" s="145">
        <f>Summary!C21</f>
        <v>0</v>
      </c>
      <c r="E24" s="145">
        <f>Summary!E21</f>
        <v>0</v>
      </c>
      <c r="F24" s="145">
        <f t="shared" si="0"/>
        <v>0</v>
      </c>
      <c r="G24" s="145">
        <f>Summary!F21</f>
        <v>0</v>
      </c>
      <c r="H24" s="145">
        <f>Summary!G21</f>
        <v>0</v>
      </c>
      <c r="I24" s="145">
        <f t="shared" si="1"/>
        <v>0</v>
      </c>
      <c r="J24" s="145">
        <f>Summary!I21</f>
        <v>0</v>
      </c>
      <c r="K24" s="146">
        <f t="shared" si="2"/>
        <v>0</v>
      </c>
      <c r="M24" s="13"/>
      <c r="N24" s="147"/>
    </row>
    <row r="25" spans="2:14" ht="18" customHeight="1" x14ac:dyDescent="0.8">
      <c r="B25" s="206" t="str">
        <f>Summary!B22</f>
        <v>کت و شلوار جیر و چرم</v>
      </c>
      <c r="C25" s="144"/>
      <c r="D25" s="145">
        <f>Summary!C22</f>
        <v>0</v>
      </c>
      <c r="E25" s="145">
        <f>Summary!E22</f>
        <v>0</v>
      </c>
      <c r="F25" s="145">
        <f t="shared" si="0"/>
        <v>0</v>
      </c>
      <c r="G25" s="145">
        <f>Summary!F22</f>
        <v>0</v>
      </c>
      <c r="H25" s="145">
        <f>Summary!G22</f>
        <v>0</v>
      </c>
      <c r="I25" s="145">
        <f t="shared" si="1"/>
        <v>0</v>
      </c>
      <c r="J25" s="145">
        <f>Summary!I22</f>
        <v>0</v>
      </c>
      <c r="K25" s="146">
        <f t="shared" si="2"/>
        <v>0</v>
      </c>
      <c r="M25" s="13"/>
      <c r="N25" s="147"/>
    </row>
    <row r="26" spans="2:14" ht="18" customHeight="1" x14ac:dyDescent="0.8">
      <c r="B26" s="206" t="str">
        <f>Summary!B23</f>
        <v>شلوار لینن کمر سفید</v>
      </c>
      <c r="C26" s="144"/>
      <c r="D26" s="145">
        <f>Summary!C23</f>
        <v>0</v>
      </c>
      <c r="E26" s="145">
        <f>Summary!E23</f>
        <v>0</v>
      </c>
      <c r="F26" s="145">
        <f t="shared" si="0"/>
        <v>0</v>
      </c>
      <c r="G26" s="145">
        <f>Summary!F23</f>
        <v>0</v>
      </c>
      <c r="H26" s="145">
        <f>Summary!G23</f>
        <v>0</v>
      </c>
      <c r="I26" s="145">
        <f t="shared" si="1"/>
        <v>0</v>
      </c>
      <c r="J26" s="145">
        <f>Summary!I23</f>
        <v>0</v>
      </c>
      <c r="K26" s="146">
        <f t="shared" si="2"/>
        <v>0</v>
      </c>
      <c r="M26" s="13"/>
      <c r="N26" s="147"/>
    </row>
    <row r="27" spans="2:14" ht="18" customHeight="1" x14ac:dyDescent="0.8">
      <c r="B27" s="206" t="str">
        <f>Summary!B24</f>
        <v>بلوز جیر جلو کوتاه پشت بلند</v>
      </c>
      <c r="C27" s="144"/>
      <c r="D27" s="145">
        <f>Summary!C24</f>
        <v>3</v>
      </c>
      <c r="E27" s="145">
        <f>Summary!E24</f>
        <v>1500000</v>
      </c>
      <c r="F27" s="145">
        <f t="shared" si="0"/>
        <v>500000</v>
      </c>
      <c r="G27" s="145">
        <f>Summary!F24</f>
        <v>3</v>
      </c>
      <c r="H27" s="145">
        <f>Summary!G24</f>
        <v>2550000</v>
      </c>
      <c r="I27" s="145">
        <f t="shared" si="1"/>
        <v>850000</v>
      </c>
      <c r="J27" s="145">
        <f>Summary!I24</f>
        <v>0</v>
      </c>
      <c r="K27" s="146">
        <f t="shared" si="2"/>
        <v>0</v>
      </c>
      <c r="M27" s="13"/>
      <c r="N27" s="147"/>
    </row>
    <row r="28" spans="2:14" ht="18" customHeight="1" x14ac:dyDescent="0.8">
      <c r="B28" s="206" t="str">
        <f>Summary!B25</f>
        <v>کت فانتزی لینن</v>
      </c>
      <c r="C28" s="144"/>
      <c r="D28" s="145">
        <f>Summary!C25</f>
        <v>0</v>
      </c>
      <c r="E28" s="145">
        <f>Summary!E25</f>
        <v>0</v>
      </c>
      <c r="F28" s="145">
        <f t="shared" si="0"/>
        <v>0</v>
      </c>
      <c r="G28" s="145">
        <f>Summary!F25</f>
        <v>0</v>
      </c>
      <c r="H28" s="145">
        <f>Summary!G25</f>
        <v>0</v>
      </c>
      <c r="I28" s="145">
        <f t="shared" si="1"/>
        <v>0</v>
      </c>
      <c r="J28" s="145">
        <f>Summary!I25</f>
        <v>0</v>
      </c>
      <c r="K28" s="146">
        <f t="shared" si="2"/>
        <v>0</v>
      </c>
      <c r="M28" s="13"/>
      <c r="N28" s="147"/>
    </row>
    <row r="29" spans="2:14" ht="18" customHeight="1" x14ac:dyDescent="0.8">
      <c r="B29" s="206" t="str">
        <f>Summary!B26</f>
        <v>بلوز و شلوار لینن جلو بسته</v>
      </c>
      <c r="C29" s="144"/>
      <c r="D29" s="145">
        <f>Summary!C26</f>
        <v>2</v>
      </c>
      <c r="E29" s="145">
        <f>Summary!E26</f>
        <v>1300000</v>
      </c>
      <c r="F29" s="145">
        <f t="shared" si="0"/>
        <v>650000</v>
      </c>
      <c r="G29" s="145">
        <f>Summary!F26</f>
        <v>2</v>
      </c>
      <c r="H29" s="145">
        <f>Summary!G26</f>
        <v>2300000</v>
      </c>
      <c r="I29" s="145">
        <f t="shared" si="1"/>
        <v>1150000</v>
      </c>
      <c r="J29" s="145">
        <f>Summary!I26</f>
        <v>0</v>
      </c>
      <c r="K29" s="146">
        <f t="shared" si="2"/>
        <v>0</v>
      </c>
      <c r="M29" s="13"/>
      <c r="N29" s="147"/>
    </row>
    <row r="30" spans="2:14" ht="18" customHeight="1" x14ac:dyDescent="0.8">
      <c r="B30" s="206" t="str">
        <f>Summary!B27</f>
        <v>شومیز شلوار لینن جلوباز</v>
      </c>
      <c r="C30" s="144"/>
      <c r="D30" s="145">
        <f>Summary!C27</f>
        <v>1</v>
      </c>
      <c r="E30" s="145">
        <f>Summary!E27</f>
        <v>650000</v>
      </c>
      <c r="F30" s="145">
        <f t="shared" si="0"/>
        <v>650000</v>
      </c>
      <c r="G30" s="145">
        <f>Summary!F27</f>
        <v>1</v>
      </c>
      <c r="H30" s="145">
        <f>Summary!G27</f>
        <v>1200000</v>
      </c>
      <c r="I30" s="145">
        <f t="shared" si="1"/>
        <v>1200000</v>
      </c>
      <c r="J30" s="145">
        <f>Summary!I27</f>
        <v>0</v>
      </c>
      <c r="K30" s="146">
        <f t="shared" si="2"/>
        <v>0</v>
      </c>
      <c r="M30" s="13"/>
      <c r="N30" s="147"/>
    </row>
    <row r="31" spans="2:14" ht="18" customHeight="1" x14ac:dyDescent="0.8">
      <c r="B31" s="206" t="str">
        <f>Summary!B28</f>
        <v>شلوار لمه</v>
      </c>
      <c r="C31" s="144"/>
      <c r="D31" s="145">
        <f>Summary!C28</f>
        <v>0</v>
      </c>
      <c r="E31" s="145">
        <f>Summary!E28</f>
        <v>0</v>
      </c>
      <c r="F31" s="145">
        <f t="shared" si="0"/>
        <v>0</v>
      </c>
      <c r="G31" s="145">
        <f>Summary!F28</f>
        <v>0</v>
      </c>
      <c r="H31" s="145">
        <f>Summary!G28</f>
        <v>0</v>
      </c>
      <c r="I31" s="145">
        <f t="shared" si="1"/>
        <v>0</v>
      </c>
      <c r="J31" s="145">
        <f>Summary!I28</f>
        <v>0</v>
      </c>
      <c r="K31" s="146">
        <f t="shared" si="2"/>
        <v>0</v>
      </c>
      <c r="M31" s="13"/>
      <c r="N31" s="147"/>
    </row>
    <row r="32" spans="2:14" ht="18" customHeight="1" x14ac:dyDescent="0.8">
      <c r="B32" s="206" t="str">
        <f>Summary!B29</f>
        <v>مانتو پاپیون</v>
      </c>
      <c r="C32" s="144"/>
      <c r="D32" s="145">
        <f>Summary!C29</f>
        <v>5</v>
      </c>
      <c r="E32" s="145">
        <f>Summary!E29</f>
        <v>6400000</v>
      </c>
      <c r="F32" s="145">
        <f t="shared" si="0"/>
        <v>1280000</v>
      </c>
      <c r="G32" s="145">
        <f>Summary!F29</f>
        <v>2</v>
      </c>
      <c r="H32" s="145">
        <f>Summary!G29</f>
        <v>2800000</v>
      </c>
      <c r="I32" s="145">
        <f t="shared" si="1"/>
        <v>1400000</v>
      </c>
      <c r="J32" s="145">
        <f>Summary!I29</f>
        <v>3</v>
      </c>
      <c r="K32" s="146">
        <f t="shared" si="2"/>
        <v>3840000</v>
      </c>
      <c r="M32" s="13"/>
      <c r="N32" s="147"/>
    </row>
    <row r="33" spans="2:14" ht="18" customHeight="1" x14ac:dyDescent="0.8">
      <c r="B33" s="206" t="str">
        <f>Summary!B30</f>
        <v>مانتو مزون</v>
      </c>
      <c r="C33" s="144"/>
      <c r="D33" s="145">
        <f>Summary!C30</f>
        <v>1</v>
      </c>
      <c r="E33" s="145">
        <f>Summary!E30</f>
        <v>1200000</v>
      </c>
      <c r="F33" s="145">
        <f t="shared" si="0"/>
        <v>1200000</v>
      </c>
      <c r="G33" s="145">
        <f>Summary!F30</f>
        <v>1</v>
      </c>
      <c r="H33" s="145">
        <f>Summary!G30</f>
        <v>1800000</v>
      </c>
      <c r="I33" s="145">
        <f t="shared" si="1"/>
        <v>1800000</v>
      </c>
      <c r="J33" s="145">
        <f>Summary!I30</f>
        <v>0</v>
      </c>
      <c r="K33" s="146">
        <f t="shared" si="2"/>
        <v>0</v>
      </c>
      <c r="M33" s="13"/>
      <c r="N33" s="147"/>
    </row>
    <row r="34" spans="2:14" ht="18" customHeight="1" x14ac:dyDescent="0.8">
      <c r="B34" s="206" t="str">
        <f>Summary!B31</f>
        <v>مانتو دیپلمات</v>
      </c>
      <c r="C34" s="144"/>
      <c r="D34" s="145">
        <f>Summary!C31</f>
        <v>2</v>
      </c>
      <c r="E34" s="145">
        <f>Summary!E31</f>
        <v>2300000</v>
      </c>
      <c r="F34" s="145">
        <f t="shared" si="0"/>
        <v>1150000</v>
      </c>
      <c r="G34" s="145">
        <f>Summary!F31</f>
        <v>1</v>
      </c>
      <c r="H34" s="145">
        <f>Summary!G31</f>
        <v>1200000</v>
      </c>
      <c r="I34" s="145">
        <f t="shared" si="1"/>
        <v>1200000</v>
      </c>
      <c r="J34" s="145">
        <f>Summary!I31</f>
        <v>1</v>
      </c>
      <c r="K34" s="146">
        <f t="shared" si="2"/>
        <v>1150000</v>
      </c>
      <c r="M34" s="13"/>
      <c r="N34" s="147"/>
    </row>
    <row r="35" spans="2:14" ht="18" customHeight="1" x14ac:dyDescent="0.8">
      <c r="B35" s="206" t="str">
        <f>Summary!B32</f>
        <v>مانتو کتان</v>
      </c>
      <c r="C35" s="144"/>
      <c r="D35" s="145">
        <f>Summary!C32</f>
        <v>5</v>
      </c>
      <c r="E35" s="145">
        <f>Summary!E32</f>
        <v>4250000</v>
      </c>
      <c r="F35" s="145">
        <f t="shared" si="0"/>
        <v>850000</v>
      </c>
      <c r="G35" s="145">
        <f>Summary!F32</f>
        <v>1</v>
      </c>
      <c r="H35" s="145">
        <f>Summary!G32</f>
        <v>950000</v>
      </c>
      <c r="I35" s="145">
        <f t="shared" si="1"/>
        <v>950000</v>
      </c>
      <c r="J35" s="145">
        <f>Summary!I32</f>
        <v>4</v>
      </c>
      <c r="K35" s="146">
        <f t="shared" si="2"/>
        <v>3400000</v>
      </c>
      <c r="M35" s="13"/>
      <c r="N35" s="147"/>
    </row>
    <row r="36" spans="2:14" ht="18" customHeight="1" x14ac:dyDescent="0.8">
      <c r="B36" s="206" t="str">
        <f>Summary!B33</f>
        <v>شومیز مراکشی</v>
      </c>
      <c r="C36" s="144"/>
      <c r="D36" s="145">
        <f>Summary!C33</f>
        <v>4</v>
      </c>
      <c r="E36" s="145">
        <f>Summary!E33</f>
        <v>2392000</v>
      </c>
      <c r="F36" s="145">
        <f t="shared" si="0"/>
        <v>598000</v>
      </c>
      <c r="G36" s="145">
        <f>Summary!F33</f>
        <v>0</v>
      </c>
      <c r="H36" s="145">
        <f>Summary!G33</f>
        <v>0</v>
      </c>
      <c r="I36" s="145">
        <f t="shared" si="1"/>
        <v>0</v>
      </c>
      <c r="J36" s="145">
        <f>Summary!I33</f>
        <v>4</v>
      </c>
      <c r="K36" s="146">
        <f t="shared" si="2"/>
        <v>2392000</v>
      </c>
      <c r="M36" s="13"/>
      <c r="N36" s="147"/>
    </row>
    <row r="37" spans="2:14" ht="18" customHeight="1" x14ac:dyDescent="0.8">
      <c r="B37" s="206" t="str">
        <f>Summary!B34</f>
        <v>شومیز پلنگی</v>
      </c>
      <c r="C37" s="144"/>
      <c r="D37" s="145">
        <f>Summary!C34</f>
        <v>3</v>
      </c>
      <c r="E37" s="145">
        <f>Summary!E34</f>
        <v>1950000</v>
      </c>
      <c r="F37" s="145">
        <f t="shared" si="0"/>
        <v>650000</v>
      </c>
      <c r="G37" s="145">
        <f>Summary!F34</f>
        <v>2</v>
      </c>
      <c r="H37" s="145">
        <f>Summary!G34</f>
        <v>1550000</v>
      </c>
      <c r="I37" s="145">
        <f t="shared" si="1"/>
        <v>775000</v>
      </c>
      <c r="J37" s="145">
        <f>Summary!I34</f>
        <v>1</v>
      </c>
      <c r="K37" s="146">
        <f t="shared" si="2"/>
        <v>650000</v>
      </c>
      <c r="M37" s="13"/>
      <c r="N37" s="147"/>
    </row>
    <row r="38" spans="2:14" ht="18" customHeight="1" x14ac:dyDescent="0.8">
      <c r="B38" s="206" t="str">
        <f>Summary!B35</f>
        <v>شال LV</v>
      </c>
      <c r="C38" s="144"/>
      <c r="D38" s="145">
        <f>Summary!C35</f>
        <v>9</v>
      </c>
      <c r="E38" s="145">
        <f>Summary!E35</f>
        <v>3582000</v>
      </c>
      <c r="F38" s="145">
        <f t="shared" si="0"/>
        <v>398000</v>
      </c>
      <c r="G38" s="145">
        <f>Summary!F35</f>
        <v>9</v>
      </c>
      <c r="H38" s="145">
        <f>Summary!G35</f>
        <v>4000000</v>
      </c>
      <c r="I38" s="145">
        <f t="shared" si="1"/>
        <v>444444.44444444444</v>
      </c>
      <c r="J38" s="145">
        <f>Summary!I35</f>
        <v>0</v>
      </c>
      <c r="K38" s="146">
        <f t="shared" si="2"/>
        <v>0</v>
      </c>
      <c r="M38" s="13"/>
      <c r="N38" s="147"/>
    </row>
    <row r="39" spans="2:14" ht="18" customHeight="1" x14ac:dyDescent="0.8">
      <c r="B39" s="206" t="str">
        <f>Summary!B36</f>
        <v>بلوز کرکره</v>
      </c>
      <c r="C39" s="144"/>
      <c r="D39" s="145">
        <f>Summary!C36</f>
        <v>8</v>
      </c>
      <c r="E39" s="145">
        <f>Summary!E36</f>
        <v>2280000</v>
      </c>
      <c r="F39" s="145">
        <f t="shared" si="0"/>
        <v>285000</v>
      </c>
      <c r="G39" s="145">
        <f>Summary!F36</f>
        <v>3</v>
      </c>
      <c r="H39" s="145">
        <f>Summary!G36</f>
        <v>1550000</v>
      </c>
      <c r="I39" s="145">
        <f t="shared" si="1"/>
        <v>516666.66666666669</v>
      </c>
      <c r="J39" s="145">
        <f>Summary!I36</f>
        <v>5</v>
      </c>
      <c r="K39" s="146">
        <f t="shared" si="2"/>
        <v>1425000</v>
      </c>
      <c r="M39" s="13"/>
      <c r="N39" s="147"/>
    </row>
    <row r="40" spans="2:14" ht="18" customHeight="1" x14ac:dyDescent="0.8">
      <c r="B40" s="206" t="str">
        <f>Summary!B37</f>
        <v>شلوار جین دمپا</v>
      </c>
      <c r="C40" s="144"/>
      <c r="D40" s="145">
        <f>Summary!C37</f>
        <v>4</v>
      </c>
      <c r="E40" s="145">
        <f>Summary!E37</f>
        <v>2720000</v>
      </c>
      <c r="F40" s="145">
        <f t="shared" si="0"/>
        <v>680000</v>
      </c>
      <c r="G40" s="145">
        <f>Summary!F37</f>
        <v>3</v>
      </c>
      <c r="H40" s="145">
        <f>Summary!G37</f>
        <v>3400000</v>
      </c>
      <c r="I40" s="145">
        <f t="shared" si="1"/>
        <v>1133333.3333333333</v>
      </c>
      <c r="J40" s="145">
        <f>Summary!I37</f>
        <v>1</v>
      </c>
      <c r="K40" s="146">
        <f t="shared" si="2"/>
        <v>680000</v>
      </c>
      <c r="M40" s="13"/>
      <c r="N40" s="147"/>
    </row>
    <row r="41" spans="2:14" ht="18" customHeight="1" x14ac:dyDescent="0.8">
      <c r="B41" s="206" t="str">
        <f>Summary!B38</f>
        <v>شلوار مازراتی</v>
      </c>
      <c r="C41" s="144"/>
      <c r="D41" s="145">
        <f>Summary!C38</f>
        <v>5</v>
      </c>
      <c r="E41" s="145">
        <f>Summary!E38</f>
        <v>1300000</v>
      </c>
      <c r="F41" s="145">
        <f t="shared" si="0"/>
        <v>260000</v>
      </c>
      <c r="G41" s="145">
        <f>Summary!F38</f>
        <v>1</v>
      </c>
      <c r="H41" s="145">
        <f>Summary!G38</f>
        <v>850000</v>
      </c>
      <c r="I41" s="145">
        <f t="shared" si="1"/>
        <v>850000</v>
      </c>
      <c r="J41" s="145">
        <f>Summary!I38</f>
        <v>4</v>
      </c>
      <c r="K41" s="146">
        <f t="shared" si="2"/>
        <v>1040000</v>
      </c>
      <c r="M41" s="13"/>
      <c r="N41" s="147"/>
    </row>
    <row r="42" spans="2:14" ht="18" customHeight="1" x14ac:dyDescent="0.8">
      <c r="B42" s="206" t="str">
        <f>Summary!B39</f>
        <v>بلوز بافت صورتی</v>
      </c>
      <c r="C42" s="144"/>
      <c r="D42" s="145">
        <f>Summary!C39</f>
        <v>1</v>
      </c>
      <c r="E42" s="145">
        <f>Summary!E39</f>
        <v>650000</v>
      </c>
      <c r="F42" s="145">
        <f t="shared" si="0"/>
        <v>650000</v>
      </c>
      <c r="G42" s="145">
        <f>Summary!F39</f>
        <v>1</v>
      </c>
      <c r="H42" s="145">
        <f>Summary!G39</f>
        <v>850000</v>
      </c>
      <c r="I42" s="145">
        <f t="shared" si="1"/>
        <v>850000</v>
      </c>
      <c r="J42" s="145">
        <f>Summary!I39</f>
        <v>0</v>
      </c>
      <c r="K42" s="146">
        <f t="shared" si="2"/>
        <v>0</v>
      </c>
      <c r="M42" s="13"/>
      <c r="N42" s="147"/>
    </row>
    <row r="43" spans="2:14" ht="18" customHeight="1" x14ac:dyDescent="0.8">
      <c r="B43" s="206" t="str">
        <f>Summary!B40</f>
        <v>شلوار مام</v>
      </c>
      <c r="C43" s="144"/>
      <c r="D43" s="145">
        <f>Summary!C40</f>
        <v>2</v>
      </c>
      <c r="E43" s="145">
        <f>Summary!E40</f>
        <v>1300000</v>
      </c>
      <c r="F43" s="145">
        <f t="shared" si="0"/>
        <v>650000</v>
      </c>
      <c r="G43" s="145">
        <f>Summary!F40</f>
        <v>2</v>
      </c>
      <c r="H43" s="145">
        <f>Summary!G40</f>
        <v>1850000</v>
      </c>
      <c r="I43" s="145">
        <f t="shared" si="1"/>
        <v>925000</v>
      </c>
      <c r="J43" s="145">
        <f>Summary!I40</f>
        <v>0</v>
      </c>
      <c r="K43" s="146">
        <f t="shared" si="2"/>
        <v>0</v>
      </c>
      <c r="M43" s="13"/>
      <c r="N43" s="147"/>
    </row>
    <row r="44" spans="2:14" ht="18" customHeight="1" x14ac:dyDescent="0.8">
      <c r="B44" s="206" t="str">
        <f>Summary!B41</f>
        <v>دامن حلزونی مشکی</v>
      </c>
      <c r="C44" s="144"/>
      <c r="D44" s="145">
        <f>Summary!C41</f>
        <v>4</v>
      </c>
      <c r="E44" s="145">
        <f>Summary!E41</f>
        <v>1280000</v>
      </c>
      <c r="F44" s="145">
        <f t="shared" si="0"/>
        <v>320000</v>
      </c>
      <c r="G44" s="145">
        <f>Summary!F41</f>
        <v>4</v>
      </c>
      <c r="H44" s="145">
        <f>Summary!G41</f>
        <v>2600000</v>
      </c>
      <c r="I44" s="145">
        <f t="shared" si="1"/>
        <v>650000</v>
      </c>
      <c r="J44" s="145">
        <f>Summary!I41</f>
        <v>0</v>
      </c>
      <c r="K44" s="146">
        <f t="shared" si="2"/>
        <v>0</v>
      </c>
      <c r="M44" s="13"/>
      <c r="N44" s="147"/>
    </row>
    <row r="45" spans="2:14" ht="18" customHeight="1" x14ac:dyDescent="0.8">
      <c r="B45" s="206" t="str">
        <f>Summary!B42</f>
        <v>بلوز طوسی زیپ دار</v>
      </c>
      <c r="C45" s="144"/>
      <c r="D45" s="145">
        <f>Summary!C42</f>
        <v>1</v>
      </c>
      <c r="E45" s="145">
        <f>Summary!E42</f>
        <v>160000</v>
      </c>
      <c r="F45" s="145">
        <f t="shared" si="0"/>
        <v>160000</v>
      </c>
      <c r="G45" s="145">
        <f>Summary!F42</f>
        <v>1</v>
      </c>
      <c r="H45" s="145">
        <f>Summary!G42</f>
        <v>450000</v>
      </c>
      <c r="I45" s="145">
        <f t="shared" si="1"/>
        <v>450000</v>
      </c>
      <c r="J45" s="145">
        <f>Summary!I42</f>
        <v>0</v>
      </c>
      <c r="K45" s="146">
        <f t="shared" si="2"/>
        <v>0</v>
      </c>
      <c r="M45" s="13"/>
      <c r="N45" s="147"/>
    </row>
    <row r="46" spans="2:14" ht="18" customHeight="1" x14ac:dyDescent="0.8">
      <c r="B46" s="206" t="str">
        <f>Summary!B43</f>
        <v>گوشواره</v>
      </c>
      <c r="C46" s="144"/>
      <c r="D46" s="145">
        <f>Summary!C43</f>
        <v>9</v>
      </c>
      <c r="E46" s="145">
        <f>Summary!E43</f>
        <v>1800000</v>
      </c>
      <c r="F46" s="145">
        <f t="shared" si="0"/>
        <v>200000</v>
      </c>
      <c r="G46" s="145">
        <f>Summary!F43</f>
        <v>4</v>
      </c>
      <c r="H46" s="145">
        <f>Summary!G43</f>
        <v>950000</v>
      </c>
      <c r="I46" s="145">
        <f t="shared" si="1"/>
        <v>237500</v>
      </c>
      <c r="J46" s="145">
        <f>Summary!I43</f>
        <v>5</v>
      </c>
      <c r="K46" s="146">
        <f t="shared" si="2"/>
        <v>1000000</v>
      </c>
      <c r="M46" s="13"/>
      <c r="N46" s="147"/>
    </row>
    <row r="47" spans="2:14" ht="18" customHeight="1" x14ac:dyDescent="0.8">
      <c r="B47" s="206" t="str">
        <f>Summary!B44</f>
        <v>کوتون سفید</v>
      </c>
      <c r="C47" s="144"/>
      <c r="D47" s="145">
        <f>Summary!C44</f>
        <v>1</v>
      </c>
      <c r="E47" s="145">
        <f>Summary!E44</f>
        <v>600000</v>
      </c>
      <c r="F47" s="145">
        <f t="shared" si="0"/>
        <v>600000</v>
      </c>
      <c r="G47" s="145">
        <f>Summary!F44</f>
        <v>1</v>
      </c>
      <c r="H47" s="145">
        <f>Summary!G44</f>
        <v>1000000</v>
      </c>
      <c r="I47" s="145">
        <f t="shared" si="1"/>
        <v>1000000</v>
      </c>
      <c r="J47" s="145">
        <f>Summary!I44</f>
        <v>0</v>
      </c>
      <c r="K47" s="146">
        <f t="shared" si="2"/>
        <v>0</v>
      </c>
      <c r="M47" s="13"/>
      <c r="N47" s="147"/>
    </row>
    <row r="48" spans="2:14" ht="18" customHeight="1" x14ac:dyDescent="0.8">
      <c r="B48" s="206" t="str">
        <f>Summary!B45</f>
        <v>کوتون XSIDE</v>
      </c>
      <c r="C48" s="144"/>
      <c r="D48" s="145">
        <f>Summary!C45</f>
        <v>1</v>
      </c>
      <c r="E48" s="145">
        <f>Summary!E45</f>
        <v>850000</v>
      </c>
      <c r="F48" s="145">
        <f t="shared" si="0"/>
        <v>850000</v>
      </c>
      <c r="G48" s="145">
        <f>Summary!F45</f>
        <v>1</v>
      </c>
      <c r="H48" s="145">
        <f>Summary!G45</f>
        <v>1300000</v>
      </c>
      <c r="I48" s="145">
        <f t="shared" si="1"/>
        <v>1300000</v>
      </c>
      <c r="J48" s="145">
        <f>Summary!I45</f>
        <v>0</v>
      </c>
      <c r="K48" s="146">
        <f t="shared" si="2"/>
        <v>0</v>
      </c>
      <c r="M48" s="13"/>
      <c r="N48" s="147"/>
    </row>
    <row r="49" spans="2:14" ht="18" customHeight="1" x14ac:dyDescent="0.8">
      <c r="B49" s="206" t="str">
        <f>Summary!B46</f>
        <v>سوئیشرت کلاه دار ترک</v>
      </c>
      <c r="C49" s="144"/>
      <c r="D49" s="145">
        <f>Summary!C46</f>
        <v>1</v>
      </c>
      <c r="E49" s="145">
        <f>Summary!E46</f>
        <v>200000</v>
      </c>
      <c r="F49" s="145">
        <f t="shared" si="0"/>
        <v>200000</v>
      </c>
      <c r="G49" s="145">
        <f>Summary!F46</f>
        <v>1</v>
      </c>
      <c r="H49" s="145">
        <f>Summary!G46</f>
        <v>450000</v>
      </c>
      <c r="I49" s="145">
        <f t="shared" si="1"/>
        <v>450000</v>
      </c>
      <c r="J49" s="145">
        <f>Summary!I46</f>
        <v>0</v>
      </c>
      <c r="K49" s="146">
        <f t="shared" si="2"/>
        <v>0</v>
      </c>
      <c r="M49" s="13"/>
      <c r="N49" s="147"/>
    </row>
    <row r="50" spans="2:14" ht="18" customHeight="1" x14ac:dyDescent="0.8">
      <c r="B50" s="206" t="str">
        <f>Summary!B47</f>
        <v>تیشرت طوسی ترک</v>
      </c>
      <c r="C50" s="144"/>
      <c r="D50" s="145">
        <f>Summary!C47</f>
        <v>3</v>
      </c>
      <c r="E50" s="145">
        <f>Summary!E47</f>
        <v>300000</v>
      </c>
      <c r="F50" s="145">
        <f t="shared" si="0"/>
        <v>100000</v>
      </c>
      <c r="G50" s="145">
        <f>Summary!F47</f>
        <v>2</v>
      </c>
      <c r="H50" s="145">
        <f>Summary!G47</f>
        <v>650000</v>
      </c>
      <c r="I50" s="145">
        <f t="shared" si="1"/>
        <v>325000</v>
      </c>
      <c r="J50" s="145">
        <f>Summary!I47</f>
        <v>1</v>
      </c>
      <c r="K50" s="146">
        <f t="shared" si="2"/>
        <v>100000</v>
      </c>
      <c r="M50" s="13"/>
      <c r="N50" s="147"/>
    </row>
    <row r="51" spans="2:14" ht="18" customHeight="1" x14ac:dyDescent="0.8">
      <c r="B51" s="206" t="str">
        <f>Summary!B48</f>
        <v>اکسسوری</v>
      </c>
      <c r="C51" s="144"/>
      <c r="D51" s="145">
        <f>Summary!C48</f>
        <v>1</v>
      </c>
      <c r="E51" s="145">
        <f>Summary!E48</f>
        <v>100000</v>
      </c>
      <c r="F51" s="145">
        <f t="shared" si="0"/>
        <v>100000</v>
      </c>
      <c r="G51" s="145">
        <f>Summary!F48</f>
        <v>1</v>
      </c>
      <c r="H51" s="145">
        <f>Summary!G48</f>
        <v>350000</v>
      </c>
      <c r="I51" s="145">
        <f t="shared" si="1"/>
        <v>350000</v>
      </c>
      <c r="J51" s="145">
        <f>Summary!I48</f>
        <v>0</v>
      </c>
      <c r="K51" s="146">
        <f t="shared" si="2"/>
        <v>0</v>
      </c>
      <c r="M51" s="13"/>
      <c r="N51" s="147"/>
    </row>
    <row r="52" spans="2:14" ht="18" customHeight="1" x14ac:dyDescent="0.8">
      <c r="B52" s="206" t="str">
        <f>Summary!B49</f>
        <v>شلوار کرم ترک</v>
      </c>
      <c r="C52" s="144"/>
      <c r="D52" s="145">
        <f>Summary!C49</f>
        <v>1</v>
      </c>
      <c r="E52" s="145">
        <f>Summary!E49</f>
        <v>0</v>
      </c>
      <c r="F52" s="145">
        <f t="shared" si="0"/>
        <v>0</v>
      </c>
      <c r="G52" s="145">
        <f>Summary!F49</f>
        <v>1</v>
      </c>
      <c r="H52" s="145">
        <f>Summary!G49</f>
        <v>650000</v>
      </c>
      <c r="I52" s="145">
        <f t="shared" si="1"/>
        <v>650000</v>
      </c>
      <c r="J52" s="145">
        <f>Summary!I49</f>
        <v>0</v>
      </c>
      <c r="K52" s="146">
        <f t="shared" si="2"/>
        <v>0</v>
      </c>
      <c r="M52" s="13"/>
      <c r="N52" s="147"/>
    </row>
    <row r="53" spans="2:14" ht="18" customHeight="1" x14ac:dyDescent="0.8">
      <c r="B53" s="206" t="str">
        <f>Summary!B50</f>
        <v>دامن ترک سفید</v>
      </c>
      <c r="C53" s="144"/>
      <c r="D53" s="145">
        <f>Summary!C50</f>
        <v>1</v>
      </c>
      <c r="E53" s="145">
        <f>Summary!E50</f>
        <v>0</v>
      </c>
      <c r="F53" s="145">
        <f t="shared" si="0"/>
        <v>0</v>
      </c>
      <c r="G53" s="145">
        <f>Summary!F50</f>
        <v>1</v>
      </c>
      <c r="H53" s="145">
        <f>Summary!G50</f>
        <v>1000000</v>
      </c>
      <c r="I53" s="145">
        <f t="shared" si="1"/>
        <v>1000000</v>
      </c>
      <c r="J53" s="145">
        <f>Summary!I50</f>
        <v>0</v>
      </c>
      <c r="K53" s="146">
        <f t="shared" si="2"/>
        <v>0</v>
      </c>
      <c r="M53" s="13"/>
      <c r="N53" s="147"/>
    </row>
    <row r="54" spans="2:14" ht="18" customHeight="1" x14ac:dyDescent="0.8">
      <c r="B54" s="206" t="str">
        <f>Summary!B51</f>
        <v>نیم تنه ترک گره ای</v>
      </c>
      <c r="C54" s="144"/>
      <c r="D54" s="145">
        <f>Summary!C51</f>
        <v>2</v>
      </c>
      <c r="E54" s="145">
        <f>Summary!E51</f>
        <v>0</v>
      </c>
      <c r="F54" s="145">
        <f t="shared" si="0"/>
        <v>0</v>
      </c>
      <c r="G54" s="145">
        <f>Summary!F51</f>
        <v>2</v>
      </c>
      <c r="H54" s="145">
        <f>Summary!G51</f>
        <v>1200000</v>
      </c>
      <c r="I54" s="145">
        <f t="shared" si="1"/>
        <v>600000</v>
      </c>
      <c r="J54" s="145">
        <f>Summary!I51</f>
        <v>0</v>
      </c>
      <c r="K54" s="146">
        <f t="shared" si="2"/>
        <v>0</v>
      </c>
      <c r="M54" s="13"/>
      <c r="N54" s="147"/>
    </row>
    <row r="55" spans="2:14" ht="18" customHeight="1" x14ac:dyDescent="0.8">
      <c r="B55" s="206" t="str">
        <f>Summary!B52</f>
        <v>پیراهن استانبول</v>
      </c>
      <c r="C55" s="144"/>
      <c r="D55" s="145">
        <f>Summary!C52</f>
        <v>1</v>
      </c>
      <c r="E55" s="145">
        <f>Summary!E52</f>
        <v>0</v>
      </c>
      <c r="F55" s="145">
        <f t="shared" si="0"/>
        <v>0</v>
      </c>
      <c r="G55" s="145">
        <f>Summary!F52</f>
        <v>1</v>
      </c>
      <c r="H55" s="145">
        <f>Summary!G52</f>
        <v>800000</v>
      </c>
      <c r="I55" s="145">
        <f t="shared" si="1"/>
        <v>800000</v>
      </c>
      <c r="J55" s="145">
        <f>Summary!I52</f>
        <v>0</v>
      </c>
      <c r="K55" s="146">
        <f t="shared" si="2"/>
        <v>0</v>
      </c>
      <c r="M55" s="13"/>
      <c r="N55" s="147"/>
    </row>
    <row r="56" spans="2:14" ht="18" customHeight="1" x14ac:dyDescent="0.8">
      <c r="B56" s="206" t="str">
        <f>Summary!B53</f>
        <v>شلوار 4 دکمه مشکی</v>
      </c>
      <c r="C56" s="144"/>
      <c r="D56" s="145">
        <f>Summary!C53</f>
        <v>2</v>
      </c>
      <c r="E56" s="145">
        <f>Summary!E53</f>
        <v>1700000</v>
      </c>
      <c r="F56" s="145">
        <f t="shared" si="0"/>
        <v>850000</v>
      </c>
      <c r="G56" s="145">
        <f>Summary!F53</f>
        <v>1</v>
      </c>
      <c r="H56" s="145">
        <f>Summary!G53</f>
        <v>900000</v>
      </c>
      <c r="I56" s="145">
        <f t="shared" si="1"/>
        <v>900000</v>
      </c>
      <c r="J56" s="145">
        <f>Summary!I53</f>
        <v>1</v>
      </c>
      <c r="K56" s="146">
        <f t="shared" si="2"/>
        <v>850000</v>
      </c>
      <c r="M56" s="13"/>
      <c r="N56" s="147"/>
    </row>
    <row r="57" spans="2:14" ht="18" customHeight="1" x14ac:dyDescent="0.8">
      <c r="B57" s="206" t="str">
        <f>Summary!B54</f>
        <v>شلوار 4 دکمه کرم</v>
      </c>
      <c r="C57" s="144"/>
      <c r="D57" s="145">
        <f>Summary!C54</f>
        <v>1</v>
      </c>
      <c r="E57" s="145">
        <f>Summary!E54</f>
        <v>850000</v>
      </c>
      <c r="F57" s="145">
        <f t="shared" si="0"/>
        <v>850000</v>
      </c>
      <c r="G57" s="145">
        <f>Summary!F54</f>
        <v>1</v>
      </c>
      <c r="H57" s="145">
        <f>Summary!G54</f>
        <v>1200000</v>
      </c>
      <c r="I57" s="145">
        <f t="shared" si="1"/>
        <v>1200000</v>
      </c>
      <c r="J57" s="145">
        <f>Summary!I54</f>
        <v>0</v>
      </c>
      <c r="K57" s="146">
        <f t="shared" si="2"/>
        <v>0</v>
      </c>
      <c r="M57" s="13"/>
      <c r="N57" s="147"/>
    </row>
    <row r="58" spans="2:14" ht="18" customHeight="1" x14ac:dyDescent="0.8">
      <c r="B58" s="206" t="str">
        <f>Summary!B55</f>
        <v>کراپ تاپ دلگشا</v>
      </c>
      <c r="C58" s="144"/>
      <c r="D58" s="145">
        <f>Summary!C55</f>
        <v>9</v>
      </c>
      <c r="E58" s="145">
        <f>Summary!E55</f>
        <v>1710000</v>
      </c>
      <c r="F58" s="145">
        <f t="shared" si="0"/>
        <v>190000</v>
      </c>
      <c r="G58" s="145">
        <f>Summary!F55</f>
        <v>6</v>
      </c>
      <c r="H58" s="145">
        <f>Summary!G55</f>
        <v>1800000</v>
      </c>
      <c r="I58" s="145">
        <f t="shared" si="1"/>
        <v>300000</v>
      </c>
      <c r="J58" s="145">
        <f>Summary!I55</f>
        <v>3</v>
      </c>
      <c r="K58" s="146">
        <f t="shared" si="2"/>
        <v>570000</v>
      </c>
      <c r="M58" s="13"/>
      <c r="N58" s="147"/>
    </row>
    <row r="59" spans="2:14" ht="18" customHeight="1" x14ac:dyDescent="0.8">
      <c r="B59" s="206" t="str">
        <f>Summary!B56</f>
        <v>شومیز مشکی</v>
      </c>
      <c r="C59" s="144"/>
      <c r="D59" s="145">
        <f>Summary!C56</f>
        <v>1</v>
      </c>
      <c r="E59" s="145">
        <f>Summary!E56</f>
        <v>850000</v>
      </c>
      <c r="F59" s="145">
        <f t="shared" si="0"/>
        <v>850000</v>
      </c>
      <c r="G59" s="145">
        <f>Summary!F56</f>
        <v>1</v>
      </c>
      <c r="H59" s="145">
        <f>Summary!G56</f>
        <v>1100000</v>
      </c>
      <c r="I59" s="145">
        <f t="shared" si="1"/>
        <v>1100000</v>
      </c>
      <c r="J59" s="145">
        <f>Summary!I56</f>
        <v>0</v>
      </c>
      <c r="K59" s="146">
        <f t="shared" si="2"/>
        <v>0</v>
      </c>
      <c r="M59" s="13"/>
      <c r="N59" s="147"/>
    </row>
    <row r="60" spans="2:14" ht="18" customHeight="1" x14ac:dyDescent="0.8">
      <c r="B60" s="206" t="str">
        <f>Summary!B57</f>
        <v>ست خانگی پشت باز دلگشا</v>
      </c>
      <c r="C60" s="144"/>
      <c r="D60" s="145">
        <f>Summary!C57</f>
        <v>1</v>
      </c>
      <c r="E60" s="145">
        <f>Summary!E57</f>
        <v>200000</v>
      </c>
      <c r="F60" s="145">
        <f t="shared" si="0"/>
        <v>200000</v>
      </c>
      <c r="G60" s="145">
        <f>Summary!F57</f>
        <v>1</v>
      </c>
      <c r="H60" s="145">
        <f>Summary!G57</f>
        <v>450000</v>
      </c>
      <c r="I60" s="145">
        <f t="shared" si="1"/>
        <v>450000</v>
      </c>
      <c r="J60" s="145">
        <f>Summary!I57</f>
        <v>0</v>
      </c>
      <c r="K60" s="146">
        <f t="shared" si="2"/>
        <v>0</v>
      </c>
      <c r="M60" s="13"/>
      <c r="N60" s="147"/>
    </row>
    <row r="61" spans="2:14" ht="18" customHeight="1" x14ac:dyDescent="0.8">
      <c r="B61" s="206" t="str">
        <f>Summary!B58</f>
        <v>دامن پلیسه و یقه تور یه آستین</v>
      </c>
      <c r="C61" s="144"/>
      <c r="D61" s="145">
        <f>Summary!C58</f>
        <v>1</v>
      </c>
      <c r="E61" s="145">
        <f>Summary!E58</f>
        <v>310000</v>
      </c>
      <c r="F61" s="145">
        <f t="shared" si="0"/>
        <v>310000</v>
      </c>
      <c r="G61" s="145">
        <f>Summary!F58</f>
        <v>1</v>
      </c>
      <c r="H61" s="145">
        <f>Summary!G58</f>
        <v>600000</v>
      </c>
      <c r="I61" s="145">
        <f t="shared" si="1"/>
        <v>600000</v>
      </c>
      <c r="J61" s="145">
        <f>Summary!I58</f>
        <v>0</v>
      </c>
      <c r="K61" s="146">
        <f t="shared" si="2"/>
        <v>0</v>
      </c>
      <c r="M61" s="13"/>
      <c r="N61" s="147"/>
    </row>
    <row r="62" spans="2:14" ht="18" customHeight="1" x14ac:dyDescent="0.8">
      <c r="B62" s="206" t="str">
        <f>Summary!B59</f>
        <v>نیم تنه دامن گره ای</v>
      </c>
      <c r="C62" s="144"/>
      <c r="D62" s="145">
        <f>Summary!C59</f>
        <v>4</v>
      </c>
      <c r="E62" s="145">
        <f>Summary!E59</f>
        <v>1340000</v>
      </c>
      <c r="F62" s="145">
        <f t="shared" si="0"/>
        <v>335000</v>
      </c>
      <c r="G62" s="145">
        <f>Summary!F59</f>
        <v>3</v>
      </c>
      <c r="H62" s="145">
        <f>Summary!G59</f>
        <v>2350000</v>
      </c>
      <c r="I62" s="145">
        <f t="shared" si="1"/>
        <v>783333.33333333337</v>
      </c>
      <c r="J62" s="145">
        <f>Summary!I59</f>
        <v>1</v>
      </c>
      <c r="K62" s="146">
        <f t="shared" si="2"/>
        <v>335000</v>
      </c>
      <c r="M62" s="13"/>
      <c r="N62" s="147"/>
    </row>
    <row r="63" spans="2:14" ht="18" customHeight="1" x14ac:dyDescent="0.8">
      <c r="B63" s="206" t="str">
        <f>Summary!B60</f>
        <v>ست خانگی Sperso</v>
      </c>
      <c r="C63" s="144"/>
      <c r="D63" s="145">
        <f>Summary!C60</f>
        <v>1</v>
      </c>
      <c r="E63" s="145">
        <f>Summary!E60</f>
        <v>150000</v>
      </c>
      <c r="F63" s="145">
        <f t="shared" si="0"/>
        <v>150000</v>
      </c>
      <c r="G63" s="145">
        <f>Summary!F60</f>
        <v>1</v>
      </c>
      <c r="H63" s="145">
        <f>Summary!G60</f>
        <v>450000</v>
      </c>
      <c r="I63" s="145">
        <f t="shared" si="1"/>
        <v>450000</v>
      </c>
      <c r="J63" s="145">
        <f>Summary!I60</f>
        <v>0</v>
      </c>
      <c r="K63" s="146">
        <f t="shared" si="2"/>
        <v>0</v>
      </c>
      <c r="M63" s="13"/>
      <c r="N63" s="147"/>
    </row>
    <row r="64" spans="2:14" ht="18" customHeight="1" x14ac:dyDescent="0.8">
      <c r="B64" s="206" t="str">
        <f>Summary!B61</f>
        <v>بافت شنل قهوه ای</v>
      </c>
      <c r="C64" s="144"/>
      <c r="D64" s="145">
        <f>Summary!C61</f>
        <v>1</v>
      </c>
      <c r="E64" s="145">
        <f>Summary!E61</f>
        <v>150000</v>
      </c>
      <c r="F64" s="145">
        <f t="shared" si="0"/>
        <v>150000</v>
      </c>
      <c r="G64" s="145">
        <f>Summary!F61</f>
        <v>1</v>
      </c>
      <c r="H64" s="145">
        <f>Summary!G61</f>
        <v>450000</v>
      </c>
      <c r="I64" s="145">
        <f t="shared" si="1"/>
        <v>450000</v>
      </c>
      <c r="J64" s="145">
        <f>Summary!I61</f>
        <v>0</v>
      </c>
      <c r="K64" s="146">
        <f t="shared" si="2"/>
        <v>0</v>
      </c>
      <c r="M64" s="13"/>
      <c r="N64" s="147"/>
    </row>
    <row r="65" spans="2:14" ht="18" customHeight="1" x14ac:dyDescent="0.8">
      <c r="B65" s="206" t="str">
        <f>Summary!B62</f>
        <v>شلوار دم پا کج راه مشکی</v>
      </c>
      <c r="C65" s="144"/>
      <c r="D65" s="145">
        <f>Summary!C62</f>
        <v>7</v>
      </c>
      <c r="E65" s="145">
        <f>Summary!E62</f>
        <v>3640000</v>
      </c>
      <c r="F65" s="145">
        <f t="shared" si="0"/>
        <v>520000</v>
      </c>
      <c r="G65" s="145">
        <f>Summary!F62</f>
        <v>2</v>
      </c>
      <c r="H65" s="145">
        <f>Summary!G62</f>
        <v>1850000</v>
      </c>
      <c r="I65" s="145">
        <f t="shared" si="1"/>
        <v>925000</v>
      </c>
      <c r="J65" s="145">
        <f>Summary!I62</f>
        <v>5</v>
      </c>
      <c r="K65" s="146">
        <f t="shared" si="2"/>
        <v>2600000</v>
      </c>
      <c r="M65" s="13"/>
      <c r="N65" s="147"/>
    </row>
    <row r="66" spans="2:14" ht="18" customHeight="1" x14ac:dyDescent="0.8">
      <c r="B66" s="206" t="str">
        <f>Summary!B63</f>
        <v>بلوز New York</v>
      </c>
      <c r="C66" s="144"/>
      <c r="D66" s="145">
        <f>Summary!C63</f>
        <v>3</v>
      </c>
      <c r="E66" s="145">
        <f>Summary!E63</f>
        <v>450000</v>
      </c>
      <c r="F66" s="145">
        <f t="shared" si="0"/>
        <v>150000</v>
      </c>
      <c r="G66" s="145">
        <f>Summary!F63</f>
        <v>2</v>
      </c>
      <c r="H66" s="145">
        <f>Summary!G63</f>
        <v>1150000</v>
      </c>
      <c r="I66" s="145">
        <f t="shared" si="1"/>
        <v>575000</v>
      </c>
      <c r="J66" s="145">
        <f>Summary!I63</f>
        <v>1</v>
      </c>
      <c r="K66" s="146">
        <f t="shared" si="2"/>
        <v>150000</v>
      </c>
      <c r="M66" s="13"/>
      <c r="N66" s="147"/>
    </row>
    <row r="67" spans="2:14" ht="18" customHeight="1" x14ac:dyDescent="0.8">
      <c r="B67" s="206" t="str">
        <f>Summary!B64</f>
        <v>شلوار کرم گرمکن</v>
      </c>
      <c r="C67" s="144"/>
      <c r="D67" s="145">
        <f>Summary!C64</f>
        <v>1</v>
      </c>
      <c r="E67" s="145">
        <f>Summary!E64</f>
        <v>200000</v>
      </c>
      <c r="F67" s="145">
        <f t="shared" si="0"/>
        <v>200000</v>
      </c>
      <c r="G67" s="145">
        <f>Summary!F64</f>
        <v>1</v>
      </c>
      <c r="H67" s="145">
        <f>Summary!G64</f>
        <v>500000</v>
      </c>
      <c r="I67" s="145">
        <f t="shared" si="1"/>
        <v>500000</v>
      </c>
      <c r="J67" s="145">
        <f>Summary!I64</f>
        <v>0</v>
      </c>
      <c r="K67" s="146">
        <f t="shared" si="2"/>
        <v>0</v>
      </c>
      <c r="M67" s="13"/>
      <c r="N67" s="147"/>
    </row>
    <row r="68" spans="2:14" ht="18" customHeight="1" x14ac:dyDescent="0.8">
      <c r="B68" s="206" t="str">
        <f>Summary!B65</f>
        <v>شلوار جین بگ</v>
      </c>
      <c r="C68" s="144"/>
      <c r="D68" s="145">
        <f>Summary!C65</f>
        <v>1</v>
      </c>
      <c r="E68" s="145">
        <f>Summary!E65</f>
        <v>675000</v>
      </c>
      <c r="F68" s="145">
        <f t="shared" si="0"/>
        <v>675000</v>
      </c>
      <c r="G68" s="145">
        <f>Summary!F65</f>
        <v>1</v>
      </c>
      <c r="H68" s="145">
        <f>Summary!G65</f>
        <v>1150000</v>
      </c>
      <c r="I68" s="145">
        <f t="shared" si="1"/>
        <v>1150000</v>
      </c>
      <c r="J68" s="145">
        <f>Summary!I65</f>
        <v>0</v>
      </c>
      <c r="K68" s="146">
        <f t="shared" si="2"/>
        <v>0</v>
      </c>
      <c r="M68" s="13"/>
      <c r="N68" s="147"/>
    </row>
    <row r="69" spans="2:14" ht="18" customHeight="1" x14ac:dyDescent="0.8">
      <c r="B69" s="206" t="str">
        <f>Summary!B66</f>
        <v>کمربند دامن</v>
      </c>
      <c r="C69" s="144"/>
      <c r="D69" s="145">
        <f>Summary!C66</f>
        <v>1</v>
      </c>
      <c r="E69" s="145">
        <f>Summary!E66</f>
        <v>0</v>
      </c>
      <c r="F69" s="145">
        <f t="shared" si="0"/>
        <v>0</v>
      </c>
      <c r="G69" s="145">
        <f>Summary!F66</f>
        <v>1</v>
      </c>
      <c r="H69" s="145">
        <f>Summary!G66</f>
        <v>100000</v>
      </c>
      <c r="I69" s="145">
        <f t="shared" si="1"/>
        <v>100000</v>
      </c>
      <c r="J69" s="145">
        <f>Summary!I66</f>
        <v>0</v>
      </c>
      <c r="K69" s="146">
        <f t="shared" si="2"/>
        <v>0</v>
      </c>
      <c r="M69" s="13"/>
      <c r="N69" s="147"/>
    </row>
    <row r="70" spans="2:14" ht="18" customHeight="1" x14ac:dyDescent="0.8">
      <c r="B70" s="206" t="str">
        <f>Summary!B67</f>
        <v>بلوز سفید و مشکی آزاد</v>
      </c>
      <c r="C70" s="144"/>
      <c r="D70" s="145">
        <f>Summary!C67</f>
        <v>3</v>
      </c>
      <c r="E70" s="145">
        <f>Summary!E67</f>
        <v>570000</v>
      </c>
      <c r="F70" s="145">
        <f t="shared" si="0"/>
        <v>190000</v>
      </c>
      <c r="G70" s="145">
        <f>Summary!F67</f>
        <v>1</v>
      </c>
      <c r="H70" s="145">
        <f>Summary!G67</f>
        <v>450000</v>
      </c>
      <c r="I70" s="145">
        <f t="shared" si="1"/>
        <v>450000</v>
      </c>
      <c r="J70" s="145">
        <f>Summary!I67</f>
        <v>2</v>
      </c>
      <c r="K70" s="146">
        <f t="shared" si="2"/>
        <v>380000</v>
      </c>
      <c r="M70" s="13"/>
      <c r="N70" s="147"/>
    </row>
    <row r="71" spans="2:14" ht="18" customHeight="1" x14ac:dyDescent="0.8">
      <c r="B71" s="206" t="str">
        <f>Summary!B68</f>
        <v>مانتو دیپلمات بلند</v>
      </c>
      <c r="C71" s="144"/>
      <c r="D71" s="145">
        <f>Summary!C68</f>
        <v>3</v>
      </c>
      <c r="E71" s="145">
        <f>Summary!E68</f>
        <v>3900000</v>
      </c>
      <c r="F71" s="145">
        <f t="shared" ref="F71:F134" si="3">IFERROR(E71/D71, 0)</f>
        <v>1300000</v>
      </c>
      <c r="G71" s="145">
        <f>Summary!F68</f>
        <v>2</v>
      </c>
      <c r="H71" s="145">
        <f>Summary!G68</f>
        <v>4000000</v>
      </c>
      <c r="I71" s="145">
        <f t="shared" ref="I71:I134" si="4">IFERROR(H71/G71, 0)</f>
        <v>2000000</v>
      </c>
      <c r="J71" s="145">
        <f>Summary!I68</f>
        <v>1</v>
      </c>
      <c r="K71" s="146">
        <f t="shared" ref="K71:K134" si="5">J71*F71</f>
        <v>1300000</v>
      </c>
      <c r="M71" s="13"/>
      <c r="N71" s="147"/>
    </row>
    <row r="72" spans="2:14" ht="18" customHeight="1" x14ac:dyDescent="0.8">
      <c r="B72" s="206" t="str">
        <f>Summary!B69</f>
        <v>تیشرت زنجیردار</v>
      </c>
      <c r="C72" s="144"/>
      <c r="D72" s="145">
        <f>Summary!C69</f>
        <v>1</v>
      </c>
      <c r="E72" s="145">
        <f>Summary!E69</f>
        <v>98000</v>
      </c>
      <c r="F72" s="145">
        <f t="shared" si="3"/>
        <v>98000</v>
      </c>
      <c r="G72" s="145">
        <f>Summary!F69</f>
        <v>1</v>
      </c>
      <c r="H72" s="145">
        <f>Summary!G69</f>
        <v>250000</v>
      </c>
      <c r="I72" s="145">
        <f t="shared" si="4"/>
        <v>250000</v>
      </c>
      <c r="J72" s="145">
        <f>Summary!I69</f>
        <v>0</v>
      </c>
      <c r="K72" s="146">
        <f t="shared" si="5"/>
        <v>0</v>
      </c>
      <c r="M72" s="13"/>
      <c r="N72" s="147"/>
    </row>
    <row r="73" spans="2:14" ht="18" customHeight="1" x14ac:dyDescent="0.8">
      <c r="B73" s="206" t="str">
        <f>Summary!B70</f>
        <v>تاپ مشکی</v>
      </c>
      <c r="C73" s="144"/>
      <c r="D73" s="145">
        <f>Summary!C70</f>
        <v>1</v>
      </c>
      <c r="E73" s="145">
        <f>Summary!E70</f>
        <v>190000</v>
      </c>
      <c r="F73" s="145">
        <f t="shared" si="3"/>
        <v>190000</v>
      </c>
      <c r="G73" s="145">
        <f>Summary!F70</f>
        <v>1</v>
      </c>
      <c r="H73" s="145">
        <f>Summary!G70</f>
        <v>350000</v>
      </c>
      <c r="I73" s="145">
        <f t="shared" si="4"/>
        <v>350000</v>
      </c>
      <c r="J73" s="145">
        <f>Summary!I70</f>
        <v>0</v>
      </c>
      <c r="K73" s="146">
        <f t="shared" si="5"/>
        <v>0</v>
      </c>
      <c r="M73" s="13"/>
      <c r="N73" s="147"/>
    </row>
    <row r="74" spans="2:14" ht="18" customHeight="1" x14ac:dyDescent="0.8">
      <c r="B74" s="206" t="str">
        <f>Summary!B71</f>
        <v>تاپ مروارید</v>
      </c>
      <c r="C74" s="144"/>
      <c r="D74" s="145">
        <f>Summary!C71</f>
        <v>1</v>
      </c>
      <c r="E74" s="145">
        <f>Summary!E71</f>
        <v>190000</v>
      </c>
      <c r="F74" s="145">
        <f t="shared" si="3"/>
        <v>190000</v>
      </c>
      <c r="G74" s="145">
        <f>Summary!F71</f>
        <v>1</v>
      </c>
      <c r="H74" s="145">
        <f>Summary!G71</f>
        <v>350000</v>
      </c>
      <c r="I74" s="145">
        <f t="shared" si="4"/>
        <v>350000</v>
      </c>
      <c r="J74" s="145">
        <f>Summary!I71</f>
        <v>0</v>
      </c>
      <c r="K74" s="146">
        <f t="shared" si="5"/>
        <v>0</v>
      </c>
      <c r="M74" s="13"/>
      <c r="N74" s="147"/>
    </row>
    <row r="75" spans="2:14" ht="18" customHeight="1" x14ac:dyDescent="0.8">
      <c r="B75" s="206" t="str">
        <f>Summary!B72</f>
        <v>تاپ مشکی گشاد</v>
      </c>
      <c r="C75" s="144"/>
      <c r="D75" s="145">
        <f>Summary!C72</f>
        <v>1</v>
      </c>
      <c r="E75" s="145">
        <f>Summary!E72</f>
        <v>300000</v>
      </c>
      <c r="F75" s="145">
        <f t="shared" si="3"/>
        <v>300000</v>
      </c>
      <c r="G75" s="145">
        <f>Summary!F72</f>
        <v>1</v>
      </c>
      <c r="H75" s="145">
        <f>Summary!G72</f>
        <v>800000</v>
      </c>
      <c r="I75" s="145">
        <f t="shared" si="4"/>
        <v>800000</v>
      </c>
      <c r="J75" s="145">
        <f>Summary!I72</f>
        <v>0</v>
      </c>
      <c r="K75" s="146">
        <f t="shared" si="5"/>
        <v>0</v>
      </c>
      <c r="M75" s="13"/>
      <c r="N75" s="147"/>
    </row>
    <row r="76" spans="2:14" ht="18" customHeight="1" x14ac:dyDescent="0.8">
      <c r="B76" s="206" t="str">
        <f>Summary!B73</f>
        <v>دامن دیپلمات</v>
      </c>
      <c r="C76" s="144"/>
      <c r="D76" s="145">
        <f>Summary!C73</f>
        <v>1</v>
      </c>
      <c r="E76" s="145">
        <f>Summary!E73</f>
        <v>0</v>
      </c>
      <c r="F76" s="145">
        <f t="shared" si="3"/>
        <v>0</v>
      </c>
      <c r="G76" s="145">
        <f>Summary!F73</f>
        <v>1</v>
      </c>
      <c r="H76" s="145">
        <f>Summary!G73</f>
        <v>700000</v>
      </c>
      <c r="I76" s="145">
        <f t="shared" si="4"/>
        <v>700000</v>
      </c>
      <c r="J76" s="145">
        <f>Summary!I73</f>
        <v>0</v>
      </c>
      <c r="K76" s="146">
        <f t="shared" si="5"/>
        <v>0</v>
      </c>
      <c r="M76" s="13"/>
      <c r="N76" s="147"/>
    </row>
    <row r="77" spans="2:14" ht="18" customHeight="1" x14ac:dyDescent="0.8">
      <c r="B77" s="206" t="str">
        <f>Summary!B74</f>
        <v>گرمکن زارا</v>
      </c>
      <c r="C77" s="144"/>
      <c r="D77" s="145">
        <f>Summary!C74</f>
        <v>1</v>
      </c>
      <c r="E77" s="145">
        <f>Summary!E74</f>
        <v>0</v>
      </c>
      <c r="F77" s="145">
        <f t="shared" si="3"/>
        <v>0</v>
      </c>
      <c r="G77" s="145">
        <f>Summary!F74</f>
        <v>1</v>
      </c>
      <c r="H77" s="145">
        <f>Summary!G74</f>
        <v>750000</v>
      </c>
      <c r="I77" s="145">
        <f t="shared" si="4"/>
        <v>750000</v>
      </c>
      <c r="J77" s="145">
        <f>Summary!I74</f>
        <v>0</v>
      </c>
      <c r="K77" s="146">
        <f t="shared" si="5"/>
        <v>0</v>
      </c>
      <c r="M77" s="13"/>
      <c r="N77" s="147"/>
    </row>
    <row r="78" spans="2:14" ht="18" customHeight="1" x14ac:dyDescent="0.8">
      <c r="B78" s="206" t="str">
        <f>Summary!B75</f>
        <v>شلوار تور جدید</v>
      </c>
      <c r="C78" s="144"/>
      <c r="D78" s="145">
        <f>Summary!C75</f>
        <v>4</v>
      </c>
      <c r="E78" s="145">
        <f>Summary!E75</f>
        <v>2960000</v>
      </c>
      <c r="F78" s="145">
        <f t="shared" si="3"/>
        <v>740000</v>
      </c>
      <c r="G78" s="145">
        <f>Summary!F75</f>
        <v>4</v>
      </c>
      <c r="H78" s="145">
        <f>Summary!G75</f>
        <v>5200000</v>
      </c>
      <c r="I78" s="145">
        <f t="shared" si="4"/>
        <v>1300000</v>
      </c>
      <c r="J78" s="145">
        <f>Summary!I75</f>
        <v>0</v>
      </c>
      <c r="K78" s="146">
        <f t="shared" si="5"/>
        <v>0</v>
      </c>
      <c r="M78" s="13"/>
      <c r="N78" s="147"/>
    </row>
    <row r="79" spans="2:14" ht="18" customHeight="1" x14ac:dyDescent="0.8">
      <c r="B79" s="206" t="str">
        <f>Summary!B76</f>
        <v>ست خانگی StarBox</v>
      </c>
      <c r="C79" s="144"/>
      <c r="D79" s="145">
        <f>Summary!C76</f>
        <v>1</v>
      </c>
      <c r="E79" s="145">
        <f>Summary!E76</f>
        <v>200000</v>
      </c>
      <c r="F79" s="145">
        <f t="shared" si="3"/>
        <v>200000</v>
      </c>
      <c r="G79" s="145">
        <f>Summary!F76</f>
        <v>1</v>
      </c>
      <c r="H79" s="145">
        <f>Summary!G76</f>
        <v>700000</v>
      </c>
      <c r="I79" s="145">
        <f t="shared" si="4"/>
        <v>700000</v>
      </c>
      <c r="J79" s="145">
        <f>Summary!I76</f>
        <v>0</v>
      </c>
      <c r="K79" s="146">
        <f t="shared" si="5"/>
        <v>0</v>
      </c>
      <c r="M79" s="13"/>
      <c r="N79" s="147"/>
    </row>
    <row r="80" spans="2:14" ht="18" customHeight="1" x14ac:dyDescent="0.8">
      <c r="B80" s="206" t="str">
        <f>Summary!B77</f>
        <v>کت کراپ</v>
      </c>
      <c r="C80" s="144"/>
      <c r="D80" s="145">
        <f>Summary!C77</f>
        <v>1</v>
      </c>
      <c r="E80" s="145">
        <f>Summary!E77</f>
        <v>0</v>
      </c>
      <c r="F80" s="145">
        <f t="shared" si="3"/>
        <v>0</v>
      </c>
      <c r="G80" s="145">
        <f>Summary!F77</f>
        <v>1</v>
      </c>
      <c r="H80" s="145">
        <f>Summary!G77</f>
        <v>800000</v>
      </c>
      <c r="I80" s="145">
        <f t="shared" si="4"/>
        <v>800000</v>
      </c>
      <c r="J80" s="145">
        <f>Summary!I77</f>
        <v>0</v>
      </c>
      <c r="K80" s="146">
        <f t="shared" si="5"/>
        <v>0</v>
      </c>
      <c r="M80" s="13"/>
      <c r="N80" s="147"/>
    </row>
    <row r="81" spans="2:14" ht="18" customHeight="1" x14ac:dyDescent="0.8">
      <c r="B81" s="206" t="str">
        <f>Summary!B78</f>
        <v>بادی سفید خودم</v>
      </c>
      <c r="C81" s="144"/>
      <c r="D81" s="145">
        <f>Summary!C78</f>
        <v>1</v>
      </c>
      <c r="E81" s="145">
        <f>Summary!E78</f>
        <v>0</v>
      </c>
      <c r="F81" s="145">
        <f t="shared" si="3"/>
        <v>0</v>
      </c>
      <c r="G81" s="145">
        <f>Summary!F78</f>
        <v>1</v>
      </c>
      <c r="H81" s="145">
        <f>Summary!G78</f>
        <v>300000</v>
      </c>
      <c r="I81" s="145">
        <f t="shared" si="4"/>
        <v>300000</v>
      </c>
      <c r="J81" s="145">
        <f>Summary!I78</f>
        <v>0</v>
      </c>
      <c r="K81" s="146">
        <f t="shared" si="5"/>
        <v>0</v>
      </c>
      <c r="M81" s="13"/>
      <c r="N81" s="147"/>
    </row>
    <row r="82" spans="2:14" ht="18" customHeight="1" x14ac:dyDescent="0.8">
      <c r="B82" s="206" t="str">
        <f>Summary!B79</f>
        <v>راه راه سفید مشکی خودم</v>
      </c>
      <c r="C82" s="144"/>
      <c r="D82" s="145">
        <f>Summary!C79</f>
        <v>2</v>
      </c>
      <c r="E82" s="145">
        <f>Summary!E79</f>
        <v>0</v>
      </c>
      <c r="F82" s="145">
        <f t="shared" si="3"/>
        <v>0</v>
      </c>
      <c r="G82" s="145">
        <f>Summary!F79</f>
        <v>2</v>
      </c>
      <c r="H82" s="145">
        <f>Summary!G79</f>
        <v>900000</v>
      </c>
      <c r="I82" s="145">
        <f t="shared" si="4"/>
        <v>450000</v>
      </c>
      <c r="J82" s="145">
        <f>Summary!I79</f>
        <v>0</v>
      </c>
      <c r="K82" s="146">
        <f t="shared" si="5"/>
        <v>0</v>
      </c>
      <c r="M82" s="13"/>
      <c r="N82" s="147"/>
    </row>
    <row r="83" spans="2:14" ht="18" customHeight="1" x14ac:dyDescent="0.8">
      <c r="B83" s="206" t="str">
        <f>Summary!B80</f>
        <v>پیراهن ساحلی طوسی</v>
      </c>
      <c r="C83" s="144"/>
      <c r="D83" s="145">
        <f>Summary!C80</f>
        <v>1</v>
      </c>
      <c r="E83" s="145">
        <f>Summary!E80</f>
        <v>0</v>
      </c>
      <c r="F83" s="145">
        <f t="shared" si="3"/>
        <v>0</v>
      </c>
      <c r="G83" s="145">
        <f>Summary!F80</f>
        <v>1</v>
      </c>
      <c r="H83" s="145">
        <f>Summary!G80</f>
        <v>500000</v>
      </c>
      <c r="I83" s="145">
        <f t="shared" si="4"/>
        <v>500000</v>
      </c>
      <c r="J83" s="145">
        <f>Summary!I80</f>
        <v>0</v>
      </c>
      <c r="K83" s="146">
        <f t="shared" si="5"/>
        <v>0</v>
      </c>
      <c r="M83" s="13"/>
      <c r="N83" s="147"/>
    </row>
    <row r="84" spans="2:14" ht="18" customHeight="1" x14ac:dyDescent="0.8">
      <c r="B84" s="206" t="str">
        <f>Summary!B81</f>
        <v>شلوار بوتکات خودم</v>
      </c>
      <c r="C84" s="144"/>
      <c r="D84" s="145">
        <f>Summary!C81</f>
        <v>1</v>
      </c>
      <c r="E84" s="145">
        <f>Summary!E81</f>
        <v>0</v>
      </c>
      <c r="F84" s="145">
        <f t="shared" si="3"/>
        <v>0</v>
      </c>
      <c r="G84" s="145">
        <f>Summary!F81</f>
        <v>1</v>
      </c>
      <c r="H84" s="145">
        <f>Summary!G81</f>
        <v>900000</v>
      </c>
      <c r="I84" s="145">
        <f t="shared" si="4"/>
        <v>900000</v>
      </c>
      <c r="J84" s="145">
        <f>Summary!I81</f>
        <v>0</v>
      </c>
      <c r="K84" s="146">
        <f t="shared" si="5"/>
        <v>0</v>
      </c>
      <c r="M84" s="13"/>
      <c r="N84" s="147"/>
    </row>
    <row r="85" spans="2:14" ht="18" customHeight="1" x14ac:dyDescent="0.8">
      <c r="B85" s="206" t="str">
        <f>Summary!B82</f>
        <v>شلوار جین تک</v>
      </c>
      <c r="C85" s="144"/>
      <c r="D85" s="145">
        <f>Summary!C82</f>
        <v>2</v>
      </c>
      <c r="E85" s="145">
        <f>Summary!E82</f>
        <v>0</v>
      </c>
      <c r="F85" s="145">
        <f t="shared" si="3"/>
        <v>0</v>
      </c>
      <c r="G85" s="145">
        <f>Summary!F82</f>
        <v>2</v>
      </c>
      <c r="H85" s="145">
        <f>Summary!G82</f>
        <v>2200000</v>
      </c>
      <c r="I85" s="145">
        <f t="shared" si="4"/>
        <v>1100000</v>
      </c>
      <c r="J85" s="145">
        <f>Summary!I82</f>
        <v>0</v>
      </c>
      <c r="K85" s="146">
        <f t="shared" si="5"/>
        <v>0</v>
      </c>
      <c r="M85" s="13"/>
      <c r="N85" s="147"/>
    </row>
    <row r="86" spans="2:14" ht="18" customHeight="1" x14ac:dyDescent="0.8">
      <c r="B86" s="206" t="str">
        <f>Summary!B83</f>
        <v>شومیز خودم</v>
      </c>
      <c r="C86" s="144"/>
      <c r="D86" s="145">
        <f>Summary!C83</f>
        <v>1</v>
      </c>
      <c r="E86" s="145">
        <f>Summary!E83</f>
        <v>0</v>
      </c>
      <c r="F86" s="145">
        <f t="shared" si="3"/>
        <v>0</v>
      </c>
      <c r="G86" s="145">
        <f>Summary!F83</f>
        <v>1</v>
      </c>
      <c r="H86" s="145">
        <f>Summary!G83</f>
        <v>400000</v>
      </c>
      <c r="I86" s="145">
        <f t="shared" si="4"/>
        <v>400000</v>
      </c>
      <c r="J86" s="145">
        <f>Summary!I83</f>
        <v>0</v>
      </c>
      <c r="K86" s="146">
        <f t="shared" si="5"/>
        <v>0</v>
      </c>
      <c r="M86" s="13"/>
      <c r="N86" s="147"/>
    </row>
    <row r="87" spans="2:14" ht="18" customHeight="1" x14ac:dyDescent="0.8">
      <c r="B87" s="206" t="str">
        <f>Summary!B84</f>
        <v>پیراهن نقره ای خودم</v>
      </c>
      <c r="C87" s="144"/>
      <c r="D87" s="145">
        <f>Summary!C84</f>
        <v>1</v>
      </c>
      <c r="E87" s="145">
        <f>Summary!E84</f>
        <v>0</v>
      </c>
      <c r="F87" s="145">
        <f t="shared" si="3"/>
        <v>0</v>
      </c>
      <c r="G87" s="145">
        <f>Summary!F84</f>
        <v>1</v>
      </c>
      <c r="H87" s="145">
        <f>Summary!G84</f>
        <v>1200000</v>
      </c>
      <c r="I87" s="145">
        <f t="shared" si="4"/>
        <v>1200000</v>
      </c>
      <c r="J87" s="145">
        <f>Summary!I84</f>
        <v>0</v>
      </c>
      <c r="K87" s="146">
        <f t="shared" si="5"/>
        <v>0</v>
      </c>
      <c r="M87" s="13"/>
      <c r="N87" s="147"/>
    </row>
    <row r="88" spans="2:14" ht="18" customHeight="1" x14ac:dyDescent="0.8">
      <c r="B88" s="206" t="str">
        <f>Summary!B85</f>
        <v>بلوز تک آستین گیپور</v>
      </c>
      <c r="C88" s="144"/>
      <c r="D88" s="145">
        <f>Summary!C85</f>
        <v>4</v>
      </c>
      <c r="E88" s="145">
        <f>Summary!E85</f>
        <v>800000</v>
      </c>
      <c r="F88" s="145">
        <f t="shared" si="3"/>
        <v>200000</v>
      </c>
      <c r="G88" s="145">
        <f>Summary!F85</f>
        <v>3</v>
      </c>
      <c r="H88" s="145">
        <f>Summary!G85</f>
        <v>1250000</v>
      </c>
      <c r="I88" s="145">
        <f t="shared" si="4"/>
        <v>416666.66666666669</v>
      </c>
      <c r="J88" s="145">
        <f>Summary!I85</f>
        <v>1</v>
      </c>
      <c r="K88" s="146">
        <f t="shared" si="5"/>
        <v>200000</v>
      </c>
      <c r="M88" s="13"/>
      <c r="N88" s="147"/>
    </row>
    <row r="89" spans="2:14" ht="18" customHeight="1" x14ac:dyDescent="0.8">
      <c r="B89" s="206" t="str">
        <f>Summary!B86</f>
        <v>کت پارچه شنل</v>
      </c>
      <c r="C89" s="144"/>
      <c r="D89" s="145">
        <f>Summary!C86</f>
        <v>3</v>
      </c>
      <c r="E89" s="145">
        <f>Summary!E86</f>
        <v>840000</v>
      </c>
      <c r="F89" s="145">
        <f t="shared" si="3"/>
        <v>280000</v>
      </c>
      <c r="G89" s="145">
        <f>Summary!F86</f>
        <v>1</v>
      </c>
      <c r="H89" s="145">
        <f>Summary!G86</f>
        <v>450000</v>
      </c>
      <c r="I89" s="145">
        <f t="shared" si="4"/>
        <v>450000</v>
      </c>
      <c r="J89" s="145">
        <f>Summary!I86</f>
        <v>2</v>
      </c>
      <c r="K89" s="146">
        <f t="shared" si="5"/>
        <v>560000</v>
      </c>
      <c r="M89" s="13"/>
      <c r="N89" s="147"/>
    </row>
    <row r="90" spans="2:14" ht="18" customHeight="1" x14ac:dyDescent="0.8">
      <c r="B90" s="206" t="str">
        <f>Summary!B87</f>
        <v>شلوار گرمکن</v>
      </c>
      <c r="C90" s="144"/>
      <c r="D90" s="145">
        <f>Summary!C87</f>
        <v>2</v>
      </c>
      <c r="E90" s="145">
        <f>Summary!E87</f>
        <v>500000</v>
      </c>
      <c r="F90" s="145">
        <f t="shared" si="3"/>
        <v>250000</v>
      </c>
      <c r="G90" s="145">
        <f>Summary!F87</f>
        <v>2</v>
      </c>
      <c r="H90" s="145">
        <f>Summary!G87</f>
        <v>950000</v>
      </c>
      <c r="I90" s="145">
        <f t="shared" si="4"/>
        <v>475000</v>
      </c>
      <c r="J90" s="145">
        <f>Summary!I87</f>
        <v>0</v>
      </c>
      <c r="K90" s="146">
        <f t="shared" si="5"/>
        <v>0</v>
      </c>
      <c r="M90" s="13"/>
      <c r="N90" s="147"/>
    </row>
    <row r="91" spans="2:14" ht="18" customHeight="1" x14ac:dyDescent="0.8">
      <c r="B91" s="206" t="str">
        <f>Summary!B88</f>
        <v>دامن سفید ریش ریش</v>
      </c>
      <c r="C91" s="144"/>
      <c r="D91" s="145">
        <f>Summary!C88</f>
        <v>1</v>
      </c>
      <c r="E91" s="145">
        <f>Summary!E88</f>
        <v>500000</v>
      </c>
      <c r="F91" s="145">
        <f t="shared" si="3"/>
        <v>500000</v>
      </c>
      <c r="G91" s="145">
        <f>Summary!F88</f>
        <v>1</v>
      </c>
      <c r="H91" s="145">
        <f>Summary!G88</f>
        <v>850000</v>
      </c>
      <c r="I91" s="145">
        <f t="shared" si="4"/>
        <v>850000</v>
      </c>
      <c r="J91" s="145">
        <f>Summary!I88</f>
        <v>0</v>
      </c>
      <c r="K91" s="146">
        <f t="shared" si="5"/>
        <v>0</v>
      </c>
      <c r="M91" s="13"/>
      <c r="N91" s="147"/>
    </row>
    <row r="92" spans="2:14" ht="18" customHeight="1" x14ac:dyDescent="0.8">
      <c r="B92" s="206" t="str">
        <f>Summary!B89</f>
        <v>دامن بلند تور مشکی</v>
      </c>
      <c r="C92" s="144"/>
      <c r="D92" s="145">
        <f>Summary!C89</f>
        <v>1</v>
      </c>
      <c r="E92" s="145">
        <f>Summary!E89</f>
        <v>570000</v>
      </c>
      <c r="F92" s="145">
        <f t="shared" si="3"/>
        <v>570000</v>
      </c>
      <c r="G92" s="145">
        <f>Summary!F89</f>
        <v>1</v>
      </c>
      <c r="H92" s="145">
        <f>Summary!G89</f>
        <v>1000000</v>
      </c>
      <c r="I92" s="145">
        <f t="shared" si="4"/>
        <v>1000000</v>
      </c>
      <c r="J92" s="145">
        <f>Summary!I89</f>
        <v>0</v>
      </c>
      <c r="K92" s="146">
        <f t="shared" si="5"/>
        <v>0</v>
      </c>
      <c r="M92" s="13"/>
      <c r="N92" s="147"/>
    </row>
    <row r="93" spans="2:14" ht="18" customHeight="1" x14ac:dyDescent="0.8">
      <c r="B93" s="206" t="str">
        <f>Summary!B90</f>
        <v>تاپ و شلوار دیسکو</v>
      </c>
      <c r="C93" s="144"/>
      <c r="D93" s="145">
        <f>Summary!C90</f>
        <v>6</v>
      </c>
      <c r="E93" s="145">
        <f>Summary!E90</f>
        <v>1920000</v>
      </c>
      <c r="F93" s="145">
        <f t="shared" si="3"/>
        <v>320000</v>
      </c>
      <c r="G93" s="145">
        <f>Summary!F90</f>
        <v>1</v>
      </c>
      <c r="H93" s="145">
        <f>Summary!G90</f>
        <v>750000</v>
      </c>
      <c r="I93" s="145">
        <f t="shared" si="4"/>
        <v>750000</v>
      </c>
      <c r="J93" s="145">
        <f>Summary!I90</f>
        <v>5</v>
      </c>
      <c r="K93" s="146">
        <f t="shared" si="5"/>
        <v>1600000</v>
      </c>
      <c r="M93" s="13"/>
      <c r="N93" s="147"/>
    </row>
    <row r="94" spans="2:14" ht="18" customHeight="1" x14ac:dyDescent="0.8">
      <c r="B94" s="206" t="str">
        <f>Summary!B91</f>
        <v>تیشرت alo</v>
      </c>
      <c r="C94" s="144"/>
      <c r="D94" s="145">
        <f>Summary!C91</f>
        <v>6</v>
      </c>
      <c r="E94" s="145">
        <f>Summary!E91</f>
        <v>1188000</v>
      </c>
      <c r="F94" s="145">
        <f t="shared" si="3"/>
        <v>198000</v>
      </c>
      <c r="G94" s="145">
        <f>Summary!F91</f>
        <v>4</v>
      </c>
      <c r="H94" s="145">
        <f>Summary!G91</f>
        <v>1700000</v>
      </c>
      <c r="I94" s="145">
        <f t="shared" si="4"/>
        <v>425000</v>
      </c>
      <c r="J94" s="145">
        <f>Summary!I91</f>
        <v>2</v>
      </c>
      <c r="K94" s="146">
        <f t="shared" si="5"/>
        <v>396000</v>
      </c>
      <c r="M94" s="13"/>
      <c r="N94" s="147"/>
    </row>
    <row r="95" spans="2:14" ht="18" customHeight="1" x14ac:dyDescent="0.8">
      <c r="B95" s="206" t="str">
        <f>Summary!B92</f>
        <v>ست خانگی پشت باز</v>
      </c>
      <c r="C95" s="144"/>
      <c r="D95" s="145">
        <f>Summary!C92</f>
        <v>1</v>
      </c>
      <c r="E95" s="145">
        <f>Summary!E92</f>
        <v>200000</v>
      </c>
      <c r="F95" s="145">
        <f t="shared" si="3"/>
        <v>200000</v>
      </c>
      <c r="G95" s="145">
        <f>Summary!F92</f>
        <v>1</v>
      </c>
      <c r="H95" s="145">
        <f>Summary!G92</f>
        <v>450000</v>
      </c>
      <c r="I95" s="145">
        <f t="shared" si="4"/>
        <v>450000</v>
      </c>
      <c r="J95" s="145">
        <f>Summary!I92</f>
        <v>0</v>
      </c>
      <c r="K95" s="146">
        <f t="shared" si="5"/>
        <v>0</v>
      </c>
      <c r="M95" s="13"/>
      <c r="N95" s="147"/>
    </row>
    <row r="96" spans="2:14" ht="18" customHeight="1" x14ac:dyDescent="0.8">
      <c r="B96" s="206" t="str">
        <f>Summary!B93</f>
        <v>تیشرت تک زنجیر</v>
      </c>
      <c r="C96" s="144"/>
      <c r="D96" s="145">
        <f>Summary!C93</f>
        <v>5</v>
      </c>
      <c r="E96" s="145">
        <f>Summary!E93</f>
        <v>830000</v>
      </c>
      <c r="F96" s="145">
        <f t="shared" si="3"/>
        <v>166000</v>
      </c>
      <c r="G96" s="145">
        <f>Summary!F93</f>
        <v>3</v>
      </c>
      <c r="H96" s="145">
        <f>Summary!G93</f>
        <v>1300000</v>
      </c>
      <c r="I96" s="145">
        <f t="shared" si="4"/>
        <v>433333.33333333331</v>
      </c>
      <c r="J96" s="145">
        <f>Summary!I93</f>
        <v>2</v>
      </c>
      <c r="K96" s="146">
        <f t="shared" si="5"/>
        <v>332000</v>
      </c>
      <c r="M96" s="13"/>
      <c r="N96" s="147"/>
    </row>
    <row r="97" spans="2:14" ht="18" customHeight="1" x14ac:dyDescent="0.8">
      <c r="B97" s="206" t="str">
        <f>Summary!B94</f>
        <v>تاپ پولکی مشکی</v>
      </c>
      <c r="C97" s="144"/>
      <c r="D97" s="145">
        <f>Summary!C94</f>
        <v>1</v>
      </c>
      <c r="E97" s="145">
        <f>Summary!E94</f>
        <v>300000</v>
      </c>
      <c r="F97" s="145">
        <f t="shared" si="3"/>
        <v>300000</v>
      </c>
      <c r="G97" s="145">
        <f>Summary!F94</f>
        <v>0</v>
      </c>
      <c r="H97" s="145">
        <f>Summary!G94</f>
        <v>0</v>
      </c>
      <c r="I97" s="145">
        <f t="shared" si="4"/>
        <v>0</v>
      </c>
      <c r="J97" s="145">
        <f>Summary!I94</f>
        <v>1</v>
      </c>
      <c r="K97" s="146">
        <f t="shared" si="5"/>
        <v>300000</v>
      </c>
      <c r="M97" s="13"/>
      <c r="N97" s="147"/>
    </row>
    <row r="98" spans="2:14" ht="18" customHeight="1" x14ac:dyDescent="0.8">
      <c r="B98" s="206" t="str">
        <f>Summary!B95</f>
        <v>بلوز نخی سنتی بازار</v>
      </c>
      <c r="C98" s="144"/>
      <c r="D98" s="145">
        <f>Summary!C95</f>
        <v>2</v>
      </c>
      <c r="E98" s="145">
        <f>Summary!E95</f>
        <v>398000</v>
      </c>
      <c r="F98" s="145">
        <f t="shared" si="3"/>
        <v>199000</v>
      </c>
      <c r="G98" s="145">
        <f>Summary!F95</f>
        <v>2</v>
      </c>
      <c r="H98" s="145">
        <f>Summary!G95</f>
        <v>400000</v>
      </c>
      <c r="I98" s="145">
        <f t="shared" si="4"/>
        <v>200000</v>
      </c>
      <c r="J98" s="145">
        <f>Summary!I95</f>
        <v>0</v>
      </c>
      <c r="K98" s="146">
        <f t="shared" si="5"/>
        <v>0</v>
      </c>
      <c r="M98" s="13"/>
      <c r="N98" s="147"/>
    </row>
    <row r="99" spans="2:14" ht="18" customHeight="1" x14ac:dyDescent="0.8">
      <c r="B99" s="206" t="str">
        <f>Summary!B96</f>
        <v>دامن کرم کمردار</v>
      </c>
      <c r="C99" s="144"/>
      <c r="D99" s="145">
        <f>Summary!C96</f>
        <v>1</v>
      </c>
      <c r="E99" s="145">
        <f>Summary!E96</f>
        <v>0</v>
      </c>
      <c r="F99" s="145">
        <f t="shared" si="3"/>
        <v>0</v>
      </c>
      <c r="G99" s="145">
        <f>Summary!F96</f>
        <v>0</v>
      </c>
      <c r="H99" s="145">
        <f>Summary!G96</f>
        <v>0</v>
      </c>
      <c r="I99" s="145">
        <f t="shared" si="4"/>
        <v>0</v>
      </c>
      <c r="J99" s="145">
        <f>Summary!I96</f>
        <v>1</v>
      </c>
      <c r="K99" s="146">
        <f t="shared" si="5"/>
        <v>0</v>
      </c>
      <c r="M99" s="13"/>
      <c r="N99" s="147"/>
    </row>
    <row r="100" spans="2:14" ht="18" customHeight="1" x14ac:dyDescent="0.8">
      <c r="B100" s="206" t="str">
        <f>Summary!B97</f>
        <v>کت نقره ای زارا</v>
      </c>
      <c r="C100" s="144"/>
      <c r="D100" s="145">
        <f>Summary!C97</f>
        <v>1</v>
      </c>
      <c r="E100" s="145">
        <f>Summary!E97</f>
        <v>0</v>
      </c>
      <c r="F100" s="145">
        <f t="shared" si="3"/>
        <v>0</v>
      </c>
      <c r="G100" s="145">
        <f>Summary!F97</f>
        <v>0</v>
      </c>
      <c r="H100" s="145">
        <f>Summary!G97</f>
        <v>0</v>
      </c>
      <c r="I100" s="145">
        <f t="shared" si="4"/>
        <v>0</v>
      </c>
      <c r="J100" s="145">
        <f>Summary!I97</f>
        <v>1</v>
      </c>
      <c r="K100" s="146">
        <f t="shared" si="5"/>
        <v>0</v>
      </c>
      <c r="M100" s="13"/>
      <c r="N100" s="147"/>
    </row>
    <row r="101" spans="2:14" ht="18" customHeight="1" x14ac:dyDescent="0.8">
      <c r="B101" s="206" t="str">
        <f>Summary!B98</f>
        <v>رویه مشکی طلائی</v>
      </c>
      <c r="C101" s="144"/>
      <c r="D101" s="145">
        <f>Summary!C98</f>
        <v>1</v>
      </c>
      <c r="E101" s="145">
        <f>Summary!E98</f>
        <v>0</v>
      </c>
      <c r="F101" s="145">
        <f t="shared" si="3"/>
        <v>0</v>
      </c>
      <c r="G101" s="145">
        <f>Summary!F98</f>
        <v>1</v>
      </c>
      <c r="H101" s="145">
        <f>Summary!G98</f>
        <v>500000</v>
      </c>
      <c r="I101" s="145">
        <f t="shared" si="4"/>
        <v>500000</v>
      </c>
      <c r="J101" s="145">
        <f>Summary!I98</f>
        <v>0</v>
      </c>
      <c r="K101" s="146">
        <f t="shared" si="5"/>
        <v>0</v>
      </c>
      <c r="M101" s="13"/>
      <c r="N101" s="147"/>
    </row>
    <row r="102" spans="2:14" ht="18" customHeight="1" x14ac:dyDescent="0.8">
      <c r="B102" s="206" t="str">
        <f>Summary!B99</f>
        <v>دامن پلنگی کوتاه</v>
      </c>
      <c r="C102" s="144"/>
      <c r="D102" s="145">
        <f>Summary!C99</f>
        <v>1</v>
      </c>
      <c r="E102" s="145">
        <f>Summary!E99</f>
        <v>0</v>
      </c>
      <c r="F102" s="145">
        <f t="shared" si="3"/>
        <v>0</v>
      </c>
      <c r="G102" s="145">
        <f>Summary!F99</f>
        <v>1</v>
      </c>
      <c r="H102" s="145">
        <f>Summary!G99</f>
        <v>1300000</v>
      </c>
      <c r="I102" s="145">
        <f t="shared" si="4"/>
        <v>1300000</v>
      </c>
      <c r="J102" s="145">
        <f>Summary!I99</f>
        <v>0</v>
      </c>
      <c r="K102" s="146">
        <f t="shared" si="5"/>
        <v>0</v>
      </c>
      <c r="M102" s="13"/>
      <c r="N102" s="147"/>
    </row>
    <row r="103" spans="2:14" ht="18" customHeight="1" x14ac:dyDescent="0.8">
      <c r="B103" s="206" t="str">
        <f>Summary!B100</f>
        <v>دامن شلوار مشکی کوتاه</v>
      </c>
      <c r="C103" s="144"/>
      <c r="D103" s="145">
        <f>Summary!C100</f>
        <v>1</v>
      </c>
      <c r="E103" s="145">
        <f>Summary!E100</f>
        <v>0</v>
      </c>
      <c r="F103" s="145">
        <f t="shared" si="3"/>
        <v>0</v>
      </c>
      <c r="G103" s="145">
        <f>Summary!F100</f>
        <v>0</v>
      </c>
      <c r="H103" s="145">
        <f>Summary!G100</f>
        <v>0</v>
      </c>
      <c r="I103" s="145">
        <f t="shared" si="4"/>
        <v>0</v>
      </c>
      <c r="J103" s="145">
        <f>Summary!I100</f>
        <v>1</v>
      </c>
      <c r="K103" s="146">
        <f t="shared" si="5"/>
        <v>0</v>
      </c>
      <c r="M103" s="13"/>
      <c r="N103" s="147"/>
    </row>
    <row r="104" spans="2:14" ht="18" customHeight="1" x14ac:dyDescent="0.8">
      <c r="B104" s="206" t="str">
        <f>Summary!B101</f>
        <v>شلوارک ترک پارچه ای</v>
      </c>
      <c r="C104" s="144"/>
      <c r="D104" s="145">
        <f>Summary!C101</f>
        <v>1</v>
      </c>
      <c r="E104" s="145">
        <f>Summary!E101</f>
        <v>0</v>
      </c>
      <c r="F104" s="145">
        <f t="shared" si="3"/>
        <v>0</v>
      </c>
      <c r="G104" s="145">
        <f>Summary!F101</f>
        <v>0</v>
      </c>
      <c r="H104" s="145">
        <f>Summary!G101</f>
        <v>0</v>
      </c>
      <c r="I104" s="145">
        <f t="shared" si="4"/>
        <v>0</v>
      </c>
      <c r="J104" s="145">
        <f>Summary!I101</f>
        <v>1</v>
      </c>
      <c r="K104" s="146">
        <f t="shared" si="5"/>
        <v>0</v>
      </c>
      <c r="M104" s="13"/>
      <c r="N104" s="147"/>
    </row>
    <row r="105" spans="2:14" ht="18" customHeight="1" x14ac:dyDescent="0.8">
      <c r="B105" s="206" t="str">
        <f>Summary!B102</f>
        <v>شلوار جین طوسی زاب دار</v>
      </c>
      <c r="C105" s="144"/>
      <c r="D105" s="145">
        <f>Summary!C102</f>
        <v>1</v>
      </c>
      <c r="E105" s="145">
        <f>Summary!E102</f>
        <v>0</v>
      </c>
      <c r="F105" s="145">
        <f t="shared" si="3"/>
        <v>0</v>
      </c>
      <c r="G105" s="145">
        <f>Summary!F102</f>
        <v>0</v>
      </c>
      <c r="H105" s="145">
        <f>Summary!G102</f>
        <v>0</v>
      </c>
      <c r="I105" s="145">
        <f t="shared" si="4"/>
        <v>0</v>
      </c>
      <c r="J105" s="145">
        <f>Summary!I102</f>
        <v>1</v>
      </c>
      <c r="K105" s="146">
        <f t="shared" si="5"/>
        <v>0</v>
      </c>
      <c r="M105" s="13"/>
      <c r="N105" s="147"/>
    </row>
    <row r="106" spans="2:14" ht="18" customHeight="1" x14ac:dyDescent="0.8">
      <c r="B106" s="206" t="str">
        <f>Summary!B103</f>
        <v>کفش اسپرت مشکی</v>
      </c>
      <c r="C106" s="144"/>
      <c r="D106" s="145">
        <f>Summary!C103</f>
        <v>1</v>
      </c>
      <c r="E106" s="145">
        <f>Summary!E103</f>
        <v>0</v>
      </c>
      <c r="F106" s="145">
        <f t="shared" si="3"/>
        <v>0</v>
      </c>
      <c r="G106" s="145">
        <f>Summary!F103</f>
        <v>0</v>
      </c>
      <c r="H106" s="145">
        <f>Summary!G103</f>
        <v>0</v>
      </c>
      <c r="I106" s="145">
        <f t="shared" si="4"/>
        <v>0</v>
      </c>
      <c r="J106" s="145">
        <f>Summary!I103</f>
        <v>1</v>
      </c>
      <c r="K106" s="146">
        <f t="shared" si="5"/>
        <v>0</v>
      </c>
      <c r="M106" s="13"/>
      <c r="N106" s="147"/>
    </row>
    <row r="107" spans="2:14" ht="18" customHeight="1" x14ac:dyDescent="0.8">
      <c r="B107" s="206" t="str">
        <f>Summary!B104</f>
        <v>بادی آستین کوتاه خط سفید</v>
      </c>
      <c r="C107" s="144"/>
      <c r="D107" s="145">
        <f>Summary!C104</f>
        <v>1</v>
      </c>
      <c r="E107" s="145">
        <f>Summary!E104</f>
        <v>0</v>
      </c>
      <c r="F107" s="145">
        <f t="shared" si="3"/>
        <v>0</v>
      </c>
      <c r="G107" s="145">
        <f>Summary!F104</f>
        <v>1</v>
      </c>
      <c r="H107" s="145">
        <f>Summary!G104</f>
        <v>350000</v>
      </c>
      <c r="I107" s="145">
        <f t="shared" si="4"/>
        <v>350000</v>
      </c>
      <c r="J107" s="145">
        <f>Summary!I104</f>
        <v>0</v>
      </c>
      <c r="K107" s="146">
        <f t="shared" si="5"/>
        <v>0</v>
      </c>
      <c r="M107" s="13"/>
      <c r="N107" s="147"/>
    </row>
    <row r="108" spans="2:14" ht="18" customHeight="1" x14ac:dyDescent="0.8">
      <c r="B108" s="206" t="str">
        <f>Summary!B105</f>
        <v>دامن کوتاه مشکی خودم</v>
      </c>
      <c r="C108" s="144"/>
      <c r="D108" s="145">
        <f>Summary!C105</f>
        <v>1</v>
      </c>
      <c r="E108" s="145">
        <f>Summary!E105</f>
        <v>0</v>
      </c>
      <c r="F108" s="145">
        <f t="shared" si="3"/>
        <v>0</v>
      </c>
      <c r="G108" s="145">
        <f>Summary!F105</f>
        <v>1</v>
      </c>
      <c r="H108" s="145">
        <f>Summary!G105</f>
        <v>1100000</v>
      </c>
      <c r="I108" s="145">
        <f t="shared" si="4"/>
        <v>1100000</v>
      </c>
      <c r="J108" s="145">
        <f>Summary!I105</f>
        <v>0</v>
      </c>
      <c r="K108" s="146">
        <f t="shared" si="5"/>
        <v>0</v>
      </c>
      <c r="M108" s="13"/>
      <c r="N108" s="147"/>
    </row>
    <row r="109" spans="2:14" ht="18" customHeight="1" x14ac:dyDescent="0.8">
      <c r="B109" s="206" t="str">
        <f>Summary!B106</f>
        <v>دامن کرم ترک خودم</v>
      </c>
      <c r="C109" s="144"/>
      <c r="D109" s="145">
        <f>Summary!C106</f>
        <v>1</v>
      </c>
      <c r="E109" s="145">
        <f>Summary!E106</f>
        <v>0</v>
      </c>
      <c r="F109" s="145">
        <f t="shared" si="3"/>
        <v>0</v>
      </c>
      <c r="G109" s="145">
        <f>Summary!F106</f>
        <v>1</v>
      </c>
      <c r="H109" s="145">
        <f>Summary!G106</f>
        <v>800000</v>
      </c>
      <c r="I109" s="145">
        <f t="shared" si="4"/>
        <v>800000</v>
      </c>
      <c r="J109" s="145">
        <f>Summary!I106</f>
        <v>0</v>
      </c>
      <c r="K109" s="146">
        <f t="shared" si="5"/>
        <v>0</v>
      </c>
      <c r="M109" s="13"/>
      <c r="N109" s="147"/>
    </row>
    <row r="110" spans="2:14" ht="18" customHeight="1" x14ac:dyDescent="0.8">
      <c r="B110" s="206" t="str">
        <f>Summary!B107</f>
        <v>کت مانتو دیپلمات کرم سرمه ای طلایی</v>
      </c>
      <c r="C110" s="144"/>
      <c r="D110" s="145">
        <f>Summary!C107</f>
        <v>2</v>
      </c>
      <c r="E110" s="145">
        <f>Summary!E107</f>
        <v>700000</v>
      </c>
      <c r="F110" s="145">
        <f t="shared" si="3"/>
        <v>350000</v>
      </c>
      <c r="G110" s="145">
        <f>Summary!F107</f>
        <v>0</v>
      </c>
      <c r="H110" s="145">
        <f>Summary!G107</f>
        <v>0</v>
      </c>
      <c r="I110" s="145">
        <f t="shared" si="4"/>
        <v>0</v>
      </c>
      <c r="J110" s="145">
        <f>Summary!I107</f>
        <v>2</v>
      </c>
      <c r="K110" s="146">
        <f t="shared" si="5"/>
        <v>700000</v>
      </c>
      <c r="M110" s="13"/>
      <c r="N110" s="147"/>
    </row>
    <row r="111" spans="2:14" ht="18" customHeight="1" x14ac:dyDescent="0.8">
      <c r="B111" s="206" t="str">
        <f>Summary!B108</f>
        <v>مانتو تدی</v>
      </c>
      <c r="C111" s="144"/>
      <c r="D111" s="145">
        <f>Summary!C108</f>
        <v>5</v>
      </c>
      <c r="E111" s="145">
        <f>Summary!E108</f>
        <v>2250000</v>
      </c>
      <c r="F111" s="145">
        <f t="shared" si="3"/>
        <v>450000</v>
      </c>
      <c r="G111" s="145">
        <f>Summary!F108</f>
        <v>0</v>
      </c>
      <c r="H111" s="145">
        <f>Summary!G108</f>
        <v>0</v>
      </c>
      <c r="I111" s="145">
        <f t="shared" si="4"/>
        <v>0</v>
      </c>
      <c r="J111" s="145">
        <f>Summary!I108</f>
        <v>5</v>
      </c>
      <c r="K111" s="146">
        <f t="shared" si="5"/>
        <v>2250000</v>
      </c>
      <c r="M111" s="13"/>
      <c r="N111" s="147"/>
    </row>
    <row r="112" spans="2:14" ht="18" customHeight="1" x14ac:dyDescent="0.8">
      <c r="B112" s="206" t="str">
        <f>Summary!B109</f>
        <v>بادی های بازار</v>
      </c>
      <c r="C112" s="144"/>
      <c r="D112" s="145">
        <f>Summary!C109</f>
        <v>8</v>
      </c>
      <c r="E112" s="145">
        <f>Summary!E109</f>
        <v>1176000</v>
      </c>
      <c r="F112" s="145">
        <f t="shared" si="3"/>
        <v>147000</v>
      </c>
      <c r="G112" s="145">
        <f>Summary!F109</f>
        <v>1</v>
      </c>
      <c r="H112" s="145">
        <f>Summary!G109</f>
        <v>300000</v>
      </c>
      <c r="I112" s="145">
        <f t="shared" si="4"/>
        <v>300000</v>
      </c>
      <c r="J112" s="145">
        <f>Summary!I109</f>
        <v>7</v>
      </c>
      <c r="K112" s="146">
        <f t="shared" si="5"/>
        <v>1029000</v>
      </c>
      <c r="M112" s="13"/>
      <c r="N112" s="147"/>
    </row>
    <row r="113" spans="2:14" ht="18" customHeight="1" x14ac:dyDescent="0.8">
      <c r="B113" s="206" t="str">
        <f>Summary!B110</f>
        <v>دامن ترک سرمه ای</v>
      </c>
      <c r="C113" s="144"/>
      <c r="D113" s="145">
        <f>Summary!C110</f>
        <v>1</v>
      </c>
      <c r="E113" s="145">
        <f>Summary!E110</f>
        <v>0</v>
      </c>
      <c r="F113" s="145">
        <f t="shared" si="3"/>
        <v>0</v>
      </c>
      <c r="G113" s="145">
        <f>Summary!F110</f>
        <v>0</v>
      </c>
      <c r="H113" s="145">
        <f>Summary!G110</f>
        <v>0</v>
      </c>
      <c r="I113" s="145">
        <f t="shared" si="4"/>
        <v>0</v>
      </c>
      <c r="J113" s="145">
        <f>Summary!I110</f>
        <v>1</v>
      </c>
      <c r="K113" s="146">
        <f t="shared" si="5"/>
        <v>0</v>
      </c>
      <c r="M113" s="13"/>
      <c r="N113" s="147"/>
    </row>
    <row r="114" spans="2:14" ht="18" customHeight="1" x14ac:dyDescent="0.8">
      <c r="B114" s="206" t="str">
        <f>Summary!B111</f>
        <v>دامن شلوار دیپلمات کمردار</v>
      </c>
      <c r="C114" s="144"/>
      <c r="D114" s="145">
        <f>Summary!C111</f>
        <v>2</v>
      </c>
      <c r="E114" s="145">
        <f>Summary!E111</f>
        <v>780000</v>
      </c>
      <c r="F114" s="145">
        <f t="shared" si="3"/>
        <v>390000</v>
      </c>
      <c r="G114" s="145">
        <f>Summary!F111</f>
        <v>0</v>
      </c>
      <c r="H114" s="145">
        <f>Summary!G111</f>
        <v>0</v>
      </c>
      <c r="I114" s="145">
        <f t="shared" si="4"/>
        <v>0</v>
      </c>
      <c r="J114" s="145">
        <f>Summary!I111</f>
        <v>2</v>
      </c>
      <c r="K114" s="146">
        <f t="shared" si="5"/>
        <v>780000</v>
      </c>
      <c r="M114" s="13"/>
      <c r="N114" s="147"/>
    </row>
    <row r="115" spans="2:14" ht="18" customHeight="1" x14ac:dyDescent="0.8">
      <c r="B115" s="206" t="str">
        <f>Summary!B112</f>
        <v>پیراهن ترک آستین پف مشکی</v>
      </c>
      <c r="C115" s="144"/>
      <c r="D115" s="145">
        <f>Summary!C112</f>
        <v>1</v>
      </c>
      <c r="E115" s="145">
        <f>Summary!E112</f>
        <v>400000</v>
      </c>
      <c r="F115" s="145">
        <f t="shared" si="3"/>
        <v>400000</v>
      </c>
      <c r="G115" s="145">
        <f>Summary!F112</f>
        <v>0</v>
      </c>
      <c r="H115" s="145">
        <f>Summary!G112</f>
        <v>0</v>
      </c>
      <c r="I115" s="145">
        <f t="shared" si="4"/>
        <v>0</v>
      </c>
      <c r="J115" s="145">
        <f>Summary!I112</f>
        <v>1</v>
      </c>
      <c r="K115" s="146">
        <f t="shared" si="5"/>
        <v>400000</v>
      </c>
      <c r="M115" s="13"/>
      <c r="N115" s="147"/>
    </row>
    <row r="116" spans="2:14" ht="18" customHeight="1" x14ac:dyDescent="0.8">
      <c r="B116" s="206" t="str">
        <f>Summary!B113</f>
        <v>نیم تنه دامن آبی ترک</v>
      </c>
      <c r="C116" s="144"/>
      <c r="D116" s="145">
        <f>Summary!C113</f>
        <v>1</v>
      </c>
      <c r="E116" s="145">
        <f>Summary!E113</f>
        <v>320000</v>
      </c>
      <c r="F116" s="145">
        <f t="shared" si="3"/>
        <v>320000</v>
      </c>
      <c r="G116" s="145">
        <f>Summary!F113</f>
        <v>0</v>
      </c>
      <c r="H116" s="145">
        <f>Summary!G113</f>
        <v>0</v>
      </c>
      <c r="I116" s="145">
        <f t="shared" si="4"/>
        <v>0</v>
      </c>
      <c r="J116" s="145">
        <f>Summary!I113</f>
        <v>1</v>
      </c>
      <c r="K116" s="146">
        <f t="shared" si="5"/>
        <v>320000</v>
      </c>
      <c r="M116" s="13"/>
      <c r="N116" s="147"/>
    </row>
    <row r="117" spans="2:14" ht="18" customHeight="1" x14ac:dyDescent="0.8">
      <c r="B117" s="206" t="str">
        <f>Summary!B114</f>
        <v>نیم تنه مشکی ترک</v>
      </c>
      <c r="C117" s="144"/>
      <c r="D117" s="145">
        <f>Summary!C114</f>
        <v>1</v>
      </c>
      <c r="E117" s="145">
        <f>Summary!E114</f>
        <v>450000</v>
      </c>
      <c r="F117" s="145">
        <f t="shared" si="3"/>
        <v>450000</v>
      </c>
      <c r="G117" s="145">
        <f>Summary!F114</f>
        <v>0</v>
      </c>
      <c r="H117" s="145">
        <f>Summary!G114</f>
        <v>0</v>
      </c>
      <c r="I117" s="145">
        <f t="shared" si="4"/>
        <v>0</v>
      </c>
      <c r="J117" s="145">
        <f>Summary!I114</f>
        <v>1</v>
      </c>
      <c r="K117" s="146">
        <f t="shared" si="5"/>
        <v>450000</v>
      </c>
      <c r="M117" s="13"/>
      <c r="N117" s="147"/>
    </row>
    <row r="118" spans="2:14" ht="18" customHeight="1" x14ac:dyDescent="0.8">
      <c r="B118" s="206" t="str">
        <f>Summary!B115</f>
        <v>بافت ترک کرم زنجیردار</v>
      </c>
      <c r="C118" s="144"/>
      <c r="D118" s="145">
        <f>Summary!C115</f>
        <v>1</v>
      </c>
      <c r="E118" s="145">
        <f>Summary!E115</f>
        <v>400000</v>
      </c>
      <c r="F118" s="145">
        <f t="shared" si="3"/>
        <v>400000</v>
      </c>
      <c r="G118" s="145">
        <f>Summary!F115</f>
        <v>1</v>
      </c>
      <c r="H118" s="145">
        <f>Summary!G115</f>
        <v>600000</v>
      </c>
      <c r="I118" s="145">
        <f t="shared" si="4"/>
        <v>600000</v>
      </c>
      <c r="J118" s="145">
        <f>Summary!I115</f>
        <v>0</v>
      </c>
      <c r="K118" s="146">
        <f t="shared" si="5"/>
        <v>0</v>
      </c>
      <c r="M118" s="13"/>
      <c r="N118" s="147"/>
    </row>
    <row r="119" spans="2:14" ht="18" customHeight="1" x14ac:dyDescent="0.8">
      <c r="B119" s="206" t="str">
        <f>Summary!B116</f>
        <v>یقه اسکی ویار</v>
      </c>
      <c r="C119" s="144"/>
      <c r="D119" s="145">
        <f>Summary!C116</f>
        <v>2</v>
      </c>
      <c r="E119" s="145">
        <f>Summary!E116</f>
        <v>900000</v>
      </c>
      <c r="F119" s="145">
        <f t="shared" si="3"/>
        <v>450000</v>
      </c>
      <c r="G119" s="145">
        <f>Summary!F116</f>
        <v>0</v>
      </c>
      <c r="H119" s="145">
        <f>Summary!G116</f>
        <v>0</v>
      </c>
      <c r="I119" s="145">
        <f t="shared" si="4"/>
        <v>0</v>
      </c>
      <c r="J119" s="145">
        <f>Summary!I116</f>
        <v>2</v>
      </c>
      <c r="K119" s="146">
        <f t="shared" si="5"/>
        <v>900000</v>
      </c>
      <c r="M119" s="13"/>
      <c r="N119" s="147"/>
    </row>
    <row r="120" spans="2:14" ht="18" customHeight="1" x14ac:dyDescent="0.8">
      <c r="B120" s="206" t="str">
        <f>Summary!B117</f>
        <v>گرمکن ترک</v>
      </c>
      <c r="C120" s="144"/>
      <c r="D120" s="145">
        <f>Summary!C117</f>
        <v>4</v>
      </c>
      <c r="E120" s="145">
        <f>Summary!E117</f>
        <v>13200000</v>
      </c>
      <c r="F120" s="145">
        <f t="shared" si="3"/>
        <v>3300000</v>
      </c>
      <c r="G120" s="145">
        <f>Summary!F117</f>
        <v>0</v>
      </c>
      <c r="H120" s="145">
        <f>Summary!G117</f>
        <v>0</v>
      </c>
      <c r="I120" s="145">
        <f t="shared" si="4"/>
        <v>0</v>
      </c>
      <c r="J120" s="145">
        <f>Summary!I117</f>
        <v>4</v>
      </c>
      <c r="K120" s="146">
        <f t="shared" si="5"/>
        <v>13200000</v>
      </c>
      <c r="M120" s="13"/>
      <c r="N120" s="147"/>
    </row>
    <row r="121" spans="2:14" ht="18" customHeight="1" x14ac:dyDescent="0.8">
      <c r="B121" s="206" t="str">
        <f>Summary!B118</f>
        <v>یقه اسکی بلند بافت ترک</v>
      </c>
      <c r="C121" s="144"/>
      <c r="D121" s="145">
        <f>Summary!C118</f>
        <v>2</v>
      </c>
      <c r="E121" s="145">
        <f>Summary!E118</f>
        <v>1400000</v>
      </c>
      <c r="F121" s="145">
        <f t="shared" si="3"/>
        <v>700000</v>
      </c>
      <c r="G121" s="145">
        <f>Summary!F118</f>
        <v>0</v>
      </c>
      <c r="H121" s="145">
        <f>Summary!G118</f>
        <v>0</v>
      </c>
      <c r="I121" s="145">
        <f t="shared" si="4"/>
        <v>0</v>
      </c>
      <c r="J121" s="145">
        <f>Summary!I118</f>
        <v>2</v>
      </c>
      <c r="K121" s="146">
        <f t="shared" si="5"/>
        <v>1400000</v>
      </c>
      <c r="M121" s="13"/>
      <c r="N121" s="147"/>
    </row>
    <row r="122" spans="2:14" ht="18" customHeight="1" x14ac:dyDescent="0.8">
      <c r="B122" s="206" t="str">
        <f>Summary!B119</f>
        <v>شلوار بافت راه راه</v>
      </c>
      <c r="C122" s="144"/>
      <c r="D122" s="145">
        <f>Summary!C119</f>
        <v>3</v>
      </c>
      <c r="E122" s="145">
        <f>Summary!E119</f>
        <v>600000</v>
      </c>
      <c r="F122" s="145">
        <f t="shared" si="3"/>
        <v>200000</v>
      </c>
      <c r="G122" s="145">
        <f>Summary!F119</f>
        <v>0</v>
      </c>
      <c r="H122" s="145">
        <f>Summary!G119</f>
        <v>0</v>
      </c>
      <c r="I122" s="145">
        <f t="shared" si="4"/>
        <v>0</v>
      </c>
      <c r="J122" s="145">
        <f>Summary!I119</f>
        <v>3</v>
      </c>
      <c r="K122" s="146">
        <f t="shared" si="5"/>
        <v>600000</v>
      </c>
      <c r="M122" s="13"/>
      <c r="N122" s="147"/>
    </row>
    <row r="123" spans="2:14" ht="18" customHeight="1" x14ac:dyDescent="0.8">
      <c r="B123" s="206" t="str">
        <f>Summary!B120</f>
        <v>سرهمی مشکی حلقه ای</v>
      </c>
      <c r="C123" s="144"/>
      <c r="D123" s="145">
        <f>Summary!C120</f>
        <v>1</v>
      </c>
      <c r="E123" s="145">
        <f>Summary!E120</f>
        <v>450000</v>
      </c>
      <c r="F123" s="145">
        <f t="shared" si="3"/>
        <v>450000</v>
      </c>
      <c r="G123" s="145">
        <f>Summary!F120</f>
        <v>0</v>
      </c>
      <c r="H123" s="145">
        <f>Summary!G120</f>
        <v>0</v>
      </c>
      <c r="I123" s="145">
        <f t="shared" si="4"/>
        <v>0</v>
      </c>
      <c r="J123" s="145">
        <f>Summary!I120</f>
        <v>1</v>
      </c>
      <c r="K123" s="146">
        <f t="shared" si="5"/>
        <v>450000</v>
      </c>
      <c r="M123" s="13"/>
      <c r="N123" s="147"/>
    </row>
    <row r="124" spans="2:14" ht="18" customHeight="1" x14ac:dyDescent="0.8">
      <c r="B124" s="206" t="str">
        <f>Summary!B121</f>
        <v>شومیز دلگشا</v>
      </c>
      <c r="C124" s="144"/>
      <c r="D124" s="145">
        <f>Summary!C121</f>
        <v>8</v>
      </c>
      <c r="E124" s="145">
        <f>Summary!E121</f>
        <v>6800000</v>
      </c>
      <c r="F124" s="145">
        <f t="shared" si="3"/>
        <v>850000</v>
      </c>
      <c r="G124" s="145">
        <f>Summary!F121</f>
        <v>7</v>
      </c>
      <c r="H124" s="145">
        <f>Summary!G121</f>
        <v>5780000</v>
      </c>
      <c r="I124" s="145">
        <f t="shared" si="4"/>
        <v>825714.28571428568</v>
      </c>
      <c r="J124" s="145">
        <f>Summary!I121</f>
        <v>1</v>
      </c>
      <c r="K124" s="146">
        <f t="shared" si="5"/>
        <v>850000</v>
      </c>
      <c r="M124" s="13"/>
      <c r="N124" s="147"/>
    </row>
    <row r="125" spans="2:14" ht="18" customHeight="1" x14ac:dyDescent="0.8">
      <c r="B125" s="206" t="str">
        <f>Summary!B122</f>
        <v>کراپ کت سفید و مشکی</v>
      </c>
      <c r="C125" s="144"/>
      <c r="D125" s="145">
        <f>Summary!C122</f>
        <v>2</v>
      </c>
      <c r="E125" s="145">
        <f>Summary!E122</f>
        <v>1280000</v>
      </c>
      <c r="F125" s="145">
        <f t="shared" si="3"/>
        <v>640000</v>
      </c>
      <c r="G125" s="145">
        <f>Summary!F122</f>
        <v>2</v>
      </c>
      <c r="H125" s="145">
        <f>Summary!G122</f>
        <v>1850000</v>
      </c>
      <c r="I125" s="145">
        <f t="shared" si="4"/>
        <v>925000</v>
      </c>
      <c r="J125" s="145">
        <f>Summary!I122</f>
        <v>0</v>
      </c>
      <c r="K125" s="146">
        <f t="shared" si="5"/>
        <v>0</v>
      </c>
      <c r="M125" s="13"/>
      <c r="N125" s="147"/>
    </row>
    <row r="126" spans="2:14" ht="18" customHeight="1" x14ac:dyDescent="0.8">
      <c r="B126" s="206" t="str">
        <f>Summary!B123</f>
        <v>کراپ پلنگی</v>
      </c>
      <c r="C126" s="144"/>
      <c r="D126" s="145">
        <f>Summary!C123</f>
        <v>2</v>
      </c>
      <c r="E126" s="145">
        <f>Summary!E123</f>
        <v>400000</v>
      </c>
      <c r="F126" s="145">
        <f t="shared" si="3"/>
        <v>200000</v>
      </c>
      <c r="G126" s="145">
        <f>Summary!F123</f>
        <v>2</v>
      </c>
      <c r="H126" s="145">
        <f>Summary!G123</f>
        <v>400000</v>
      </c>
      <c r="I126" s="145">
        <f t="shared" si="4"/>
        <v>200000</v>
      </c>
      <c r="J126" s="145">
        <f>Summary!I123</f>
        <v>0</v>
      </c>
      <c r="K126" s="146">
        <f t="shared" si="5"/>
        <v>0</v>
      </c>
      <c r="M126" s="13"/>
      <c r="N126" s="147"/>
    </row>
    <row r="127" spans="2:14" ht="18" customHeight="1" x14ac:dyDescent="0.8">
      <c r="B127" s="206" t="str">
        <f>Summary!B124</f>
        <v>کت و شلوار سبز</v>
      </c>
      <c r="C127" s="144"/>
      <c r="D127" s="145">
        <f>Summary!C124</f>
        <v>1</v>
      </c>
      <c r="E127" s="145">
        <f>Summary!E124</f>
        <v>1500000</v>
      </c>
      <c r="F127" s="145">
        <f t="shared" si="3"/>
        <v>1500000</v>
      </c>
      <c r="G127" s="145">
        <f>Summary!F124</f>
        <v>0</v>
      </c>
      <c r="H127" s="145">
        <f>Summary!G124</f>
        <v>0</v>
      </c>
      <c r="I127" s="145">
        <f t="shared" si="4"/>
        <v>0</v>
      </c>
      <c r="J127" s="145">
        <f>Summary!I124</f>
        <v>1</v>
      </c>
      <c r="K127" s="146">
        <f t="shared" si="5"/>
        <v>1500000</v>
      </c>
      <c r="M127" s="13"/>
      <c r="N127" s="147"/>
    </row>
    <row r="128" spans="2:14" ht="18" customHeight="1" x14ac:dyDescent="0.8">
      <c r="B128" s="206" t="str">
        <f>Summary!B125</f>
        <v>کت و شلوار دیپلمات سنجاق سینه</v>
      </c>
      <c r="C128" s="144"/>
      <c r="D128" s="145">
        <f>Summary!C125</f>
        <v>3</v>
      </c>
      <c r="E128" s="145">
        <f>Summary!E125</f>
        <v>5100000</v>
      </c>
      <c r="F128" s="145">
        <f t="shared" si="3"/>
        <v>1700000</v>
      </c>
      <c r="G128" s="145">
        <f>Summary!F125</f>
        <v>3</v>
      </c>
      <c r="H128" s="145">
        <f>Summary!G125</f>
        <v>5000000</v>
      </c>
      <c r="I128" s="145">
        <f t="shared" si="4"/>
        <v>1666666.6666666667</v>
      </c>
      <c r="J128" s="145">
        <f>Summary!I125</f>
        <v>0</v>
      </c>
      <c r="K128" s="146">
        <f t="shared" si="5"/>
        <v>0</v>
      </c>
      <c r="M128" s="13"/>
      <c r="N128" s="147"/>
    </row>
    <row r="129" spans="2:14" ht="18" customHeight="1" x14ac:dyDescent="0.8">
      <c r="B129" s="206" t="str">
        <f>Summary!B126</f>
        <v>کت مانتو ژکارد آبی کمرنگ</v>
      </c>
      <c r="C129" s="144"/>
      <c r="D129" s="145">
        <f>Summary!C126</f>
        <v>1</v>
      </c>
      <c r="E129" s="145">
        <f>Summary!E126</f>
        <v>1100000</v>
      </c>
      <c r="F129" s="145">
        <f t="shared" si="3"/>
        <v>1100000</v>
      </c>
      <c r="G129" s="145">
        <f>Summary!F126</f>
        <v>0</v>
      </c>
      <c r="H129" s="145">
        <f>Summary!G126</f>
        <v>0</v>
      </c>
      <c r="I129" s="145">
        <f t="shared" si="4"/>
        <v>0</v>
      </c>
      <c r="J129" s="145">
        <f>Summary!I126</f>
        <v>1</v>
      </c>
      <c r="K129" s="146">
        <f t="shared" si="5"/>
        <v>1100000</v>
      </c>
      <c r="M129" s="13"/>
      <c r="N129" s="147"/>
    </row>
    <row r="130" spans="2:14" ht="18" customHeight="1" x14ac:dyDescent="0.8">
      <c r="B130" s="206" t="str">
        <f>Summary!B127</f>
        <v>کراپ آستین حریر گره ای</v>
      </c>
      <c r="C130" s="144"/>
      <c r="D130" s="145">
        <f>Summary!C127</f>
        <v>2</v>
      </c>
      <c r="E130" s="145">
        <f>Summary!E127</f>
        <v>1000000</v>
      </c>
      <c r="F130" s="145">
        <f t="shared" si="3"/>
        <v>500000</v>
      </c>
      <c r="G130" s="145">
        <f>Summary!F127</f>
        <v>0</v>
      </c>
      <c r="H130" s="145">
        <f>Summary!G127</f>
        <v>0</v>
      </c>
      <c r="I130" s="145">
        <f t="shared" si="4"/>
        <v>0</v>
      </c>
      <c r="J130" s="145">
        <f>Summary!I127</f>
        <v>2</v>
      </c>
      <c r="K130" s="146">
        <f t="shared" si="5"/>
        <v>1000000</v>
      </c>
      <c r="M130" s="13"/>
      <c r="N130" s="147"/>
    </row>
    <row r="131" spans="2:14" ht="18" customHeight="1" x14ac:dyDescent="0.8">
      <c r="B131" s="206" t="str">
        <f>Summary!B128</f>
        <v>کراپ مجلسی سفید</v>
      </c>
      <c r="C131" s="144"/>
      <c r="D131" s="145">
        <f>Summary!C128</f>
        <v>1</v>
      </c>
      <c r="E131" s="145">
        <f>Summary!E128</f>
        <v>580000</v>
      </c>
      <c r="F131" s="145">
        <f t="shared" si="3"/>
        <v>580000</v>
      </c>
      <c r="G131" s="145">
        <f>Summary!F128</f>
        <v>0</v>
      </c>
      <c r="H131" s="145">
        <f>Summary!G128</f>
        <v>0</v>
      </c>
      <c r="I131" s="145">
        <f t="shared" si="4"/>
        <v>0</v>
      </c>
      <c r="J131" s="145">
        <f>Summary!I128</f>
        <v>1</v>
      </c>
      <c r="K131" s="146">
        <f t="shared" si="5"/>
        <v>580000</v>
      </c>
      <c r="M131" s="13"/>
      <c r="N131" s="147"/>
    </row>
    <row r="132" spans="2:14" ht="18" customHeight="1" x14ac:dyDescent="0.8">
      <c r="B132" s="206" t="str">
        <f>Summary!B129</f>
        <v>دامن کلوش زنجیر پائین تور</v>
      </c>
      <c r="C132" s="144"/>
      <c r="D132" s="145">
        <f>Summary!C129</f>
        <v>2</v>
      </c>
      <c r="E132" s="145">
        <f>Summary!E129</f>
        <v>700000</v>
      </c>
      <c r="F132" s="145">
        <f t="shared" si="3"/>
        <v>350000</v>
      </c>
      <c r="G132" s="145">
        <f>Summary!F129</f>
        <v>0</v>
      </c>
      <c r="H132" s="145">
        <f>Summary!G129</f>
        <v>0</v>
      </c>
      <c r="I132" s="145">
        <f t="shared" si="4"/>
        <v>0</v>
      </c>
      <c r="J132" s="145">
        <f>Summary!I129</f>
        <v>2</v>
      </c>
      <c r="K132" s="146">
        <f t="shared" si="5"/>
        <v>700000</v>
      </c>
      <c r="M132" s="13"/>
      <c r="N132" s="147"/>
    </row>
    <row r="133" spans="2:14" ht="18" customHeight="1" x14ac:dyDescent="0.8">
      <c r="B133" s="206" t="str">
        <f>Summary!B130</f>
        <v>دامن پلیسه کوتاه</v>
      </c>
      <c r="C133" s="144"/>
      <c r="D133" s="145">
        <f>Summary!C130</f>
        <v>2</v>
      </c>
      <c r="E133" s="145">
        <f>Summary!E130</f>
        <v>900000</v>
      </c>
      <c r="F133" s="145">
        <f t="shared" si="3"/>
        <v>450000</v>
      </c>
      <c r="G133" s="145">
        <f>Summary!F130</f>
        <v>0</v>
      </c>
      <c r="H133" s="145">
        <f>Summary!G130</f>
        <v>0</v>
      </c>
      <c r="I133" s="145">
        <f t="shared" si="4"/>
        <v>0</v>
      </c>
      <c r="J133" s="145">
        <f>Summary!I130</f>
        <v>2</v>
      </c>
      <c r="K133" s="146">
        <f t="shared" si="5"/>
        <v>900000</v>
      </c>
      <c r="M133" s="13"/>
      <c r="N133" s="147"/>
    </row>
    <row r="134" spans="2:14" ht="18" customHeight="1" x14ac:dyDescent="0.8">
      <c r="B134" s="206" t="str">
        <f>Summary!B131</f>
        <v>شلوارک جین</v>
      </c>
      <c r="C134" s="144"/>
      <c r="D134" s="145">
        <f>Summary!C131</f>
        <v>2</v>
      </c>
      <c r="E134" s="145">
        <f>Summary!E131</f>
        <v>700000</v>
      </c>
      <c r="F134" s="145">
        <f t="shared" si="3"/>
        <v>350000</v>
      </c>
      <c r="G134" s="145">
        <f>Summary!F131</f>
        <v>1</v>
      </c>
      <c r="H134" s="145">
        <f>Summary!G131</f>
        <v>0</v>
      </c>
      <c r="I134" s="145">
        <f t="shared" si="4"/>
        <v>0</v>
      </c>
      <c r="J134" s="145">
        <f>Summary!I131</f>
        <v>1</v>
      </c>
      <c r="K134" s="146">
        <f t="shared" si="5"/>
        <v>350000</v>
      </c>
      <c r="M134" s="13"/>
      <c r="N134" s="147"/>
    </row>
    <row r="135" spans="2:14" ht="18" customHeight="1" x14ac:dyDescent="0.8">
      <c r="B135" s="206" t="str">
        <f>Summary!B132</f>
        <v>دامن عروسکی تور</v>
      </c>
      <c r="C135" s="144"/>
      <c r="D135" s="145">
        <f>Summary!C132</f>
        <v>2</v>
      </c>
      <c r="E135" s="145">
        <f>Summary!E132</f>
        <v>1100000</v>
      </c>
      <c r="F135" s="145">
        <f t="shared" ref="F135:F198" si="6">IFERROR(E135/D135, 0)</f>
        <v>550000</v>
      </c>
      <c r="G135" s="145">
        <f>Summary!F132</f>
        <v>1</v>
      </c>
      <c r="H135" s="145">
        <f>Summary!G132</f>
        <v>700000</v>
      </c>
      <c r="I135" s="145">
        <f t="shared" ref="I135:I198" si="7">IFERROR(H135/G135, 0)</f>
        <v>700000</v>
      </c>
      <c r="J135" s="145">
        <f>Summary!I132</f>
        <v>1</v>
      </c>
      <c r="K135" s="146">
        <f t="shared" ref="K135:K198" si="8">J135*F135</f>
        <v>550000</v>
      </c>
      <c r="M135" s="13"/>
      <c r="N135" s="147"/>
    </row>
    <row r="136" spans="2:14" ht="18" customHeight="1" x14ac:dyDescent="0.8">
      <c r="B136" s="206" t="str">
        <f>Summary!B133</f>
        <v>شلوار پارچه ای تک راه 4 دگمه</v>
      </c>
      <c r="C136" s="144"/>
      <c r="D136" s="145">
        <f>Summary!C133</f>
        <v>5</v>
      </c>
      <c r="E136" s="145">
        <f>Summary!E133</f>
        <v>3500000</v>
      </c>
      <c r="F136" s="145">
        <f t="shared" si="6"/>
        <v>700000</v>
      </c>
      <c r="G136" s="145">
        <f>Summary!F133</f>
        <v>0</v>
      </c>
      <c r="H136" s="145">
        <f>Summary!G133</f>
        <v>0</v>
      </c>
      <c r="I136" s="145">
        <f t="shared" si="7"/>
        <v>0</v>
      </c>
      <c r="J136" s="145">
        <f>Summary!I133</f>
        <v>5</v>
      </c>
      <c r="K136" s="146">
        <f t="shared" si="8"/>
        <v>3500000</v>
      </c>
      <c r="M136" s="13"/>
      <c r="N136" s="147"/>
    </row>
    <row r="137" spans="2:14" ht="18" customHeight="1" x14ac:dyDescent="0.8">
      <c r="B137" s="206" t="str">
        <f>Summary!B134</f>
        <v>شلوار جین شافل</v>
      </c>
      <c r="C137" s="144"/>
      <c r="D137" s="145">
        <f>Summary!C134</f>
        <v>5</v>
      </c>
      <c r="E137" s="145">
        <f>Summary!E134</f>
        <v>3350000</v>
      </c>
      <c r="F137" s="145">
        <f t="shared" si="6"/>
        <v>670000</v>
      </c>
      <c r="G137" s="145">
        <f>Summary!F134</f>
        <v>1</v>
      </c>
      <c r="H137" s="145">
        <f>Summary!G134</f>
        <v>1000000</v>
      </c>
      <c r="I137" s="145">
        <f t="shared" si="7"/>
        <v>1000000</v>
      </c>
      <c r="J137" s="145">
        <f>Summary!I134</f>
        <v>4</v>
      </c>
      <c r="K137" s="146">
        <f t="shared" si="8"/>
        <v>2680000</v>
      </c>
      <c r="M137" s="13"/>
      <c r="N137" s="147"/>
    </row>
    <row r="138" spans="2:14" ht="18" customHeight="1" x14ac:dyDescent="0.8">
      <c r="B138" s="206" t="str">
        <f>Summary!B135</f>
        <v>شلوار فول بگ جین</v>
      </c>
      <c r="C138" s="144"/>
      <c r="D138" s="145">
        <f>Summary!C135</f>
        <v>4</v>
      </c>
      <c r="E138" s="145">
        <f>Summary!E135</f>
        <v>2320000</v>
      </c>
      <c r="F138" s="145">
        <f t="shared" si="6"/>
        <v>580000</v>
      </c>
      <c r="G138" s="145">
        <f>Summary!F135</f>
        <v>1</v>
      </c>
      <c r="H138" s="145">
        <f>Summary!G135</f>
        <v>1500000</v>
      </c>
      <c r="I138" s="145">
        <f t="shared" si="7"/>
        <v>1500000</v>
      </c>
      <c r="J138" s="145">
        <f>Summary!I135</f>
        <v>3</v>
      </c>
      <c r="K138" s="146">
        <f t="shared" si="8"/>
        <v>1740000</v>
      </c>
      <c r="M138" s="13"/>
      <c r="N138" s="147"/>
    </row>
    <row r="139" spans="2:14" ht="18" customHeight="1" x14ac:dyDescent="0.8">
      <c r="B139" s="206" t="str">
        <f>Summary!B136</f>
        <v>شلوار مشکی فیت 2 دگمه</v>
      </c>
      <c r="C139" s="144"/>
      <c r="D139" s="145">
        <f>Summary!C136</f>
        <v>4</v>
      </c>
      <c r="E139" s="145">
        <f>Summary!E136</f>
        <v>1600000</v>
      </c>
      <c r="F139" s="145">
        <f t="shared" si="6"/>
        <v>400000</v>
      </c>
      <c r="G139" s="145">
        <f>Summary!F136</f>
        <v>0</v>
      </c>
      <c r="H139" s="145">
        <f>Summary!G136</f>
        <v>0</v>
      </c>
      <c r="I139" s="145">
        <f t="shared" si="7"/>
        <v>0</v>
      </c>
      <c r="J139" s="145">
        <f>Summary!I136</f>
        <v>4</v>
      </c>
      <c r="K139" s="146">
        <f t="shared" si="8"/>
        <v>1600000</v>
      </c>
      <c r="M139" s="13"/>
      <c r="N139" s="147"/>
    </row>
    <row r="140" spans="2:14" ht="18" customHeight="1" x14ac:dyDescent="0.8">
      <c r="B140" s="206" t="str">
        <f>Summary!B137</f>
        <v>آزاد نخی دگمه دار فری سایز</v>
      </c>
      <c r="C140" s="144"/>
      <c r="D140" s="145">
        <f>Summary!C137</f>
        <v>3</v>
      </c>
      <c r="E140" s="145">
        <f>Summary!E137</f>
        <v>660000</v>
      </c>
      <c r="F140" s="145">
        <f t="shared" si="6"/>
        <v>220000</v>
      </c>
      <c r="G140" s="145">
        <f>Summary!F137</f>
        <v>3</v>
      </c>
      <c r="H140" s="145">
        <f>Summary!G137</f>
        <v>1590000</v>
      </c>
      <c r="I140" s="145">
        <f t="shared" si="7"/>
        <v>530000</v>
      </c>
      <c r="J140" s="145">
        <f>Summary!I137</f>
        <v>0</v>
      </c>
      <c r="K140" s="146">
        <f t="shared" si="8"/>
        <v>0</v>
      </c>
      <c r="M140" s="13"/>
      <c r="N140" s="147"/>
    </row>
    <row r="141" spans="2:14" ht="18" customHeight="1" x14ac:dyDescent="0.8">
      <c r="B141" s="206" t="str">
        <f>Summary!B138</f>
        <v>بوتکات کمردار مشکی</v>
      </c>
      <c r="C141" s="144"/>
      <c r="D141" s="145">
        <f>Summary!C138</f>
        <v>4</v>
      </c>
      <c r="E141" s="145">
        <f>Summary!E138</f>
        <v>2312000</v>
      </c>
      <c r="F141" s="145">
        <f t="shared" si="6"/>
        <v>578000</v>
      </c>
      <c r="G141" s="145">
        <f>Summary!F138</f>
        <v>5</v>
      </c>
      <c r="H141" s="145">
        <f>Summary!G138</f>
        <v>4400000</v>
      </c>
      <c r="I141" s="145">
        <f t="shared" si="7"/>
        <v>880000</v>
      </c>
      <c r="J141" s="145">
        <f>Summary!I138</f>
        <v>-1</v>
      </c>
      <c r="K141" s="146">
        <f t="shared" si="8"/>
        <v>-578000</v>
      </c>
      <c r="M141" s="13"/>
      <c r="N141" s="147"/>
    </row>
    <row r="142" spans="2:14" ht="18" customHeight="1" x14ac:dyDescent="0.8">
      <c r="B142" s="206" t="str">
        <f>Summary!B139</f>
        <v>دامن جین بلند</v>
      </c>
      <c r="C142" s="144"/>
      <c r="D142" s="145">
        <f>Summary!C139</f>
        <v>2</v>
      </c>
      <c r="E142" s="145">
        <f>Summary!E139</f>
        <v>800000</v>
      </c>
      <c r="F142" s="145">
        <f t="shared" si="6"/>
        <v>400000</v>
      </c>
      <c r="G142" s="145">
        <f>Summary!F139</f>
        <v>0</v>
      </c>
      <c r="H142" s="145">
        <f>Summary!G139</f>
        <v>0</v>
      </c>
      <c r="I142" s="145">
        <f t="shared" si="7"/>
        <v>0</v>
      </c>
      <c r="J142" s="145">
        <f>Summary!I139</f>
        <v>2</v>
      </c>
      <c r="K142" s="146">
        <f t="shared" si="8"/>
        <v>800000</v>
      </c>
      <c r="M142" s="13"/>
      <c r="N142" s="147"/>
    </row>
    <row r="143" spans="2:14" ht="18" customHeight="1" x14ac:dyDescent="0.8">
      <c r="B143" s="206" t="str">
        <f>Summary!B140</f>
        <v>کمربند</v>
      </c>
      <c r="C143" s="144"/>
      <c r="D143" s="145">
        <f>Summary!C140</f>
        <v>28</v>
      </c>
      <c r="E143" s="145">
        <f>Summary!E140</f>
        <v>1520000</v>
      </c>
      <c r="F143" s="145">
        <f t="shared" si="6"/>
        <v>54285.714285714283</v>
      </c>
      <c r="G143" s="145">
        <f>Summary!F140</f>
        <v>22</v>
      </c>
      <c r="H143" s="145">
        <f>Summary!G140</f>
        <v>4250000</v>
      </c>
      <c r="I143" s="145">
        <f t="shared" si="7"/>
        <v>193181.81818181818</v>
      </c>
      <c r="J143" s="145">
        <f>Summary!I140</f>
        <v>6</v>
      </c>
      <c r="K143" s="146">
        <f t="shared" si="8"/>
        <v>325714.28571428568</v>
      </c>
      <c r="M143" s="13"/>
      <c r="N143" s="147"/>
    </row>
    <row r="144" spans="2:14" ht="18" customHeight="1" x14ac:dyDescent="0.8">
      <c r="B144" s="206" t="str">
        <f>Summary!B141</f>
        <v>کیف ویکتوریا</v>
      </c>
      <c r="C144" s="144"/>
      <c r="D144" s="145">
        <f>Summary!C141</f>
        <v>2</v>
      </c>
      <c r="E144" s="145">
        <f>Summary!E141</f>
        <v>400000</v>
      </c>
      <c r="F144" s="145">
        <f t="shared" si="6"/>
        <v>200000</v>
      </c>
      <c r="G144" s="145">
        <f>Summary!F141</f>
        <v>2</v>
      </c>
      <c r="H144" s="145">
        <f>Summary!G141</f>
        <v>1220000</v>
      </c>
      <c r="I144" s="145">
        <f t="shared" si="7"/>
        <v>610000</v>
      </c>
      <c r="J144" s="145">
        <f>Summary!I141</f>
        <v>0</v>
      </c>
      <c r="K144" s="146">
        <f t="shared" si="8"/>
        <v>0</v>
      </c>
      <c r="M144" s="13"/>
      <c r="N144" s="147"/>
    </row>
    <row r="145" spans="2:14" ht="18" customHeight="1" x14ac:dyDescent="0.8">
      <c r="B145" s="206" t="str">
        <f>Summary!B142</f>
        <v>کیف طوسی</v>
      </c>
      <c r="C145" s="144"/>
      <c r="D145" s="145">
        <f>Summary!C142</f>
        <v>1</v>
      </c>
      <c r="E145" s="145">
        <f>Summary!E142</f>
        <v>200000</v>
      </c>
      <c r="F145" s="145">
        <f t="shared" si="6"/>
        <v>200000</v>
      </c>
      <c r="G145" s="145">
        <f>Summary!F142</f>
        <v>0</v>
      </c>
      <c r="H145" s="145">
        <f>Summary!G142</f>
        <v>0</v>
      </c>
      <c r="I145" s="145">
        <f t="shared" si="7"/>
        <v>0</v>
      </c>
      <c r="J145" s="145">
        <f>Summary!I142</f>
        <v>1</v>
      </c>
      <c r="K145" s="146">
        <f t="shared" si="8"/>
        <v>200000</v>
      </c>
      <c r="M145" s="13"/>
      <c r="N145" s="147"/>
    </row>
    <row r="146" spans="2:14" ht="18" customHeight="1" x14ac:dyDescent="0.8">
      <c r="B146" s="206" t="str">
        <f>Summary!B143</f>
        <v>کش سر</v>
      </c>
      <c r="C146" s="144"/>
      <c r="D146" s="145">
        <f>Summary!C143</f>
        <v>9</v>
      </c>
      <c r="E146" s="145">
        <f>Summary!E143</f>
        <v>166500</v>
      </c>
      <c r="F146" s="145">
        <f t="shared" si="6"/>
        <v>18500</v>
      </c>
      <c r="G146" s="145">
        <f>Summary!F143</f>
        <v>4</v>
      </c>
      <c r="H146" s="145">
        <f>Summary!G143</f>
        <v>199000</v>
      </c>
      <c r="I146" s="145">
        <f t="shared" si="7"/>
        <v>49750</v>
      </c>
      <c r="J146" s="145">
        <f>Summary!I143</f>
        <v>5</v>
      </c>
      <c r="K146" s="146">
        <f t="shared" si="8"/>
        <v>92500</v>
      </c>
      <c r="M146" s="13"/>
      <c r="N146" s="147"/>
    </row>
    <row r="147" spans="2:14" ht="18" customHeight="1" x14ac:dyDescent="0.8">
      <c r="B147" s="206" t="str">
        <f>Summary!B144</f>
        <v>عطر LCW</v>
      </c>
      <c r="C147" s="144"/>
      <c r="D147" s="145">
        <f>Summary!C144</f>
        <v>6</v>
      </c>
      <c r="E147" s="145">
        <f>Summary!E144</f>
        <v>1200000</v>
      </c>
      <c r="F147" s="145">
        <f t="shared" si="6"/>
        <v>200000</v>
      </c>
      <c r="G147" s="145">
        <f>Summary!F144</f>
        <v>1</v>
      </c>
      <c r="H147" s="145">
        <f>Summary!G144</f>
        <v>850000</v>
      </c>
      <c r="I147" s="145">
        <f t="shared" si="7"/>
        <v>850000</v>
      </c>
      <c r="J147" s="145">
        <f>Summary!I144</f>
        <v>5</v>
      </c>
      <c r="K147" s="146">
        <f t="shared" si="8"/>
        <v>1000000</v>
      </c>
      <c r="M147" s="13"/>
      <c r="N147" s="147"/>
    </row>
    <row r="148" spans="2:14" ht="18" customHeight="1" x14ac:dyDescent="0.8">
      <c r="B148" s="206" t="str">
        <f>Summary!B145</f>
        <v>کلیپس</v>
      </c>
      <c r="C148" s="144"/>
      <c r="D148" s="145">
        <f>Summary!C145</f>
        <v>2</v>
      </c>
      <c r="E148" s="145">
        <f>Summary!E145</f>
        <v>80000</v>
      </c>
      <c r="F148" s="145">
        <f t="shared" si="6"/>
        <v>40000</v>
      </c>
      <c r="G148" s="145">
        <f>Summary!F145</f>
        <v>1</v>
      </c>
      <c r="H148" s="145">
        <f>Summary!G145</f>
        <v>100000</v>
      </c>
      <c r="I148" s="145">
        <f t="shared" si="7"/>
        <v>100000</v>
      </c>
      <c r="J148" s="145">
        <f>Summary!I145</f>
        <v>1</v>
      </c>
      <c r="K148" s="146">
        <f t="shared" si="8"/>
        <v>40000</v>
      </c>
      <c r="M148" s="13"/>
      <c r="N148" s="147"/>
    </row>
    <row r="149" spans="2:14" ht="18" customHeight="1" x14ac:dyDescent="0.8">
      <c r="B149" s="206" t="str">
        <f>Summary!B146</f>
        <v>تیشرت عکس دار</v>
      </c>
      <c r="C149" s="144"/>
      <c r="D149" s="145">
        <f>Summary!C146</f>
        <v>10</v>
      </c>
      <c r="E149" s="145">
        <f>Summary!E146</f>
        <v>2000000</v>
      </c>
      <c r="F149" s="145">
        <f t="shared" si="6"/>
        <v>200000</v>
      </c>
      <c r="G149" s="145">
        <f>Summary!F146</f>
        <v>5</v>
      </c>
      <c r="H149" s="145">
        <f>Summary!G146</f>
        <v>1650000</v>
      </c>
      <c r="I149" s="145">
        <f t="shared" si="7"/>
        <v>330000</v>
      </c>
      <c r="J149" s="145">
        <f>Summary!I146</f>
        <v>5</v>
      </c>
      <c r="K149" s="146">
        <f t="shared" si="8"/>
        <v>1000000</v>
      </c>
      <c r="M149" s="13"/>
      <c r="N149" s="147"/>
    </row>
    <row r="150" spans="2:14" ht="18" customHeight="1" x14ac:dyDescent="0.8">
      <c r="B150" s="206" t="str">
        <f>Summary!B147</f>
        <v>کراپ قفل دار</v>
      </c>
      <c r="C150" s="144"/>
      <c r="D150" s="145">
        <f>Summary!C147</f>
        <v>10</v>
      </c>
      <c r="E150" s="145">
        <f>Summary!E147</f>
        <v>1110000</v>
      </c>
      <c r="F150" s="145">
        <f t="shared" si="6"/>
        <v>111000</v>
      </c>
      <c r="G150" s="145">
        <f>Summary!F147</f>
        <v>3</v>
      </c>
      <c r="H150" s="145">
        <f>Summary!G147</f>
        <v>350000</v>
      </c>
      <c r="I150" s="145">
        <f t="shared" si="7"/>
        <v>116666.66666666667</v>
      </c>
      <c r="J150" s="145">
        <f>Summary!I147</f>
        <v>7</v>
      </c>
      <c r="K150" s="146">
        <f t="shared" si="8"/>
        <v>777000</v>
      </c>
      <c r="M150" s="13"/>
      <c r="N150" s="147"/>
    </row>
    <row r="151" spans="2:14" ht="18" customHeight="1" x14ac:dyDescent="0.8">
      <c r="B151" s="206" t="str">
        <f>Summary!B148</f>
        <v>تاپ ووگ</v>
      </c>
      <c r="C151" s="144"/>
      <c r="D151" s="145">
        <f>Summary!C148</f>
        <v>10</v>
      </c>
      <c r="E151" s="145">
        <f>Summary!E148</f>
        <v>1740000</v>
      </c>
      <c r="F151" s="145">
        <f t="shared" si="6"/>
        <v>174000</v>
      </c>
      <c r="G151" s="145">
        <f>Summary!F148</f>
        <v>4</v>
      </c>
      <c r="H151" s="145">
        <f>Summary!G148</f>
        <v>1400000</v>
      </c>
      <c r="I151" s="145">
        <f t="shared" si="7"/>
        <v>350000</v>
      </c>
      <c r="J151" s="145">
        <f>Summary!I148</f>
        <v>6</v>
      </c>
      <c r="K151" s="146">
        <f t="shared" si="8"/>
        <v>1044000</v>
      </c>
      <c r="M151" s="13"/>
      <c r="N151" s="147"/>
    </row>
    <row r="152" spans="2:14" ht="18" customHeight="1" x14ac:dyDescent="0.8">
      <c r="B152" s="206" t="str">
        <f>Summary!B149</f>
        <v>دامن تور پلنگی</v>
      </c>
      <c r="C152" s="144"/>
      <c r="D152" s="145">
        <f>Summary!C149</f>
        <v>1</v>
      </c>
      <c r="E152" s="145">
        <f>Summary!E149</f>
        <v>290000</v>
      </c>
      <c r="F152" s="145">
        <f t="shared" si="6"/>
        <v>290000</v>
      </c>
      <c r="G152" s="145">
        <f>Summary!F149</f>
        <v>1</v>
      </c>
      <c r="H152" s="145">
        <f>Summary!G149</f>
        <v>850000</v>
      </c>
      <c r="I152" s="145">
        <f t="shared" si="7"/>
        <v>850000</v>
      </c>
      <c r="J152" s="145">
        <f>Summary!I149</f>
        <v>0</v>
      </c>
      <c r="K152" s="146">
        <f t="shared" si="8"/>
        <v>0</v>
      </c>
      <c r="M152" s="13"/>
      <c r="N152" s="147"/>
    </row>
    <row r="153" spans="2:14" ht="18" customHeight="1" x14ac:dyDescent="0.8">
      <c r="B153" s="206" t="str">
        <f>Summary!B150</f>
        <v>دامن تور پلنگی چین دار</v>
      </c>
      <c r="C153" s="144"/>
      <c r="D153" s="145">
        <f>Summary!C150</f>
        <v>1</v>
      </c>
      <c r="E153" s="145">
        <f>Summary!E150</f>
        <v>480000</v>
      </c>
      <c r="F153" s="145">
        <f t="shared" si="6"/>
        <v>480000</v>
      </c>
      <c r="G153" s="145">
        <f>Summary!F150</f>
        <v>0</v>
      </c>
      <c r="H153" s="145">
        <f>Summary!G150</f>
        <v>0</v>
      </c>
      <c r="I153" s="145">
        <f t="shared" si="7"/>
        <v>0</v>
      </c>
      <c r="J153" s="145">
        <f>Summary!I150</f>
        <v>1</v>
      </c>
      <c r="K153" s="146">
        <f t="shared" si="8"/>
        <v>480000</v>
      </c>
      <c r="M153" s="13"/>
      <c r="N153" s="147"/>
    </row>
    <row r="154" spans="2:14" ht="18" customHeight="1" x14ac:dyDescent="0.8">
      <c r="B154" s="206" t="str">
        <f>Summary!B151</f>
        <v>دامن تور ساده مشکی</v>
      </c>
      <c r="C154" s="144"/>
      <c r="D154" s="145">
        <f>Summary!C151</f>
        <v>1</v>
      </c>
      <c r="E154" s="145">
        <f>Summary!E151</f>
        <v>220000</v>
      </c>
      <c r="F154" s="145">
        <f t="shared" si="6"/>
        <v>220000</v>
      </c>
      <c r="G154" s="145">
        <f>Summary!F151</f>
        <v>1</v>
      </c>
      <c r="H154" s="145">
        <f>Summary!G151</f>
        <v>850000</v>
      </c>
      <c r="I154" s="145">
        <f t="shared" si="7"/>
        <v>850000</v>
      </c>
      <c r="J154" s="145">
        <f>Summary!I151</f>
        <v>0</v>
      </c>
      <c r="K154" s="146">
        <f t="shared" si="8"/>
        <v>0</v>
      </c>
      <c r="M154" s="13"/>
      <c r="N154" s="147"/>
    </row>
    <row r="155" spans="2:14" ht="18" customHeight="1" x14ac:dyDescent="0.8">
      <c r="B155" s="206" t="str">
        <f>Summary!B152</f>
        <v>تیشرت سالسا</v>
      </c>
      <c r="C155" s="144"/>
      <c r="D155" s="145">
        <f>Summary!C152</f>
        <v>17</v>
      </c>
      <c r="E155" s="145">
        <f>Summary!E152</f>
        <v>5900000</v>
      </c>
      <c r="F155" s="145">
        <f t="shared" si="6"/>
        <v>347058.82352941175</v>
      </c>
      <c r="G155" s="145">
        <f>Summary!F152</f>
        <v>19</v>
      </c>
      <c r="H155" s="145">
        <f>Summary!G152</f>
        <v>9200000</v>
      </c>
      <c r="I155" s="145">
        <f t="shared" si="7"/>
        <v>484210.5263157895</v>
      </c>
      <c r="J155" s="145">
        <f>Summary!I152</f>
        <v>-2</v>
      </c>
      <c r="K155" s="146">
        <f t="shared" si="8"/>
        <v>-694117.6470588235</v>
      </c>
      <c r="M155" s="13"/>
      <c r="N155" s="147"/>
    </row>
    <row r="156" spans="2:14" ht="18" customHeight="1" x14ac:dyDescent="0.8">
      <c r="B156" s="206" t="str">
        <f>Summary!B153</f>
        <v>ست مکرومه نیم تنه دامن</v>
      </c>
      <c r="C156" s="144"/>
      <c r="D156" s="145">
        <f>Summary!C153</f>
        <v>6</v>
      </c>
      <c r="E156" s="145">
        <f>Summary!E153</f>
        <v>4100000</v>
      </c>
      <c r="F156" s="145">
        <f t="shared" si="6"/>
        <v>683333.33333333337</v>
      </c>
      <c r="G156" s="145">
        <f>Summary!F153</f>
        <v>2</v>
      </c>
      <c r="H156" s="145">
        <f>Summary!G153</f>
        <v>1600000</v>
      </c>
      <c r="I156" s="145">
        <f t="shared" si="7"/>
        <v>800000</v>
      </c>
      <c r="J156" s="145">
        <f>Summary!I153</f>
        <v>4</v>
      </c>
      <c r="K156" s="146">
        <f t="shared" si="8"/>
        <v>2733333.3333333335</v>
      </c>
      <c r="M156" s="13"/>
      <c r="N156" s="147"/>
    </row>
    <row r="157" spans="2:14" ht="18" customHeight="1" x14ac:dyDescent="0.8">
      <c r="B157" s="206" t="str">
        <f>Summary!B154</f>
        <v>تاپ چشم نظر</v>
      </c>
      <c r="C157" s="144"/>
      <c r="D157" s="145">
        <f>Summary!C154</f>
        <v>8</v>
      </c>
      <c r="E157" s="145">
        <f>Summary!E154</f>
        <v>780000</v>
      </c>
      <c r="F157" s="145">
        <f t="shared" si="6"/>
        <v>97500</v>
      </c>
      <c r="G157" s="145">
        <f>Summary!F154</f>
        <v>5</v>
      </c>
      <c r="H157" s="145">
        <f>Summary!G154</f>
        <v>1650000</v>
      </c>
      <c r="I157" s="145">
        <f t="shared" si="7"/>
        <v>330000</v>
      </c>
      <c r="J157" s="145">
        <f>Summary!I154</f>
        <v>3</v>
      </c>
      <c r="K157" s="146">
        <f t="shared" si="8"/>
        <v>292500</v>
      </c>
      <c r="M157" s="13"/>
      <c r="N157" s="147"/>
    </row>
    <row r="158" spans="2:14" ht="18" customHeight="1" x14ac:dyDescent="0.8">
      <c r="B158" s="206" t="str">
        <f>Summary!B155</f>
        <v>شومیز سفید 1018</v>
      </c>
      <c r="C158" s="144"/>
      <c r="D158" s="145">
        <f>Summary!C155</f>
        <v>3</v>
      </c>
      <c r="E158" s="145">
        <f>Summary!E155</f>
        <v>1140000</v>
      </c>
      <c r="F158" s="145">
        <f t="shared" si="6"/>
        <v>380000</v>
      </c>
      <c r="G158" s="145">
        <f>Summary!F155</f>
        <v>1</v>
      </c>
      <c r="H158" s="145">
        <f>Summary!G155</f>
        <v>1200000</v>
      </c>
      <c r="I158" s="145">
        <f t="shared" si="7"/>
        <v>1200000</v>
      </c>
      <c r="J158" s="145">
        <f>Summary!I155</f>
        <v>2</v>
      </c>
      <c r="K158" s="146">
        <f t="shared" si="8"/>
        <v>760000</v>
      </c>
      <c r="M158" s="13"/>
      <c r="N158" s="147"/>
    </row>
    <row r="159" spans="2:14" ht="18" customHeight="1" x14ac:dyDescent="0.8">
      <c r="B159" s="206" t="str">
        <f>Summary!B156</f>
        <v>ست نیم تنه دامن ساتن 1006</v>
      </c>
      <c r="C159" s="144"/>
      <c r="D159" s="145">
        <f>Summary!C156</f>
        <v>3</v>
      </c>
      <c r="E159" s="145">
        <f>Summary!E156</f>
        <v>1590000</v>
      </c>
      <c r="F159" s="145">
        <f t="shared" si="6"/>
        <v>530000</v>
      </c>
      <c r="G159" s="145">
        <f>Summary!F156</f>
        <v>1</v>
      </c>
      <c r="H159" s="145">
        <f>Summary!G156</f>
        <v>1250000</v>
      </c>
      <c r="I159" s="145">
        <f t="shared" si="7"/>
        <v>1250000</v>
      </c>
      <c r="J159" s="145">
        <f>Summary!I156</f>
        <v>2</v>
      </c>
      <c r="K159" s="146">
        <f t="shared" si="8"/>
        <v>1060000</v>
      </c>
      <c r="M159" s="13"/>
      <c r="N159" s="147"/>
    </row>
    <row r="160" spans="2:14" ht="18" customHeight="1" x14ac:dyDescent="0.8">
      <c r="B160" s="206" t="str">
        <f>Summary!B157</f>
        <v>ست نیم تنه دامن گل بزرگ 1245</v>
      </c>
      <c r="C160" s="144"/>
      <c r="D160" s="145">
        <f>Summary!C157</f>
        <v>3</v>
      </c>
      <c r="E160" s="145">
        <f>Summary!E157</f>
        <v>2100000</v>
      </c>
      <c r="F160" s="145">
        <f t="shared" si="6"/>
        <v>700000</v>
      </c>
      <c r="G160" s="145">
        <f>Summary!F157</f>
        <v>1</v>
      </c>
      <c r="H160" s="145">
        <f>Summary!G157</f>
        <v>2480000</v>
      </c>
      <c r="I160" s="145">
        <f t="shared" si="7"/>
        <v>2480000</v>
      </c>
      <c r="J160" s="145">
        <f>Summary!I157</f>
        <v>2</v>
      </c>
      <c r="K160" s="146">
        <f t="shared" si="8"/>
        <v>1400000</v>
      </c>
      <c r="M160" s="13"/>
      <c r="N160" s="147"/>
    </row>
    <row r="161" spans="2:14" ht="18" customHeight="1" x14ac:dyDescent="0.8">
      <c r="B161" s="206" t="str">
        <f>Summary!B158</f>
        <v>کت کوتاه و دامن 1115</v>
      </c>
      <c r="C161" s="144"/>
      <c r="D161" s="145">
        <f>Summary!C158</f>
        <v>3</v>
      </c>
      <c r="E161" s="145">
        <f>Summary!E158</f>
        <v>1670000</v>
      </c>
      <c r="F161" s="145">
        <f t="shared" si="6"/>
        <v>556666.66666666663</v>
      </c>
      <c r="G161" s="145">
        <f>Summary!F158</f>
        <v>2</v>
      </c>
      <c r="H161" s="145">
        <f>Summary!G158</f>
        <v>3700000</v>
      </c>
      <c r="I161" s="145">
        <f t="shared" si="7"/>
        <v>1850000</v>
      </c>
      <c r="J161" s="145">
        <f>Summary!I158</f>
        <v>1</v>
      </c>
      <c r="K161" s="146">
        <f t="shared" si="8"/>
        <v>556666.66666666663</v>
      </c>
      <c r="M161" s="13"/>
      <c r="N161" s="147"/>
    </row>
    <row r="162" spans="2:14" ht="18" customHeight="1" x14ac:dyDescent="0.8">
      <c r="B162" s="206" t="str">
        <f>Summary!B159</f>
        <v>نیم تنه کار شده سنتی 808</v>
      </c>
      <c r="C162" s="144"/>
      <c r="D162" s="145">
        <f>Summary!C159</f>
        <v>4</v>
      </c>
      <c r="E162" s="145">
        <f>Summary!E159</f>
        <v>1320000</v>
      </c>
      <c r="F162" s="145">
        <f t="shared" si="6"/>
        <v>330000</v>
      </c>
      <c r="G162" s="145">
        <f>Summary!F159</f>
        <v>1</v>
      </c>
      <c r="H162" s="145">
        <f>Summary!G159</f>
        <v>500000</v>
      </c>
      <c r="I162" s="145">
        <f t="shared" si="7"/>
        <v>500000</v>
      </c>
      <c r="J162" s="145">
        <f>Summary!I159</f>
        <v>3</v>
      </c>
      <c r="K162" s="146">
        <f t="shared" si="8"/>
        <v>990000</v>
      </c>
      <c r="M162" s="13"/>
      <c r="N162" s="147"/>
    </row>
    <row r="163" spans="2:14" ht="18" customHeight="1" x14ac:dyDescent="0.8">
      <c r="B163" s="206" t="str">
        <f>Summary!B160</f>
        <v>مانتو پولکی</v>
      </c>
      <c r="C163" s="144"/>
      <c r="D163" s="145">
        <f>Summary!C160</f>
        <v>2</v>
      </c>
      <c r="E163" s="145">
        <f>Summary!E160</f>
        <v>2500000</v>
      </c>
      <c r="F163" s="145">
        <f t="shared" si="6"/>
        <v>1250000</v>
      </c>
      <c r="G163" s="145">
        <f>Summary!F160</f>
        <v>2</v>
      </c>
      <c r="H163" s="145">
        <f>Summary!G160</f>
        <v>4100000</v>
      </c>
      <c r="I163" s="145">
        <f t="shared" si="7"/>
        <v>2050000</v>
      </c>
      <c r="J163" s="145">
        <f>Summary!I160</f>
        <v>0</v>
      </c>
      <c r="K163" s="146">
        <f t="shared" si="8"/>
        <v>0</v>
      </c>
      <c r="M163" s="13"/>
      <c r="N163" s="147"/>
    </row>
    <row r="164" spans="2:14" ht="18" customHeight="1" x14ac:dyDescent="0.8">
      <c r="B164" s="206" t="str">
        <f>Summary!B161</f>
        <v>تاپ پرادا</v>
      </c>
      <c r="C164" s="144"/>
      <c r="D164" s="145">
        <f>Summary!C161</f>
        <v>6</v>
      </c>
      <c r="E164" s="145">
        <f>Summary!E161</f>
        <v>1308000</v>
      </c>
      <c r="F164" s="145">
        <f t="shared" si="6"/>
        <v>218000</v>
      </c>
      <c r="G164" s="145">
        <f>Summary!F161</f>
        <v>2</v>
      </c>
      <c r="H164" s="145">
        <f>Summary!G161</f>
        <v>950000</v>
      </c>
      <c r="I164" s="145">
        <f t="shared" si="7"/>
        <v>475000</v>
      </c>
      <c r="J164" s="145">
        <f>Summary!I161</f>
        <v>4</v>
      </c>
      <c r="K164" s="146">
        <f t="shared" si="8"/>
        <v>872000</v>
      </c>
      <c r="M164" s="13"/>
      <c r="N164" s="147"/>
    </row>
    <row r="165" spans="2:14" ht="18" customHeight="1" x14ac:dyDescent="0.8">
      <c r="B165" s="206" t="str">
        <f>Summary!B162</f>
        <v>تاپ گل تک</v>
      </c>
      <c r="C165" s="144"/>
      <c r="D165" s="145">
        <f>Summary!C162</f>
        <v>6</v>
      </c>
      <c r="E165" s="145">
        <f>Summary!E162</f>
        <v>1788000</v>
      </c>
      <c r="F165" s="145">
        <f t="shared" si="6"/>
        <v>298000</v>
      </c>
      <c r="G165" s="145">
        <f>Summary!F162</f>
        <v>6</v>
      </c>
      <c r="H165" s="145">
        <f>Summary!G162</f>
        <v>3900000</v>
      </c>
      <c r="I165" s="145">
        <f t="shared" si="7"/>
        <v>650000</v>
      </c>
      <c r="J165" s="145">
        <f>Summary!I162</f>
        <v>0</v>
      </c>
      <c r="K165" s="146">
        <f t="shared" si="8"/>
        <v>0</v>
      </c>
      <c r="M165" s="13"/>
      <c r="N165" s="147"/>
    </row>
    <row r="166" spans="2:14" ht="18" customHeight="1" x14ac:dyDescent="0.8">
      <c r="B166" s="206" t="str">
        <f>Summary!B163</f>
        <v>تاپ والنسی</v>
      </c>
      <c r="C166" s="144"/>
      <c r="D166" s="145">
        <f>Summary!C163</f>
        <v>6</v>
      </c>
      <c r="E166" s="145">
        <f>Summary!E163</f>
        <v>1308000</v>
      </c>
      <c r="F166" s="145">
        <f t="shared" si="6"/>
        <v>218000</v>
      </c>
      <c r="G166" s="145">
        <f>Summary!F163</f>
        <v>4</v>
      </c>
      <c r="H166" s="145">
        <f>Summary!G163</f>
        <v>1950000</v>
      </c>
      <c r="I166" s="145">
        <f t="shared" si="7"/>
        <v>487500</v>
      </c>
      <c r="J166" s="145">
        <f>Summary!I163</f>
        <v>2</v>
      </c>
      <c r="K166" s="146">
        <f t="shared" si="8"/>
        <v>436000</v>
      </c>
      <c r="M166" s="13"/>
      <c r="N166" s="147"/>
    </row>
    <row r="167" spans="2:14" ht="18" customHeight="1" x14ac:dyDescent="0.8">
      <c r="B167" s="206" t="str">
        <f>Summary!B164</f>
        <v>شومیز بافت کوتاه</v>
      </c>
      <c r="C167" s="144"/>
      <c r="D167" s="145">
        <f>Summary!C164</f>
        <v>1</v>
      </c>
      <c r="E167" s="145">
        <f>Summary!E164</f>
        <v>350000</v>
      </c>
      <c r="F167" s="145">
        <f t="shared" si="6"/>
        <v>350000</v>
      </c>
      <c r="G167" s="145">
        <f>Summary!F164</f>
        <v>1</v>
      </c>
      <c r="H167" s="145">
        <f>Summary!G164</f>
        <v>600000</v>
      </c>
      <c r="I167" s="145">
        <f t="shared" si="7"/>
        <v>600000</v>
      </c>
      <c r="J167" s="145">
        <f>Summary!I164</f>
        <v>0</v>
      </c>
      <c r="K167" s="146">
        <f t="shared" si="8"/>
        <v>0</v>
      </c>
      <c r="M167" s="13"/>
      <c r="N167" s="147"/>
    </row>
    <row r="168" spans="2:14" ht="18" customHeight="1" x14ac:dyDescent="0.8">
      <c r="B168" s="206" t="str">
        <f>Summary!B165</f>
        <v>ست نیم تنه دامن ایتالیایی</v>
      </c>
      <c r="C168" s="144"/>
      <c r="D168" s="145">
        <f>Summary!C165</f>
        <v>9</v>
      </c>
      <c r="E168" s="145">
        <f>Summary!E165</f>
        <v>7920000</v>
      </c>
      <c r="F168" s="145">
        <f t="shared" si="6"/>
        <v>880000</v>
      </c>
      <c r="G168" s="145">
        <f>Summary!F165</f>
        <v>3</v>
      </c>
      <c r="H168" s="145">
        <f>Summary!G165</f>
        <v>3500000</v>
      </c>
      <c r="I168" s="145">
        <f t="shared" si="7"/>
        <v>1166666.6666666667</v>
      </c>
      <c r="J168" s="145">
        <f>Summary!I165</f>
        <v>6</v>
      </c>
      <c r="K168" s="146">
        <f t="shared" si="8"/>
        <v>5280000</v>
      </c>
      <c r="M168" s="13"/>
      <c r="N168" s="147"/>
    </row>
    <row r="169" spans="2:14" ht="18" customHeight="1" x14ac:dyDescent="0.8">
      <c r="B169" s="206" t="str">
        <f>Summary!B166</f>
        <v>نیم تنه ایتالیایی</v>
      </c>
      <c r="C169" s="144"/>
      <c r="D169" s="145">
        <f>Summary!C166</f>
        <v>1</v>
      </c>
      <c r="E169" s="145">
        <f>Summary!E166</f>
        <v>380000</v>
      </c>
      <c r="F169" s="145">
        <f t="shared" si="6"/>
        <v>380000</v>
      </c>
      <c r="G169" s="145">
        <f>Summary!F166</f>
        <v>1</v>
      </c>
      <c r="H169" s="145">
        <f>Summary!G166</f>
        <v>500000</v>
      </c>
      <c r="I169" s="145">
        <f t="shared" si="7"/>
        <v>500000</v>
      </c>
      <c r="J169" s="145">
        <f>Summary!I166</f>
        <v>0</v>
      </c>
      <c r="K169" s="146">
        <f t="shared" si="8"/>
        <v>0</v>
      </c>
      <c r="M169" s="13"/>
      <c r="N169" s="147"/>
    </row>
    <row r="170" spans="2:14" ht="18" customHeight="1" x14ac:dyDescent="0.8">
      <c r="B170" s="206" t="str">
        <f>Summary!B167</f>
        <v>دامن ایتالیایی</v>
      </c>
      <c r="C170" s="144"/>
      <c r="D170" s="145">
        <f>Summary!C167</f>
        <v>1</v>
      </c>
      <c r="E170" s="145">
        <f>Summary!E167</f>
        <v>500000</v>
      </c>
      <c r="F170" s="145">
        <f t="shared" si="6"/>
        <v>500000</v>
      </c>
      <c r="G170" s="145">
        <f>Summary!F167</f>
        <v>1</v>
      </c>
      <c r="H170" s="145">
        <f>Summary!G167</f>
        <v>700000</v>
      </c>
      <c r="I170" s="145">
        <f t="shared" si="7"/>
        <v>700000</v>
      </c>
      <c r="J170" s="145">
        <f>Summary!I167</f>
        <v>0</v>
      </c>
      <c r="K170" s="146">
        <f t="shared" si="8"/>
        <v>0</v>
      </c>
      <c r="M170" s="13"/>
      <c r="N170" s="147"/>
    </row>
    <row r="171" spans="2:14" ht="18" customHeight="1" x14ac:dyDescent="0.8">
      <c r="B171" s="206" t="str">
        <f>Summary!B168</f>
        <v>بلرسود</v>
      </c>
      <c r="C171" s="144"/>
      <c r="D171" s="145">
        <f>Summary!C168</f>
        <v>4</v>
      </c>
      <c r="E171" s="145">
        <f>Summary!E168</f>
        <v>3520000</v>
      </c>
      <c r="F171" s="145">
        <f t="shared" si="6"/>
        <v>880000</v>
      </c>
      <c r="G171" s="145">
        <f>Summary!F168</f>
        <v>1</v>
      </c>
      <c r="H171" s="145">
        <f>Summary!G168</f>
        <v>1100000</v>
      </c>
      <c r="I171" s="145">
        <f t="shared" si="7"/>
        <v>1100000</v>
      </c>
      <c r="J171" s="145">
        <f>Summary!I168</f>
        <v>3</v>
      </c>
      <c r="K171" s="146">
        <f t="shared" si="8"/>
        <v>2640000</v>
      </c>
      <c r="M171" s="13"/>
      <c r="N171" s="147"/>
    </row>
    <row r="172" spans="2:14" ht="18" customHeight="1" x14ac:dyDescent="0.8">
      <c r="B172" s="206" t="str">
        <f>Summary!B169</f>
        <v>شومیز رنگی Tork</v>
      </c>
      <c r="C172" s="144"/>
      <c r="D172" s="145">
        <f>Summary!C169</f>
        <v>7</v>
      </c>
      <c r="E172" s="145">
        <f>Summary!E169</f>
        <v>6895000</v>
      </c>
      <c r="F172" s="145">
        <f t="shared" si="6"/>
        <v>985000</v>
      </c>
      <c r="G172" s="145">
        <f>Summary!F169</f>
        <v>4</v>
      </c>
      <c r="H172" s="145">
        <f>Summary!G169</f>
        <v>5890000</v>
      </c>
      <c r="I172" s="145">
        <f t="shared" si="7"/>
        <v>1472500</v>
      </c>
      <c r="J172" s="145">
        <f>Summary!I169</f>
        <v>3</v>
      </c>
      <c r="K172" s="146">
        <f t="shared" si="8"/>
        <v>2955000</v>
      </c>
      <c r="M172" s="13"/>
      <c r="N172" s="147"/>
    </row>
    <row r="173" spans="2:14" ht="18" customHeight="1" x14ac:dyDescent="0.8">
      <c r="B173" s="206" t="str">
        <f>Summary!B170</f>
        <v>بلوز سفید عبدو</v>
      </c>
      <c r="C173" s="144"/>
      <c r="D173" s="145">
        <f>Summary!C170</f>
        <v>3</v>
      </c>
      <c r="E173" s="145">
        <f>Summary!E170</f>
        <v>525000</v>
      </c>
      <c r="F173" s="145">
        <f t="shared" si="6"/>
        <v>175000</v>
      </c>
      <c r="G173" s="145">
        <f>Summary!F170</f>
        <v>2</v>
      </c>
      <c r="H173" s="145">
        <f>Summary!G170</f>
        <v>1500000</v>
      </c>
      <c r="I173" s="145">
        <f t="shared" si="7"/>
        <v>750000</v>
      </c>
      <c r="J173" s="145">
        <f>Summary!I170</f>
        <v>1</v>
      </c>
      <c r="K173" s="146">
        <f t="shared" si="8"/>
        <v>175000</v>
      </c>
      <c r="M173" s="13"/>
      <c r="N173" s="147"/>
    </row>
    <row r="174" spans="2:14" ht="18" customHeight="1" x14ac:dyDescent="0.8">
      <c r="B174" s="206" t="str">
        <f>Summary!B171</f>
        <v>پیراهن کرم کوتاه عبدو</v>
      </c>
      <c r="C174" s="144"/>
      <c r="D174" s="145">
        <f>Summary!C171</f>
        <v>1</v>
      </c>
      <c r="E174" s="145">
        <f>Summary!E171</f>
        <v>450000</v>
      </c>
      <c r="F174" s="145">
        <f t="shared" si="6"/>
        <v>450000</v>
      </c>
      <c r="G174" s="145">
        <f>Summary!F171</f>
        <v>0</v>
      </c>
      <c r="H174" s="145">
        <f>Summary!G171</f>
        <v>0</v>
      </c>
      <c r="I174" s="145">
        <f t="shared" si="7"/>
        <v>0</v>
      </c>
      <c r="J174" s="145">
        <f>Summary!I171</f>
        <v>1</v>
      </c>
      <c r="K174" s="146">
        <f t="shared" si="8"/>
        <v>450000</v>
      </c>
      <c r="M174" s="13"/>
      <c r="N174" s="147"/>
    </row>
    <row r="175" spans="2:14" ht="18" customHeight="1" x14ac:dyDescent="0.8">
      <c r="B175" s="206" t="str">
        <f>Summary!B172</f>
        <v>دامن کمردار عبدو</v>
      </c>
      <c r="C175" s="144"/>
      <c r="D175" s="145">
        <f>Summary!C172</f>
        <v>1</v>
      </c>
      <c r="E175" s="145">
        <f>Summary!E172</f>
        <v>1100000</v>
      </c>
      <c r="F175" s="145">
        <f t="shared" si="6"/>
        <v>1100000</v>
      </c>
      <c r="G175" s="145">
        <f>Summary!F172</f>
        <v>1</v>
      </c>
      <c r="H175" s="145">
        <f>Summary!G172</f>
        <v>1600000</v>
      </c>
      <c r="I175" s="145">
        <f t="shared" si="7"/>
        <v>1600000</v>
      </c>
      <c r="J175" s="145">
        <f>Summary!I172</f>
        <v>0</v>
      </c>
      <c r="K175" s="146">
        <f t="shared" si="8"/>
        <v>0</v>
      </c>
      <c r="M175" s="13"/>
      <c r="N175" s="147"/>
    </row>
    <row r="176" spans="2:14" ht="18" customHeight="1" x14ac:dyDescent="0.8">
      <c r="B176" s="206" t="str">
        <f>Summary!B173</f>
        <v>شلوار مشکی Pery</v>
      </c>
      <c r="C176" s="144"/>
      <c r="D176" s="145">
        <f>Summary!C173</f>
        <v>5</v>
      </c>
      <c r="E176" s="145">
        <f>Summary!E173</f>
        <v>7750000</v>
      </c>
      <c r="F176" s="145">
        <f t="shared" si="6"/>
        <v>1550000</v>
      </c>
      <c r="G176" s="145">
        <f>Summary!F173</f>
        <v>2</v>
      </c>
      <c r="H176" s="145">
        <f>Summary!G173</f>
        <v>4000000</v>
      </c>
      <c r="I176" s="145">
        <f t="shared" si="7"/>
        <v>2000000</v>
      </c>
      <c r="J176" s="145">
        <f>Summary!I173</f>
        <v>3</v>
      </c>
      <c r="K176" s="146">
        <f t="shared" si="8"/>
        <v>4650000</v>
      </c>
      <c r="M176" s="13"/>
      <c r="N176" s="147"/>
    </row>
    <row r="177" spans="2:14" ht="18" customHeight="1" x14ac:dyDescent="0.8">
      <c r="B177" s="206" t="str">
        <f>Summary!B174</f>
        <v>شومیز Prey عبدو</v>
      </c>
      <c r="C177" s="144"/>
      <c r="D177" s="145">
        <f>Summary!C174</f>
        <v>18</v>
      </c>
      <c r="E177" s="145">
        <f>Summary!E174</f>
        <v>18620000</v>
      </c>
      <c r="F177" s="145">
        <f t="shared" si="6"/>
        <v>1034444.4444444445</v>
      </c>
      <c r="G177" s="145">
        <f>Summary!F174</f>
        <v>18</v>
      </c>
      <c r="H177" s="145">
        <f>Summary!G174</f>
        <v>26020000</v>
      </c>
      <c r="I177" s="145">
        <f t="shared" si="7"/>
        <v>1445555.5555555555</v>
      </c>
      <c r="J177" s="145">
        <f>Summary!I174</f>
        <v>0</v>
      </c>
      <c r="K177" s="146">
        <f t="shared" si="8"/>
        <v>0</v>
      </c>
      <c r="M177" s="13"/>
      <c r="N177" s="147"/>
    </row>
    <row r="178" spans="2:14" ht="18" customHeight="1" x14ac:dyDescent="0.8">
      <c r="B178" s="206" t="str">
        <f>Summary!B175</f>
        <v>شومیز Prey طرح دار</v>
      </c>
      <c r="C178" s="144"/>
      <c r="D178" s="145">
        <f>Summary!C175</f>
        <v>1</v>
      </c>
      <c r="E178" s="145">
        <f>Summary!E175</f>
        <v>1150000</v>
      </c>
      <c r="F178" s="145">
        <f t="shared" si="6"/>
        <v>1150000</v>
      </c>
      <c r="G178" s="145">
        <f>Summary!F175</f>
        <v>1</v>
      </c>
      <c r="H178" s="145">
        <f>Summary!G175</f>
        <v>1900000</v>
      </c>
      <c r="I178" s="145">
        <f t="shared" si="7"/>
        <v>1900000</v>
      </c>
      <c r="J178" s="145">
        <f>Summary!I175</f>
        <v>0</v>
      </c>
      <c r="K178" s="146">
        <f t="shared" si="8"/>
        <v>0</v>
      </c>
      <c r="M178" s="13"/>
      <c r="N178" s="147"/>
    </row>
    <row r="179" spans="2:14" ht="18" customHeight="1" x14ac:dyDescent="0.8">
      <c r="B179" s="206" t="str">
        <f>Summary!B176</f>
        <v>شلوار کج راه پاکتی مشکی عبدو</v>
      </c>
      <c r="C179" s="144"/>
      <c r="D179" s="145">
        <f>Summary!C176</f>
        <v>3</v>
      </c>
      <c r="E179" s="145">
        <f>Summary!E176</f>
        <v>2700000</v>
      </c>
      <c r="F179" s="145">
        <f t="shared" si="6"/>
        <v>900000</v>
      </c>
      <c r="G179" s="145">
        <f>Summary!F176</f>
        <v>4</v>
      </c>
      <c r="H179" s="145">
        <f>Summary!G176</f>
        <v>5200000</v>
      </c>
      <c r="I179" s="145">
        <f t="shared" si="7"/>
        <v>1300000</v>
      </c>
      <c r="J179" s="145">
        <f>Summary!I176</f>
        <v>-1</v>
      </c>
      <c r="K179" s="146">
        <f t="shared" si="8"/>
        <v>-900000</v>
      </c>
      <c r="M179" s="13"/>
      <c r="N179" s="147"/>
    </row>
    <row r="180" spans="2:14" ht="18" customHeight="1" x14ac:dyDescent="0.8">
      <c r="B180" s="206" t="str">
        <f>Summary!B177</f>
        <v>پیراهن طرحدار کوتاه عبدو</v>
      </c>
      <c r="C180" s="144"/>
      <c r="D180" s="145">
        <f>Summary!C177</f>
        <v>2</v>
      </c>
      <c r="E180" s="145">
        <f>Summary!E177</f>
        <v>1700000</v>
      </c>
      <c r="F180" s="145">
        <f t="shared" si="6"/>
        <v>850000</v>
      </c>
      <c r="G180" s="145">
        <f>Summary!F177</f>
        <v>2</v>
      </c>
      <c r="H180" s="145">
        <f>Summary!G177</f>
        <v>2300000</v>
      </c>
      <c r="I180" s="145">
        <f t="shared" si="7"/>
        <v>1150000</v>
      </c>
      <c r="J180" s="145">
        <f>Summary!I177</f>
        <v>0</v>
      </c>
      <c r="K180" s="146">
        <f t="shared" si="8"/>
        <v>0</v>
      </c>
      <c r="M180" s="13"/>
      <c r="N180" s="147"/>
    </row>
    <row r="181" spans="2:14" ht="18" customHeight="1" x14ac:dyDescent="0.8">
      <c r="B181" s="206" t="str">
        <f>Summary!B178</f>
        <v>شلوارک و شومیز کوتاه عبدو</v>
      </c>
      <c r="C181" s="144"/>
      <c r="D181" s="145">
        <f>Summary!C178</f>
        <v>1</v>
      </c>
      <c r="E181" s="145">
        <f>Summary!E178</f>
        <v>1150000</v>
      </c>
      <c r="F181" s="145">
        <f t="shared" si="6"/>
        <v>1150000</v>
      </c>
      <c r="G181" s="145">
        <f>Summary!F178</f>
        <v>1</v>
      </c>
      <c r="H181" s="145">
        <f>Summary!G178</f>
        <v>1300000</v>
      </c>
      <c r="I181" s="145">
        <f t="shared" si="7"/>
        <v>1300000</v>
      </c>
      <c r="J181" s="145">
        <f>Summary!I178</f>
        <v>0</v>
      </c>
      <c r="K181" s="146">
        <f t="shared" si="8"/>
        <v>0</v>
      </c>
      <c r="M181" s="13"/>
      <c r="N181" s="147"/>
    </row>
    <row r="182" spans="2:14" ht="18" customHeight="1" x14ac:dyDescent="0.8">
      <c r="B182" s="206" t="str">
        <f>Summary!B179</f>
        <v>پیراهن شلواری کوتاه عبدو</v>
      </c>
      <c r="C182" s="144"/>
      <c r="D182" s="145">
        <f>Summary!C179</f>
        <v>1</v>
      </c>
      <c r="E182" s="145">
        <f>Summary!E179</f>
        <v>850000</v>
      </c>
      <c r="F182" s="145">
        <f t="shared" si="6"/>
        <v>850000</v>
      </c>
      <c r="G182" s="145">
        <f>Summary!F179</f>
        <v>1</v>
      </c>
      <c r="H182" s="145">
        <f>Summary!G179</f>
        <v>1200000</v>
      </c>
      <c r="I182" s="145">
        <f t="shared" si="7"/>
        <v>1200000</v>
      </c>
      <c r="J182" s="145">
        <f>Summary!I179</f>
        <v>0</v>
      </c>
      <c r="K182" s="146">
        <f t="shared" si="8"/>
        <v>0</v>
      </c>
      <c r="M182" s="13"/>
      <c r="N182" s="147"/>
    </row>
    <row r="183" spans="2:14" ht="18" customHeight="1" x14ac:dyDescent="0.8">
      <c r="B183" s="206" t="str">
        <f>Summary!B180</f>
        <v>پیراهن کوتاه سفید مجلسی عبدو</v>
      </c>
      <c r="C183" s="144"/>
      <c r="D183" s="145">
        <f>Summary!C180</f>
        <v>1</v>
      </c>
      <c r="E183" s="145">
        <f>Summary!E180</f>
        <v>500000</v>
      </c>
      <c r="F183" s="145">
        <f t="shared" si="6"/>
        <v>500000</v>
      </c>
      <c r="G183" s="145">
        <f>Summary!F180</f>
        <v>0</v>
      </c>
      <c r="H183" s="145">
        <f>Summary!G180</f>
        <v>0</v>
      </c>
      <c r="I183" s="145">
        <f t="shared" si="7"/>
        <v>0</v>
      </c>
      <c r="J183" s="145">
        <f>Summary!I180</f>
        <v>1</v>
      </c>
      <c r="K183" s="146">
        <f t="shared" si="8"/>
        <v>500000</v>
      </c>
      <c r="M183" s="13"/>
      <c r="N183" s="147"/>
    </row>
    <row r="184" spans="2:14" ht="18" customHeight="1" x14ac:dyDescent="0.8">
      <c r="B184" s="206" t="str">
        <f>Summary!B181</f>
        <v>شلوار کرم لنین عبدو</v>
      </c>
      <c r="C184" s="144"/>
      <c r="D184" s="145">
        <f>Summary!C181</f>
        <v>2</v>
      </c>
      <c r="E184" s="145">
        <f>Summary!E181</f>
        <v>2400000</v>
      </c>
      <c r="F184" s="145">
        <f t="shared" si="6"/>
        <v>1200000</v>
      </c>
      <c r="G184" s="145">
        <f>Summary!F181</f>
        <v>1</v>
      </c>
      <c r="H184" s="145">
        <f>Summary!G181</f>
        <v>1800000</v>
      </c>
      <c r="I184" s="145">
        <f t="shared" si="7"/>
        <v>1800000</v>
      </c>
      <c r="J184" s="145">
        <f>Summary!I181</f>
        <v>1</v>
      </c>
      <c r="K184" s="146">
        <f t="shared" si="8"/>
        <v>1200000</v>
      </c>
      <c r="M184" s="13"/>
      <c r="N184" s="147"/>
    </row>
    <row r="185" spans="2:14" ht="18" customHeight="1" x14ac:dyDescent="0.8">
      <c r="B185" s="206" t="str">
        <f>Summary!B182</f>
        <v>دامن کرم عبدو</v>
      </c>
      <c r="C185" s="144"/>
      <c r="D185" s="145">
        <f>Summary!C182</f>
        <v>1</v>
      </c>
      <c r="E185" s="145">
        <f>Summary!E182</f>
        <v>700000</v>
      </c>
      <c r="F185" s="145">
        <f t="shared" si="6"/>
        <v>700000</v>
      </c>
      <c r="G185" s="145">
        <f>Summary!F182</f>
        <v>1</v>
      </c>
      <c r="H185" s="145">
        <f>Summary!G182</f>
        <v>1100000</v>
      </c>
      <c r="I185" s="145">
        <f t="shared" si="7"/>
        <v>1100000</v>
      </c>
      <c r="J185" s="145">
        <f>Summary!I182</f>
        <v>0</v>
      </c>
      <c r="K185" s="146">
        <f t="shared" si="8"/>
        <v>0</v>
      </c>
      <c r="M185" s="13"/>
      <c r="N185" s="147"/>
    </row>
    <row r="186" spans="2:14" ht="18" customHeight="1" x14ac:dyDescent="0.8">
      <c r="B186" s="206" t="str">
        <f>Summary!B183</f>
        <v>کت تک - کت دامن مشکی عبدو</v>
      </c>
      <c r="C186" s="144"/>
      <c r="D186" s="145">
        <f>Summary!C183</f>
        <v>1</v>
      </c>
      <c r="E186" s="145">
        <f>Summary!E183</f>
        <v>1000000</v>
      </c>
      <c r="F186" s="145">
        <f t="shared" si="6"/>
        <v>1000000</v>
      </c>
      <c r="G186" s="145">
        <f>Summary!F183</f>
        <v>1</v>
      </c>
      <c r="H186" s="145">
        <f>Summary!G183</f>
        <v>1500000</v>
      </c>
      <c r="I186" s="145">
        <f t="shared" si="7"/>
        <v>1500000</v>
      </c>
      <c r="J186" s="145">
        <f>Summary!I183</f>
        <v>0</v>
      </c>
      <c r="K186" s="146">
        <f t="shared" si="8"/>
        <v>0</v>
      </c>
      <c r="M186" s="13"/>
      <c r="N186" s="147"/>
    </row>
    <row r="187" spans="2:14" ht="18" customHeight="1" x14ac:dyDescent="0.8">
      <c r="B187" s="206" t="str">
        <f>Summary!B184</f>
        <v>دامن تک - کت دامن مشکی عبدو</v>
      </c>
      <c r="C187" s="144"/>
      <c r="D187" s="145">
        <f>Summary!C184</f>
        <v>1</v>
      </c>
      <c r="E187" s="145">
        <f>Summary!E184</f>
        <v>900000</v>
      </c>
      <c r="F187" s="145">
        <f t="shared" si="6"/>
        <v>900000</v>
      </c>
      <c r="G187" s="145">
        <f>Summary!F184</f>
        <v>1</v>
      </c>
      <c r="H187" s="145">
        <f>Summary!G184</f>
        <v>1500000</v>
      </c>
      <c r="I187" s="145">
        <f t="shared" si="7"/>
        <v>1500000</v>
      </c>
      <c r="J187" s="145">
        <f>Summary!I184</f>
        <v>0</v>
      </c>
      <c r="K187" s="146">
        <f t="shared" si="8"/>
        <v>0</v>
      </c>
      <c r="M187" s="13"/>
      <c r="N187" s="147"/>
    </row>
    <row r="188" spans="2:14" ht="18" customHeight="1" x14ac:dyDescent="0.8">
      <c r="B188" s="206" t="str">
        <f>Summary!B185</f>
        <v>کت دامن مشکی عبدو</v>
      </c>
      <c r="C188" s="144"/>
      <c r="D188" s="145">
        <f>Summary!C185</f>
        <v>1</v>
      </c>
      <c r="E188" s="145">
        <f>Summary!E185</f>
        <v>1900000</v>
      </c>
      <c r="F188" s="145">
        <f t="shared" si="6"/>
        <v>1900000</v>
      </c>
      <c r="G188" s="145">
        <f>Summary!F185</f>
        <v>1</v>
      </c>
      <c r="H188" s="145">
        <f>Summary!G185</f>
        <v>2500000</v>
      </c>
      <c r="I188" s="145">
        <f t="shared" si="7"/>
        <v>2500000</v>
      </c>
      <c r="J188" s="145">
        <f>Summary!I185</f>
        <v>0</v>
      </c>
      <c r="K188" s="146">
        <f t="shared" si="8"/>
        <v>0</v>
      </c>
      <c r="M188" s="13"/>
      <c r="N188" s="147"/>
    </row>
    <row r="189" spans="2:14" ht="18" customHeight="1" x14ac:dyDescent="0.8">
      <c r="B189" s="206" t="str">
        <f>Summary!B186</f>
        <v>تیشرت چین</v>
      </c>
      <c r="C189" s="144"/>
      <c r="D189" s="145">
        <f>Summary!C186</f>
        <v>3</v>
      </c>
      <c r="E189" s="145">
        <f>Summary!E186</f>
        <v>0</v>
      </c>
      <c r="F189" s="145">
        <f t="shared" si="6"/>
        <v>0</v>
      </c>
      <c r="G189" s="145">
        <f>Summary!F186</f>
        <v>1</v>
      </c>
      <c r="H189" s="145">
        <f>Summary!G186</f>
        <v>1100000</v>
      </c>
      <c r="I189" s="145">
        <f t="shared" si="7"/>
        <v>1100000</v>
      </c>
      <c r="J189" s="145">
        <f>Summary!I186</f>
        <v>2</v>
      </c>
      <c r="K189" s="146">
        <f t="shared" si="8"/>
        <v>0</v>
      </c>
      <c r="M189" s="13"/>
      <c r="N189" s="147"/>
    </row>
    <row r="190" spans="2:14" ht="18" customHeight="1" x14ac:dyDescent="0.8">
      <c r="B190" s="206" t="str">
        <f>Summary!B187</f>
        <v>مانتو مهناز</v>
      </c>
      <c r="C190" s="144"/>
      <c r="D190" s="145">
        <f>Summary!C187</f>
        <v>2</v>
      </c>
      <c r="E190" s="145">
        <f>Summary!E187</f>
        <v>1000000</v>
      </c>
      <c r="F190" s="145">
        <f t="shared" si="6"/>
        <v>500000</v>
      </c>
      <c r="G190" s="145">
        <f>Summary!F187</f>
        <v>1</v>
      </c>
      <c r="H190" s="145">
        <f>Summary!G187</f>
        <v>750000</v>
      </c>
      <c r="I190" s="145">
        <f t="shared" si="7"/>
        <v>750000</v>
      </c>
      <c r="J190" s="145">
        <f>Summary!I187</f>
        <v>1</v>
      </c>
      <c r="K190" s="146">
        <f t="shared" si="8"/>
        <v>500000</v>
      </c>
      <c r="M190" s="13"/>
      <c r="N190" s="147"/>
    </row>
    <row r="191" spans="2:14" ht="18" customHeight="1" x14ac:dyDescent="0.8">
      <c r="B191" s="206" t="str">
        <f>Summary!B188</f>
        <v>سرهمی خودم</v>
      </c>
      <c r="C191" s="144"/>
      <c r="D191" s="145">
        <f>Summary!C188</f>
        <v>1</v>
      </c>
      <c r="E191" s="145">
        <f>Summary!E188</f>
        <v>0</v>
      </c>
      <c r="F191" s="145">
        <f t="shared" si="6"/>
        <v>0</v>
      </c>
      <c r="G191" s="145">
        <f>Summary!F188</f>
        <v>1</v>
      </c>
      <c r="H191" s="145">
        <f>Summary!G188</f>
        <v>500000</v>
      </c>
      <c r="I191" s="145">
        <f t="shared" si="7"/>
        <v>500000</v>
      </c>
      <c r="J191" s="145">
        <f>Summary!I188</f>
        <v>0</v>
      </c>
      <c r="K191" s="146">
        <f t="shared" si="8"/>
        <v>0</v>
      </c>
      <c r="M191" s="13"/>
      <c r="N191" s="147"/>
    </row>
    <row r="192" spans="2:14" ht="18" customHeight="1" x14ac:dyDescent="0.8">
      <c r="B192" s="206" t="str">
        <f>Summary!B189</f>
        <v>پیراهن حریر گلدار</v>
      </c>
      <c r="C192" s="144"/>
      <c r="D192" s="145">
        <f>Summary!C189</f>
        <v>5</v>
      </c>
      <c r="E192" s="145">
        <f>Summary!E189</f>
        <v>2250000</v>
      </c>
      <c r="F192" s="145">
        <f t="shared" si="6"/>
        <v>450000</v>
      </c>
      <c r="G192" s="145">
        <f>Summary!F189</f>
        <v>3</v>
      </c>
      <c r="H192" s="145">
        <f>Summary!G189</f>
        <v>3400000</v>
      </c>
      <c r="I192" s="145">
        <f t="shared" si="7"/>
        <v>1133333.3333333333</v>
      </c>
      <c r="J192" s="145">
        <f>Summary!I189</f>
        <v>2</v>
      </c>
      <c r="K192" s="146">
        <f t="shared" si="8"/>
        <v>900000</v>
      </c>
      <c r="M192" s="13"/>
      <c r="N192" s="147"/>
    </row>
    <row r="193" spans="2:14" ht="18" customHeight="1" x14ac:dyDescent="0.8">
      <c r="B193" s="206" t="e">
        <f>Summary!#REF!</f>
        <v>#REF!</v>
      </c>
      <c r="C193" s="144"/>
      <c r="D193" s="145" t="e">
        <f>Summary!#REF!</f>
        <v>#REF!</v>
      </c>
      <c r="E193" s="145" t="e">
        <f>Summary!#REF!</f>
        <v>#REF!</v>
      </c>
      <c r="F193" s="145">
        <f t="shared" si="6"/>
        <v>0</v>
      </c>
      <c r="G193" s="145" t="e">
        <f>Summary!#REF!</f>
        <v>#REF!</v>
      </c>
      <c r="H193" s="145" t="e">
        <f>Summary!#REF!</f>
        <v>#REF!</v>
      </c>
      <c r="I193" s="145">
        <f t="shared" si="7"/>
        <v>0</v>
      </c>
      <c r="J193" s="145" t="e">
        <f>Summary!#REF!</f>
        <v>#REF!</v>
      </c>
      <c r="K193" s="146" t="e">
        <f t="shared" si="8"/>
        <v>#REF!</v>
      </c>
      <c r="M193" s="13"/>
      <c r="N193" s="147"/>
    </row>
    <row r="194" spans="2:14" ht="18" customHeight="1" x14ac:dyDescent="0.8">
      <c r="B194" s="206" t="e">
        <f>Summary!#REF!</f>
        <v>#REF!</v>
      </c>
      <c r="C194" s="144"/>
      <c r="D194" s="145" t="e">
        <f>Summary!#REF!</f>
        <v>#REF!</v>
      </c>
      <c r="E194" s="145" t="e">
        <f>Summary!#REF!</f>
        <v>#REF!</v>
      </c>
      <c r="F194" s="145">
        <f t="shared" si="6"/>
        <v>0</v>
      </c>
      <c r="G194" s="145" t="e">
        <f>Summary!#REF!</f>
        <v>#REF!</v>
      </c>
      <c r="H194" s="145" t="e">
        <f>Summary!#REF!</f>
        <v>#REF!</v>
      </c>
      <c r="I194" s="145">
        <f t="shared" si="7"/>
        <v>0</v>
      </c>
      <c r="J194" s="145" t="e">
        <f>Summary!#REF!</f>
        <v>#REF!</v>
      </c>
      <c r="K194" s="146" t="e">
        <f t="shared" si="8"/>
        <v>#REF!</v>
      </c>
      <c r="M194" s="13"/>
      <c r="N194" s="147"/>
    </row>
    <row r="195" spans="2:14" ht="18" customHeight="1" x14ac:dyDescent="0.8">
      <c r="B195" s="206" t="e">
        <f>Summary!#REF!</f>
        <v>#REF!</v>
      </c>
      <c r="C195" s="144"/>
      <c r="D195" s="145" t="e">
        <f>Summary!#REF!</f>
        <v>#REF!</v>
      </c>
      <c r="E195" s="145" t="e">
        <f>Summary!#REF!</f>
        <v>#REF!</v>
      </c>
      <c r="F195" s="145">
        <f t="shared" si="6"/>
        <v>0</v>
      </c>
      <c r="G195" s="145" t="e">
        <f>Summary!#REF!</f>
        <v>#REF!</v>
      </c>
      <c r="H195" s="145" t="e">
        <f>Summary!#REF!</f>
        <v>#REF!</v>
      </c>
      <c r="I195" s="145">
        <f t="shared" si="7"/>
        <v>0</v>
      </c>
      <c r="J195" s="145" t="e">
        <f>Summary!#REF!</f>
        <v>#REF!</v>
      </c>
      <c r="K195" s="146" t="e">
        <f t="shared" si="8"/>
        <v>#REF!</v>
      </c>
      <c r="M195" s="13"/>
      <c r="N195" s="147"/>
    </row>
    <row r="196" spans="2:14" ht="18" customHeight="1" x14ac:dyDescent="0.8">
      <c r="B196" s="206" t="e">
        <f>Summary!#REF!</f>
        <v>#REF!</v>
      </c>
      <c r="C196" s="144"/>
      <c r="D196" s="145" t="e">
        <f>Summary!#REF!</f>
        <v>#REF!</v>
      </c>
      <c r="E196" s="145" t="e">
        <f>Summary!#REF!</f>
        <v>#REF!</v>
      </c>
      <c r="F196" s="145">
        <f t="shared" si="6"/>
        <v>0</v>
      </c>
      <c r="G196" s="145" t="e">
        <f>Summary!#REF!</f>
        <v>#REF!</v>
      </c>
      <c r="H196" s="145" t="e">
        <f>Summary!#REF!</f>
        <v>#REF!</v>
      </c>
      <c r="I196" s="145">
        <f t="shared" si="7"/>
        <v>0</v>
      </c>
      <c r="J196" s="145" t="e">
        <f>Summary!#REF!</f>
        <v>#REF!</v>
      </c>
      <c r="K196" s="146" t="e">
        <f t="shared" si="8"/>
        <v>#REF!</v>
      </c>
      <c r="M196" s="13"/>
      <c r="N196" s="147"/>
    </row>
    <row r="197" spans="2:14" ht="18" customHeight="1" x14ac:dyDescent="0.8">
      <c r="B197" s="206" t="e">
        <f>Summary!#REF!</f>
        <v>#REF!</v>
      </c>
      <c r="C197" s="144"/>
      <c r="D197" s="145" t="e">
        <f>Summary!#REF!</f>
        <v>#REF!</v>
      </c>
      <c r="E197" s="145" t="e">
        <f>Summary!#REF!</f>
        <v>#REF!</v>
      </c>
      <c r="F197" s="145">
        <f t="shared" si="6"/>
        <v>0</v>
      </c>
      <c r="G197" s="145" t="e">
        <f>Summary!#REF!</f>
        <v>#REF!</v>
      </c>
      <c r="H197" s="145" t="e">
        <f>Summary!#REF!</f>
        <v>#REF!</v>
      </c>
      <c r="I197" s="145">
        <f t="shared" si="7"/>
        <v>0</v>
      </c>
      <c r="J197" s="145" t="e">
        <f>Summary!#REF!</f>
        <v>#REF!</v>
      </c>
      <c r="K197" s="146" t="e">
        <f t="shared" si="8"/>
        <v>#REF!</v>
      </c>
      <c r="M197" s="13"/>
      <c r="N197" s="147"/>
    </row>
    <row r="198" spans="2:14" ht="18" customHeight="1" x14ac:dyDescent="0.8">
      <c r="B198" s="206" t="e">
        <f>Summary!#REF!</f>
        <v>#REF!</v>
      </c>
      <c r="C198" s="144"/>
      <c r="D198" s="145" t="e">
        <f>Summary!#REF!</f>
        <v>#REF!</v>
      </c>
      <c r="E198" s="145" t="e">
        <f>Summary!#REF!</f>
        <v>#REF!</v>
      </c>
      <c r="F198" s="145">
        <f t="shared" si="6"/>
        <v>0</v>
      </c>
      <c r="G198" s="145" t="e">
        <f>Summary!#REF!</f>
        <v>#REF!</v>
      </c>
      <c r="H198" s="145" t="e">
        <f>Summary!#REF!</f>
        <v>#REF!</v>
      </c>
      <c r="I198" s="145">
        <f t="shared" si="7"/>
        <v>0</v>
      </c>
      <c r="J198" s="145" t="e">
        <f>Summary!#REF!</f>
        <v>#REF!</v>
      </c>
      <c r="K198" s="146" t="e">
        <f t="shared" si="8"/>
        <v>#REF!</v>
      </c>
      <c r="M198" s="13"/>
      <c r="N198" s="147"/>
    </row>
    <row r="199" spans="2:14" ht="18" customHeight="1" x14ac:dyDescent="0.8">
      <c r="B199" s="206" t="e">
        <f>Summary!#REF!</f>
        <v>#REF!</v>
      </c>
      <c r="C199" s="144"/>
      <c r="D199" s="145" t="e">
        <f>Summary!#REF!</f>
        <v>#REF!</v>
      </c>
      <c r="E199" s="145" t="e">
        <f>Summary!#REF!</f>
        <v>#REF!</v>
      </c>
      <c r="F199" s="145">
        <f t="shared" ref="F199:F262" si="9">IFERROR(E199/D199, 0)</f>
        <v>0</v>
      </c>
      <c r="G199" s="145" t="e">
        <f>Summary!#REF!</f>
        <v>#REF!</v>
      </c>
      <c r="H199" s="145" t="e">
        <f>Summary!#REF!</f>
        <v>#REF!</v>
      </c>
      <c r="I199" s="145">
        <f t="shared" ref="I199:I262" si="10">IFERROR(H199/G199, 0)</f>
        <v>0</v>
      </c>
      <c r="J199" s="145" t="e">
        <f>Summary!#REF!</f>
        <v>#REF!</v>
      </c>
      <c r="K199" s="146" t="e">
        <f t="shared" ref="K199:K262" si="11">J199*F199</f>
        <v>#REF!</v>
      </c>
      <c r="M199" s="13"/>
      <c r="N199" s="147"/>
    </row>
    <row r="200" spans="2:14" ht="18" customHeight="1" x14ac:dyDescent="0.8">
      <c r="B200" s="206" t="e">
        <f>Summary!#REF!</f>
        <v>#REF!</v>
      </c>
      <c r="C200" s="144"/>
      <c r="D200" s="145" t="e">
        <f>Summary!#REF!</f>
        <v>#REF!</v>
      </c>
      <c r="E200" s="145" t="e">
        <f>Summary!#REF!</f>
        <v>#REF!</v>
      </c>
      <c r="F200" s="145">
        <f t="shared" si="9"/>
        <v>0</v>
      </c>
      <c r="G200" s="145" t="e">
        <f>Summary!#REF!</f>
        <v>#REF!</v>
      </c>
      <c r="H200" s="145" t="e">
        <f>Summary!#REF!</f>
        <v>#REF!</v>
      </c>
      <c r="I200" s="145">
        <f t="shared" si="10"/>
        <v>0</v>
      </c>
      <c r="J200" s="145" t="e">
        <f>Summary!#REF!</f>
        <v>#REF!</v>
      </c>
      <c r="K200" s="146" t="e">
        <f t="shared" si="11"/>
        <v>#REF!</v>
      </c>
      <c r="M200" s="13"/>
      <c r="N200" s="147"/>
    </row>
    <row r="201" spans="2:14" ht="18" customHeight="1" x14ac:dyDescent="0.8">
      <c r="B201" s="206" t="e">
        <f>Summary!#REF!</f>
        <v>#REF!</v>
      </c>
      <c r="C201" s="144"/>
      <c r="D201" s="145" t="e">
        <f>Summary!#REF!</f>
        <v>#REF!</v>
      </c>
      <c r="E201" s="145" t="e">
        <f>Summary!#REF!</f>
        <v>#REF!</v>
      </c>
      <c r="F201" s="145">
        <f t="shared" si="9"/>
        <v>0</v>
      </c>
      <c r="G201" s="145" t="e">
        <f>Summary!#REF!</f>
        <v>#REF!</v>
      </c>
      <c r="H201" s="145" t="e">
        <f>Summary!#REF!</f>
        <v>#REF!</v>
      </c>
      <c r="I201" s="145">
        <f t="shared" si="10"/>
        <v>0</v>
      </c>
      <c r="J201" s="145" t="e">
        <f>Summary!#REF!</f>
        <v>#REF!</v>
      </c>
      <c r="K201" s="146" t="e">
        <f t="shared" si="11"/>
        <v>#REF!</v>
      </c>
      <c r="M201" s="13"/>
      <c r="N201" s="147"/>
    </row>
    <row r="202" spans="2:14" ht="18" customHeight="1" x14ac:dyDescent="0.8">
      <c r="B202" s="206" t="e">
        <f>Summary!#REF!</f>
        <v>#REF!</v>
      </c>
      <c r="C202" s="144"/>
      <c r="D202" s="145" t="e">
        <f>Summary!#REF!</f>
        <v>#REF!</v>
      </c>
      <c r="E202" s="145" t="e">
        <f>Summary!#REF!</f>
        <v>#REF!</v>
      </c>
      <c r="F202" s="145">
        <f t="shared" si="9"/>
        <v>0</v>
      </c>
      <c r="G202" s="145" t="e">
        <f>Summary!#REF!</f>
        <v>#REF!</v>
      </c>
      <c r="H202" s="145" t="e">
        <f>Summary!#REF!</f>
        <v>#REF!</v>
      </c>
      <c r="I202" s="145">
        <f t="shared" si="10"/>
        <v>0</v>
      </c>
      <c r="J202" s="145" t="e">
        <f>Summary!#REF!</f>
        <v>#REF!</v>
      </c>
      <c r="K202" s="146" t="e">
        <f t="shared" si="11"/>
        <v>#REF!</v>
      </c>
      <c r="M202" s="13"/>
      <c r="N202" s="147"/>
    </row>
    <row r="203" spans="2:14" ht="18" customHeight="1" x14ac:dyDescent="0.8">
      <c r="B203" s="206" t="e">
        <f>Summary!#REF!</f>
        <v>#REF!</v>
      </c>
      <c r="C203" s="144"/>
      <c r="D203" s="145" t="e">
        <f>Summary!#REF!</f>
        <v>#REF!</v>
      </c>
      <c r="E203" s="145" t="e">
        <f>Summary!#REF!</f>
        <v>#REF!</v>
      </c>
      <c r="F203" s="145">
        <f t="shared" si="9"/>
        <v>0</v>
      </c>
      <c r="G203" s="145" t="e">
        <f>Summary!#REF!</f>
        <v>#REF!</v>
      </c>
      <c r="H203" s="145" t="e">
        <f>Summary!#REF!</f>
        <v>#REF!</v>
      </c>
      <c r="I203" s="145">
        <f t="shared" si="10"/>
        <v>0</v>
      </c>
      <c r="J203" s="145" t="e">
        <f>Summary!#REF!</f>
        <v>#REF!</v>
      </c>
      <c r="K203" s="146" t="e">
        <f t="shared" si="11"/>
        <v>#REF!</v>
      </c>
      <c r="M203" s="13"/>
      <c r="N203" s="147"/>
    </row>
    <row r="204" spans="2:14" ht="18" customHeight="1" x14ac:dyDescent="0.8">
      <c r="B204" s="206" t="e">
        <f>Summary!#REF!</f>
        <v>#REF!</v>
      </c>
      <c r="C204" s="144"/>
      <c r="D204" s="145" t="e">
        <f>Summary!#REF!</f>
        <v>#REF!</v>
      </c>
      <c r="E204" s="145" t="e">
        <f>Summary!#REF!</f>
        <v>#REF!</v>
      </c>
      <c r="F204" s="145">
        <f t="shared" si="9"/>
        <v>0</v>
      </c>
      <c r="G204" s="145" t="e">
        <f>Summary!#REF!</f>
        <v>#REF!</v>
      </c>
      <c r="H204" s="145" t="e">
        <f>Summary!#REF!</f>
        <v>#REF!</v>
      </c>
      <c r="I204" s="145">
        <f t="shared" si="10"/>
        <v>0</v>
      </c>
      <c r="J204" s="145" t="e">
        <f>Summary!#REF!</f>
        <v>#REF!</v>
      </c>
      <c r="K204" s="146" t="e">
        <f t="shared" si="11"/>
        <v>#REF!</v>
      </c>
      <c r="M204" s="13"/>
      <c r="N204" s="147"/>
    </row>
    <row r="205" spans="2:14" ht="18" customHeight="1" x14ac:dyDescent="0.8">
      <c r="B205" s="206" t="e">
        <f>Summary!#REF!</f>
        <v>#REF!</v>
      </c>
      <c r="C205" s="144"/>
      <c r="D205" s="145" t="e">
        <f>Summary!#REF!</f>
        <v>#REF!</v>
      </c>
      <c r="E205" s="145" t="e">
        <f>Summary!#REF!</f>
        <v>#REF!</v>
      </c>
      <c r="F205" s="145">
        <f t="shared" si="9"/>
        <v>0</v>
      </c>
      <c r="G205" s="145" t="e">
        <f>Summary!#REF!</f>
        <v>#REF!</v>
      </c>
      <c r="H205" s="145" t="e">
        <f>Summary!#REF!</f>
        <v>#REF!</v>
      </c>
      <c r="I205" s="145">
        <f t="shared" si="10"/>
        <v>0</v>
      </c>
      <c r="J205" s="145" t="e">
        <f>Summary!#REF!</f>
        <v>#REF!</v>
      </c>
      <c r="K205" s="146" t="e">
        <f t="shared" si="11"/>
        <v>#REF!</v>
      </c>
      <c r="M205" s="13"/>
      <c r="N205" s="147"/>
    </row>
    <row r="206" spans="2:14" ht="18" customHeight="1" x14ac:dyDescent="0.8">
      <c r="B206" s="206" t="e">
        <f>Summary!#REF!</f>
        <v>#REF!</v>
      </c>
      <c r="C206" s="144"/>
      <c r="D206" s="145" t="e">
        <f>Summary!#REF!</f>
        <v>#REF!</v>
      </c>
      <c r="E206" s="145" t="e">
        <f>Summary!#REF!</f>
        <v>#REF!</v>
      </c>
      <c r="F206" s="145">
        <f t="shared" si="9"/>
        <v>0</v>
      </c>
      <c r="G206" s="145" t="e">
        <f>Summary!#REF!</f>
        <v>#REF!</v>
      </c>
      <c r="H206" s="145" t="e">
        <f>Summary!#REF!</f>
        <v>#REF!</v>
      </c>
      <c r="I206" s="145">
        <f t="shared" si="10"/>
        <v>0</v>
      </c>
      <c r="J206" s="145" t="e">
        <f>Summary!#REF!</f>
        <v>#REF!</v>
      </c>
      <c r="K206" s="146" t="e">
        <f t="shared" si="11"/>
        <v>#REF!</v>
      </c>
      <c r="M206" s="13"/>
      <c r="N206" s="147"/>
    </row>
    <row r="207" spans="2:14" ht="18" customHeight="1" x14ac:dyDescent="0.8">
      <c r="B207" s="206" t="e">
        <f>Summary!#REF!</f>
        <v>#REF!</v>
      </c>
      <c r="C207" s="144"/>
      <c r="D207" s="145" t="e">
        <f>Summary!#REF!</f>
        <v>#REF!</v>
      </c>
      <c r="E207" s="145" t="e">
        <f>Summary!#REF!</f>
        <v>#REF!</v>
      </c>
      <c r="F207" s="145">
        <f t="shared" si="9"/>
        <v>0</v>
      </c>
      <c r="G207" s="145" t="e">
        <f>Summary!#REF!</f>
        <v>#REF!</v>
      </c>
      <c r="H207" s="145" t="e">
        <f>Summary!#REF!</f>
        <v>#REF!</v>
      </c>
      <c r="I207" s="145">
        <f t="shared" si="10"/>
        <v>0</v>
      </c>
      <c r="J207" s="145" t="e">
        <f>Summary!#REF!</f>
        <v>#REF!</v>
      </c>
      <c r="K207" s="146" t="e">
        <f t="shared" si="11"/>
        <v>#REF!</v>
      </c>
      <c r="M207" s="13"/>
      <c r="N207" s="147"/>
    </row>
    <row r="208" spans="2:14" ht="18" customHeight="1" x14ac:dyDescent="0.8">
      <c r="B208" s="206" t="e">
        <f>Summary!#REF!</f>
        <v>#REF!</v>
      </c>
      <c r="C208" s="144"/>
      <c r="D208" s="145" t="e">
        <f>Summary!#REF!</f>
        <v>#REF!</v>
      </c>
      <c r="E208" s="145" t="e">
        <f>Summary!#REF!</f>
        <v>#REF!</v>
      </c>
      <c r="F208" s="145">
        <f t="shared" si="9"/>
        <v>0</v>
      </c>
      <c r="G208" s="145" t="e">
        <f>Summary!#REF!</f>
        <v>#REF!</v>
      </c>
      <c r="H208" s="145" t="e">
        <f>Summary!#REF!</f>
        <v>#REF!</v>
      </c>
      <c r="I208" s="145">
        <f t="shared" si="10"/>
        <v>0</v>
      </c>
      <c r="J208" s="145" t="e">
        <f>Summary!#REF!</f>
        <v>#REF!</v>
      </c>
      <c r="K208" s="146" t="e">
        <f t="shared" si="11"/>
        <v>#REF!</v>
      </c>
      <c r="M208" s="13"/>
      <c r="N208" s="147"/>
    </row>
    <row r="209" spans="2:14" ht="18" customHeight="1" x14ac:dyDescent="0.8">
      <c r="B209" s="206" t="e">
        <f>Summary!#REF!</f>
        <v>#REF!</v>
      </c>
      <c r="C209" s="144"/>
      <c r="D209" s="145" t="e">
        <f>Summary!#REF!</f>
        <v>#REF!</v>
      </c>
      <c r="E209" s="145" t="e">
        <f>Summary!#REF!</f>
        <v>#REF!</v>
      </c>
      <c r="F209" s="145">
        <f t="shared" si="9"/>
        <v>0</v>
      </c>
      <c r="G209" s="145" t="e">
        <f>Summary!#REF!</f>
        <v>#REF!</v>
      </c>
      <c r="H209" s="145" t="e">
        <f>Summary!#REF!</f>
        <v>#REF!</v>
      </c>
      <c r="I209" s="145">
        <f t="shared" si="10"/>
        <v>0</v>
      </c>
      <c r="J209" s="145" t="e">
        <f>Summary!#REF!</f>
        <v>#REF!</v>
      </c>
      <c r="K209" s="146" t="e">
        <f t="shared" si="11"/>
        <v>#REF!</v>
      </c>
      <c r="M209" s="13"/>
      <c r="N209" s="147"/>
    </row>
    <row r="210" spans="2:14" ht="18" customHeight="1" x14ac:dyDescent="0.8">
      <c r="B210" s="206" t="e">
        <f>Summary!#REF!</f>
        <v>#REF!</v>
      </c>
      <c r="C210" s="144"/>
      <c r="D210" s="145" t="e">
        <f>Summary!#REF!</f>
        <v>#REF!</v>
      </c>
      <c r="E210" s="145" t="e">
        <f>Summary!#REF!</f>
        <v>#REF!</v>
      </c>
      <c r="F210" s="145">
        <f t="shared" si="9"/>
        <v>0</v>
      </c>
      <c r="G210" s="145" t="e">
        <f>Summary!#REF!</f>
        <v>#REF!</v>
      </c>
      <c r="H210" s="145" t="e">
        <f>Summary!#REF!</f>
        <v>#REF!</v>
      </c>
      <c r="I210" s="145">
        <f t="shared" si="10"/>
        <v>0</v>
      </c>
      <c r="J210" s="145" t="e">
        <f>Summary!#REF!</f>
        <v>#REF!</v>
      </c>
      <c r="K210" s="146" t="e">
        <f t="shared" si="11"/>
        <v>#REF!</v>
      </c>
      <c r="M210" s="13"/>
      <c r="N210" s="147"/>
    </row>
    <row r="211" spans="2:14" ht="18" customHeight="1" x14ac:dyDescent="0.8">
      <c r="B211" s="206" t="e">
        <f>Summary!#REF!</f>
        <v>#REF!</v>
      </c>
      <c r="C211" s="144"/>
      <c r="D211" s="145" t="e">
        <f>Summary!#REF!</f>
        <v>#REF!</v>
      </c>
      <c r="E211" s="145" t="e">
        <f>Summary!#REF!</f>
        <v>#REF!</v>
      </c>
      <c r="F211" s="145">
        <f t="shared" si="9"/>
        <v>0</v>
      </c>
      <c r="G211" s="145" t="e">
        <f>Summary!#REF!</f>
        <v>#REF!</v>
      </c>
      <c r="H211" s="145" t="e">
        <f>Summary!#REF!</f>
        <v>#REF!</v>
      </c>
      <c r="I211" s="145">
        <f t="shared" si="10"/>
        <v>0</v>
      </c>
      <c r="J211" s="145" t="e">
        <f>Summary!#REF!</f>
        <v>#REF!</v>
      </c>
      <c r="K211" s="146" t="e">
        <f t="shared" si="11"/>
        <v>#REF!</v>
      </c>
      <c r="M211" s="13"/>
      <c r="N211" s="147"/>
    </row>
    <row r="212" spans="2:14" ht="18" customHeight="1" x14ac:dyDescent="0.8">
      <c r="B212" s="206" t="e">
        <f>Summary!#REF!</f>
        <v>#REF!</v>
      </c>
      <c r="C212" s="144"/>
      <c r="D212" s="145" t="e">
        <f>Summary!#REF!</f>
        <v>#REF!</v>
      </c>
      <c r="E212" s="145" t="e">
        <f>Summary!#REF!</f>
        <v>#REF!</v>
      </c>
      <c r="F212" s="145">
        <f t="shared" si="9"/>
        <v>0</v>
      </c>
      <c r="G212" s="145" t="e">
        <f>Summary!#REF!</f>
        <v>#REF!</v>
      </c>
      <c r="H212" s="145" t="e">
        <f>Summary!#REF!</f>
        <v>#REF!</v>
      </c>
      <c r="I212" s="145">
        <f t="shared" si="10"/>
        <v>0</v>
      </c>
      <c r="J212" s="145" t="e">
        <f>Summary!#REF!</f>
        <v>#REF!</v>
      </c>
      <c r="K212" s="146" t="e">
        <f t="shared" si="11"/>
        <v>#REF!</v>
      </c>
      <c r="M212" s="13"/>
      <c r="N212" s="147"/>
    </row>
    <row r="213" spans="2:14" ht="18" customHeight="1" x14ac:dyDescent="0.8">
      <c r="B213" s="206" t="e">
        <f>Summary!#REF!</f>
        <v>#REF!</v>
      </c>
      <c r="C213" s="144"/>
      <c r="D213" s="145" t="e">
        <f>Summary!#REF!</f>
        <v>#REF!</v>
      </c>
      <c r="E213" s="145" t="e">
        <f>Summary!#REF!</f>
        <v>#REF!</v>
      </c>
      <c r="F213" s="145">
        <f t="shared" si="9"/>
        <v>0</v>
      </c>
      <c r="G213" s="145" t="e">
        <f>Summary!#REF!</f>
        <v>#REF!</v>
      </c>
      <c r="H213" s="145" t="e">
        <f>Summary!#REF!</f>
        <v>#REF!</v>
      </c>
      <c r="I213" s="145">
        <f t="shared" si="10"/>
        <v>0</v>
      </c>
      <c r="J213" s="145" t="e">
        <f>Summary!#REF!</f>
        <v>#REF!</v>
      </c>
      <c r="K213" s="146" t="e">
        <f t="shared" si="11"/>
        <v>#REF!</v>
      </c>
      <c r="M213" s="13"/>
      <c r="N213" s="147"/>
    </row>
    <row r="214" spans="2:14" ht="18" customHeight="1" x14ac:dyDescent="0.8">
      <c r="B214" s="206" t="e">
        <f>Summary!#REF!</f>
        <v>#REF!</v>
      </c>
      <c r="C214" s="144"/>
      <c r="D214" s="145" t="e">
        <f>Summary!#REF!</f>
        <v>#REF!</v>
      </c>
      <c r="E214" s="145" t="e">
        <f>Summary!#REF!</f>
        <v>#REF!</v>
      </c>
      <c r="F214" s="145">
        <f t="shared" si="9"/>
        <v>0</v>
      </c>
      <c r="G214" s="145" t="e">
        <f>Summary!#REF!</f>
        <v>#REF!</v>
      </c>
      <c r="H214" s="145" t="e">
        <f>Summary!#REF!</f>
        <v>#REF!</v>
      </c>
      <c r="I214" s="145">
        <f t="shared" si="10"/>
        <v>0</v>
      </c>
      <c r="J214" s="145" t="e">
        <f>Summary!#REF!</f>
        <v>#REF!</v>
      </c>
      <c r="K214" s="146" t="e">
        <f t="shared" si="11"/>
        <v>#REF!</v>
      </c>
      <c r="M214" s="13"/>
      <c r="N214" s="147"/>
    </row>
    <row r="215" spans="2:14" ht="18" customHeight="1" x14ac:dyDescent="0.8">
      <c r="B215" s="206" t="e">
        <f>Summary!#REF!</f>
        <v>#REF!</v>
      </c>
      <c r="C215" s="144"/>
      <c r="D215" s="145" t="e">
        <f>Summary!#REF!</f>
        <v>#REF!</v>
      </c>
      <c r="E215" s="145" t="e">
        <f>Summary!#REF!</f>
        <v>#REF!</v>
      </c>
      <c r="F215" s="145">
        <f t="shared" si="9"/>
        <v>0</v>
      </c>
      <c r="G215" s="145" t="e">
        <f>Summary!#REF!</f>
        <v>#REF!</v>
      </c>
      <c r="H215" s="145" t="e">
        <f>Summary!#REF!</f>
        <v>#REF!</v>
      </c>
      <c r="I215" s="145">
        <f t="shared" si="10"/>
        <v>0</v>
      </c>
      <c r="J215" s="145" t="e">
        <f>Summary!#REF!</f>
        <v>#REF!</v>
      </c>
      <c r="K215" s="146" t="e">
        <f t="shared" si="11"/>
        <v>#REF!</v>
      </c>
      <c r="M215" s="13"/>
      <c r="N215" s="147"/>
    </row>
    <row r="216" spans="2:14" ht="18" customHeight="1" x14ac:dyDescent="0.8">
      <c r="B216" s="206" t="e">
        <f>Summary!#REF!</f>
        <v>#REF!</v>
      </c>
      <c r="C216" s="144"/>
      <c r="D216" s="145" t="e">
        <f>Summary!#REF!</f>
        <v>#REF!</v>
      </c>
      <c r="E216" s="145" t="e">
        <f>Summary!#REF!</f>
        <v>#REF!</v>
      </c>
      <c r="F216" s="145">
        <f t="shared" si="9"/>
        <v>0</v>
      </c>
      <c r="G216" s="145" t="e">
        <f>Summary!#REF!</f>
        <v>#REF!</v>
      </c>
      <c r="H216" s="145" t="e">
        <f>Summary!#REF!</f>
        <v>#REF!</v>
      </c>
      <c r="I216" s="145">
        <f t="shared" si="10"/>
        <v>0</v>
      </c>
      <c r="J216" s="145" t="e">
        <f>Summary!#REF!</f>
        <v>#REF!</v>
      </c>
      <c r="K216" s="146" t="e">
        <f t="shared" si="11"/>
        <v>#REF!</v>
      </c>
      <c r="M216" s="13"/>
      <c r="N216" s="147"/>
    </row>
    <row r="217" spans="2:14" ht="18" customHeight="1" x14ac:dyDescent="0.8">
      <c r="B217" s="206" t="e">
        <f>Summary!#REF!</f>
        <v>#REF!</v>
      </c>
      <c r="C217" s="144"/>
      <c r="D217" s="145" t="e">
        <f>Summary!#REF!</f>
        <v>#REF!</v>
      </c>
      <c r="E217" s="145" t="e">
        <f>Summary!#REF!</f>
        <v>#REF!</v>
      </c>
      <c r="F217" s="145">
        <f t="shared" si="9"/>
        <v>0</v>
      </c>
      <c r="G217" s="145" t="e">
        <f>Summary!#REF!</f>
        <v>#REF!</v>
      </c>
      <c r="H217" s="145" t="e">
        <f>Summary!#REF!</f>
        <v>#REF!</v>
      </c>
      <c r="I217" s="145">
        <f t="shared" si="10"/>
        <v>0</v>
      </c>
      <c r="J217" s="145" t="e">
        <f>Summary!#REF!</f>
        <v>#REF!</v>
      </c>
      <c r="K217" s="146" t="e">
        <f t="shared" si="11"/>
        <v>#REF!</v>
      </c>
      <c r="M217" s="13"/>
      <c r="N217" s="147"/>
    </row>
    <row r="218" spans="2:14" ht="18" customHeight="1" x14ac:dyDescent="0.8">
      <c r="B218" s="206" t="e">
        <f>Summary!#REF!</f>
        <v>#REF!</v>
      </c>
      <c r="C218" s="144"/>
      <c r="D218" s="145" t="e">
        <f>Summary!#REF!</f>
        <v>#REF!</v>
      </c>
      <c r="E218" s="145" t="e">
        <f>Summary!#REF!</f>
        <v>#REF!</v>
      </c>
      <c r="F218" s="145">
        <f t="shared" si="9"/>
        <v>0</v>
      </c>
      <c r="G218" s="145" t="e">
        <f>Summary!#REF!</f>
        <v>#REF!</v>
      </c>
      <c r="H218" s="145" t="e">
        <f>Summary!#REF!</f>
        <v>#REF!</v>
      </c>
      <c r="I218" s="145">
        <f t="shared" si="10"/>
        <v>0</v>
      </c>
      <c r="J218" s="145" t="e">
        <f>Summary!#REF!</f>
        <v>#REF!</v>
      </c>
      <c r="K218" s="146" t="e">
        <f t="shared" si="11"/>
        <v>#REF!</v>
      </c>
      <c r="M218" s="13"/>
      <c r="N218" s="147"/>
    </row>
    <row r="219" spans="2:14" ht="18" customHeight="1" x14ac:dyDescent="0.8">
      <c r="B219" s="206" t="e">
        <f>Summary!#REF!</f>
        <v>#REF!</v>
      </c>
      <c r="C219" s="144"/>
      <c r="D219" s="145" t="e">
        <f>Summary!#REF!</f>
        <v>#REF!</v>
      </c>
      <c r="E219" s="145" t="e">
        <f>Summary!#REF!</f>
        <v>#REF!</v>
      </c>
      <c r="F219" s="145">
        <f t="shared" si="9"/>
        <v>0</v>
      </c>
      <c r="G219" s="145" t="e">
        <f>Summary!#REF!</f>
        <v>#REF!</v>
      </c>
      <c r="H219" s="145" t="e">
        <f>Summary!#REF!</f>
        <v>#REF!</v>
      </c>
      <c r="I219" s="145">
        <f t="shared" si="10"/>
        <v>0</v>
      </c>
      <c r="J219" s="145" t="e">
        <f>Summary!#REF!</f>
        <v>#REF!</v>
      </c>
      <c r="K219" s="146" t="e">
        <f t="shared" si="11"/>
        <v>#REF!</v>
      </c>
      <c r="M219" s="13"/>
      <c r="N219" s="147"/>
    </row>
    <row r="220" spans="2:14" ht="18" customHeight="1" x14ac:dyDescent="0.8">
      <c r="B220" s="206" t="e">
        <f>Summary!#REF!</f>
        <v>#REF!</v>
      </c>
      <c r="C220" s="144"/>
      <c r="D220" s="145" t="e">
        <f>Summary!#REF!</f>
        <v>#REF!</v>
      </c>
      <c r="E220" s="145" t="e">
        <f>Summary!#REF!</f>
        <v>#REF!</v>
      </c>
      <c r="F220" s="145">
        <f t="shared" si="9"/>
        <v>0</v>
      </c>
      <c r="G220" s="145" t="e">
        <f>Summary!#REF!</f>
        <v>#REF!</v>
      </c>
      <c r="H220" s="145" t="e">
        <f>Summary!#REF!</f>
        <v>#REF!</v>
      </c>
      <c r="I220" s="145">
        <f t="shared" si="10"/>
        <v>0</v>
      </c>
      <c r="J220" s="145" t="e">
        <f>Summary!#REF!</f>
        <v>#REF!</v>
      </c>
      <c r="K220" s="146" t="e">
        <f t="shared" si="11"/>
        <v>#REF!</v>
      </c>
      <c r="M220" s="13"/>
      <c r="N220" s="147"/>
    </row>
    <row r="221" spans="2:14" ht="18" customHeight="1" x14ac:dyDescent="0.8">
      <c r="B221" s="206" t="e">
        <f>Summary!#REF!</f>
        <v>#REF!</v>
      </c>
      <c r="C221" s="144"/>
      <c r="D221" s="145" t="e">
        <f>Summary!#REF!</f>
        <v>#REF!</v>
      </c>
      <c r="E221" s="145" t="e">
        <f>Summary!#REF!</f>
        <v>#REF!</v>
      </c>
      <c r="F221" s="145">
        <f t="shared" si="9"/>
        <v>0</v>
      </c>
      <c r="G221" s="145" t="e">
        <f>Summary!#REF!</f>
        <v>#REF!</v>
      </c>
      <c r="H221" s="145" t="e">
        <f>Summary!#REF!</f>
        <v>#REF!</v>
      </c>
      <c r="I221" s="145">
        <f t="shared" si="10"/>
        <v>0</v>
      </c>
      <c r="J221" s="145" t="e">
        <f>Summary!#REF!</f>
        <v>#REF!</v>
      </c>
      <c r="K221" s="146" t="e">
        <f t="shared" si="11"/>
        <v>#REF!</v>
      </c>
      <c r="M221" s="13"/>
      <c r="N221" s="147"/>
    </row>
    <row r="222" spans="2:14" ht="18" customHeight="1" x14ac:dyDescent="0.8">
      <c r="B222" s="206" t="e">
        <f>Summary!#REF!</f>
        <v>#REF!</v>
      </c>
      <c r="C222" s="144"/>
      <c r="D222" s="145" t="e">
        <f>Summary!#REF!</f>
        <v>#REF!</v>
      </c>
      <c r="E222" s="145" t="e">
        <f>Summary!#REF!</f>
        <v>#REF!</v>
      </c>
      <c r="F222" s="145">
        <f t="shared" si="9"/>
        <v>0</v>
      </c>
      <c r="G222" s="145" t="e">
        <f>Summary!#REF!</f>
        <v>#REF!</v>
      </c>
      <c r="H222" s="145" t="e">
        <f>Summary!#REF!</f>
        <v>#REF!</v>
      </c>
      <c r="I222" s="145">
        <f t="shared" si="10"/>
        <v>0</v>
      </c>
      <c r="J222" s="145" t="e">
        <f>Summary!#REF!</f>
        <v>#REF!</v>
      </c>
      <c r="K222" s="146" t="e">
        <f t="shared" si="11"/>
        <v>#REF!</v>
      </c>
      <c r="M222" s="13"/>
      <c r="N222" s="147"/>
    </row>
    <row r="223" spans="2:14" ht="18" customHeight="1" x14ac:dyDescent="0.8">
      <c r="B223" s="206" t="e">
        <f>Summary!#REF!</f>
        <v>#REF!</v>
      </c>
      <c r="C223" s="144"/>
      <c r="D223" s="145" t="e">
        <f>Summary!#REF!</f>
        <v>#REF!</v>
      </c>
      <c r="E223" s="145" t="e">
        <f>Summary!#REF!</f>
        <v>#REF!</v>
      </c>
      <c r="F223" s="145">
        <f t="shared" si="9"/>
        <v>0</v>
      </c>
      <c r="G223" s="145" t="e">
        <f>Summary!#REF!</f>
        <v>#REF!</v>
      </c>
      <c r="H223" s="145" t="e">
        <f>Summary!#REF!</f>
        <v>#REF!</v>
      </c>
      <c r="I223" s="145">
        <f t="shared" si="10"/>
        <v>0</v>
      </c>
      <c r="J223" s="145" t="e">
        <f>Summary!#REF!</f>
        <v>#REF!</v>
      </c>
      <c r="K223" s="146" t="e">
        <f t="shared" si="11"/>
        <v>#REF!</v>
      </c>
      <c r="M223" s="13"/>
      <c r="N223" s="147"/>
    </row>
    <row r="224" spans="2:14" ht="18" customHeight="1" x14ac:dyDescent="0.8">
      <c r="B224" s="206" t="e">
        <f>Summary!#REF!</f>
        <v>#REF!</v>
      </c>
      <c r="C224" s="144"/>
      <c r="D224" s="145" t="e">
        <f>Summary!#REF!</f>
        <v>#REF!</v>
      </c>
      <c r="E224" s="145" t="e">
        <f>Summary!#REF!</f>
        <v>#REF!</v>
      </c>
      <c r="F224" s="145">
        <f t="shared" si="9"/>
        <v>0</v>
      </c>
      <c r="G224" s="145" t="e">
        <f>Summary!#REF!</f>
        <v>#REF!</v>
      </c>
      <c r="H224" s="145" t="e">
        <f>Summary!#REF!</f>
        <v>#REF!</v>
      </c>
      <c r="I224" s="145">
        <f t="shared" si="10"/>
        <v>0</v>
      </c>
      <c r="J224" s="145" t="e">
        <f>Summary!#REF!</f>
        <v>#REF!</v>
      </c>
      <c r="K224" s="146" t="e">
        <f t="shared" si="11"/>
        <v>#REF!</v>
      </c>
      <c r="M224" s="13"/>
      <c r="N224" s="147"/>
    </row>
    <row r="225" spans="2:14" ht="18" customHeight="1" x14ac:dyDescent="0.8">
      <c r="B225" s="206" t="e">
        <f>Summary!#REF!</f>
        <v>#REF!</v>
      </c>
      <c r="C225" s="144"/>
      <c r="D225" s="145" t="e">
        <f>Summary!#REF!</f>
        <v>#REF!</v>
      </c>
      <c r="E225" s="145" t="e">
        <f>Summary!#REF!</f>
        <v>#REF!</v>
      </c>
      <c r="F225" s="145">
        <f t="shared" si="9"/>
        <v>0</v>
      </c>
      <c r="G225" s="145" t="e">
        <f>Summary!#REF!</f>
        <v>#REF!</v>
      </c>
      <c r="H225" s="145" t="e">
        <f>Summary!#REF!</f>
        <v>#REF!</v>
      </c>
      <c r="I225" s="145">
        <f t="shared" si="10"/>
        <v>0</v>
      </c>
      <c r="J225" s="145" t="e">
        <f>Summary!#REF!</f>
        <v>#REF!</v>
      </c>
      <c r="K225" s="146" t="e">
        <f t="shared" si="11"/>
        <v>#REF!</v>
      </c>
      <c r="M225" s="13"/>
      <c r="N225" s="147"/>
    </row>
    <row r="226" spans="2:14" ht="18" customHeight="1" x14ac:dyDescent="0.8">
      <c r="B226" s="206" t="e">
        <f>Summary!#REF!</f>
        <v>#REF!</v>
      </c>
      <c r="C226" s="144"/>
      <c r="D226" s="145" t="e">
        <f>Summary!#REF!</f>
        <v>#REF!</v>
      </c>
      <c r="E226" s="145" t="e">
        <f>Summary!#REF!</f>
        <v>#REF!</v>
      </c>
      <c r="F226" s="145">
        <f t="shared" si="9"/>
        <v>0</v>
      </c>
      <c r="G226" s="145" t="e">
        <f>Summary!#REF!</f>
        <v>#REF!</v>
      </c>
      <c r="H226" s="145" t="e">
        <f>Summary!#REF!</f>
        <v>#REF!</v>
      </c>
      <c r="I226" s="145">
        <f t="shared" si="10"/>
        <v>0</v>
      </c>
      <c r="J226" s="145" t="e">
        <f>Summary!#REF!</f>
        <v>#REF!</v>
      </c>
      <c r="K226" s="146" t="e">
        <f t="shared" si="11"/>
        <v>#REF!</v>
      </c>
      <c r="M226" s="13"/>
      <c r="N226" s="147"/>
    </row>
    <row r="227" spans="2:14" ht="18" customHeight="1" x14ac:dyDescent="0.8">
      <c r="B227" s="206" t="e">
        <f>Summary!#REF!</f>
        <v>#REF!</v>
      </c>
      <c r="C227" s="144"/>
      <c r="D227" s="145" t="e">
        <f>Summary!#REF!</f>
        <v>#REF!</v>
      </c>
      <c r="E227" s="145" t="e">
        <f>Summary!#REF!</f>
        <v>#REF!</v>
      </c>
      <c r="F227" s="145">
        <f t="shared" si="9"/>
        <v>0</v>
      </c>
      <c r="G227" s="145" t="e">
        <f>Summary!#REF!</f>
        <v>#REF!</v>
      </c>
      <c r="H227" s="145" t="e">
        <f>Summary!#REF!</f>
        <v>#REF!</v>
      </c>
      <c r="I227" s="145">
        <f t="shared" si="10"/>
        <v>0</v>
      </c>
      <c r="J227" s="145" t="e">
        <f>Summary!#REF!</f>
        <v>#REF!</v>
      </c>
      <c r="K227" s="146" t="e">
        <f t="shared" si="11"/>
        <v>#REF!</v>
      </c>
      <c r="M227" s="13"/>
      <c r="N227" s="147"/>
    </row>
    <row r="228" spans="2:14" ht="18" customHeight="1" x14ac:dyDescent="0.8">
      <c r="B228" s="206" t="e">
        <f>Summary!#REF!</f>
        <v>#REF!</v>
      </c>
      <c r="C228" s="144"/>
      <c r="D228" s="145" t="e">
        <f>Summary!#REF!</f>
        <v>#REF!</v>
      </c>
      <c r="E228" s="145" t="e">
        <f>Summary!#REF!</f>
        <v>#REF!</v>
      </c>
      <c r="F228" s="145">
        <f t="shared" si="9"/>
        <v>0</v>
      </c>
      <c r="G228" s="145" t="e">
        <f>Summary!#REF!</f>
        <v>#REF!</v>
      </c>
      <c r="H228" s="145" t="e">
        <f>Summary!#REF!</f>
        <v>#REF!</v>
      </c>
      <c r="I228" s="145">
        <f t="shared" si="10"/>
        <v>0</v>
      </c>
      <c r="J228" s="145" t="e">
        <f>Summary!#REF!</f>
        <v>#REF!</v>
      </c>
      <c r="K228" s="146" t="e">
        <f t="shared" si="11"/>
        <v>#REF!</v>
      </c>
      <c r="M228" s="13"/>
      <c r="N228" s="147"/>
    </row>
    <row r="229" spans="2:14" ht="18" customHeight="1" x14ac:dyDescent="0.8">
      <c r="B229" s="206" t="e">
        <f>Summary!#REF!</f>
        <v>#REF!</v>
      </c>
      <c r="C229" s="144"/>
      <c r="D229" s="145" t="e">
        <f>Summary!#REF!</f>
        <v>#REF!</v>
      </c>
      <c r="E229" s="145" t="e">
        <f>Summary!#REF!</f>
        <v>#REF!</v>
      </c>
      <c r="F229" s="145">
        <f t="shared" si="9"/>
        <v>0</v>
      </c>
      <c r="G229" s="145" t="e">
        <f>Summary!#REF!</f>
        <v>#REF!</v>
      </c>
      <c r="H229" s="145" t="e">
        <f>Summary!#REF!</f>
        <v>#REF!</v>
      </c>
      <c r="I229" s="145">
        <f t="shared" si="10"/>
        <v>0</v>
      </c>
      <c r="J229" s="145" t="e">
        <f>Summary!#REF!</f>
        <v>#REF!</v>
      </c>
      <c r="K229" s="146" t="e">
        <f t="shared" si="11"/>
        <v>#REF!</v>
      </c>
      <c r="M229" s="13"/>
      <c r="N229" s="147"/>
    </row>
    <row r="230" spans="2:14" ht="18" customHeight="1" x14ac:dyDescent="0.8">
      <c r="B230" s="206" t="e">
        <f>Summary!#REF!</f>
        <v>#REF!</v>
      </c>
      <c r="C230" s="144"/>
      <c r="D230" s="145" t="e">
        <f>Summary!#REF!</f>
        <v>#REF!</v>
      </c>
      <c r="E230" s="145" t="e">
        <f>Summary!#REF!</f>
        <v>#REF!</v>
      </c>
      <c r="F230" s="145">
        <f t="shared" si="9"/>
        <v>0</v>
      </c>
      <c r="G230" s="145" t="e">
        <f>Summary!#REF!</f>
        <v>#REF!</v>
      </c>
      <c r="H230" s="145" t="e">
        <f>Summary!#REF!</f>
        <v>#REF!</v>
      </c>
      <c r="I230" s="145">
        <f t="shared" si="10"/>
        <v>0</v>
      </c>
      <c r="J230" s="145" t="e">
        <f>Summary!#REF!</f>
        <v>#REF!</v>
      </c>
      <c r="K230" s="146" t="e">
        <f t="shared" si="11"/>
        <v>#REF!</v>
      </c>
      <c r="M230" s="13"/>
      <c r="N230" s="147"/>
    </row>
    <row r="231" spans="2:14" ht="18" customHeight="1" x14ac:dyDescent="0.8">
      <c r="B231" s="206" t="e">
        <f>Summary!#REF!</f>
        <v>#REF!</v>
      </c>
      <c r="C231" s="144"/>
      <c r="D231" s="145" t="e">
        <f>Summary!#REF!</f>
        <v>#REF!</v>
      </c>
      <c r="E231" s="145" t="e">
        <f>Summary!#REF!</f>
        <v>#REF!</v>
      </c>
      <c r="F231" s="145">
        <f t="shared" si="9"/>
        <v>0</v>
      </c>
      <c r="G231" s="145" t="e">
        <f>Summary!#REF!</f>
        <v>#REF!</v>
      </c>
      <c r="H231" s="145" t="e">
        <f>Summary!#REF!</f>
        <v>#REF!</v>
      </c>
      <c r="I231" s="145">
        <f t="shared" si="10"/>
        <v>0</v>
      </c>
      <c r="J231" s="145" t="e">
        <f>Summary!#REF!</f>
        <v>#REF!</v>
      </c>
      <c r="K231" s="146" t="e">
        <f t="shared" si="11"/>
        <v>#REF!</v>
      </c>
      <c r="M231" s="13"/>
      <c r="N231" s="147"/>
    </row>
    <row r="232" spans="2:14" ht="18" customHeight="1" x14ac:dyDescent="0.8">
      <c r="B232" s="206" t="e">
        <f>Summary!#REF!</f>
        <v>#REF!</v>
      </c>
      <c r="C232" s="144"/>
      <c r="D232" s="145" t="e">
        <f>Summary!#REF!</f>
        <v>#REF!</v>
      </c>
      <c r="E232" s="145" t="e">
        <f>Summary!#REF!</f>
        <v>#REF!</v>
      </c>
      <c r="F232" s="145">
        <f t="shared" si="9"/>
        <v>0</v>
      </c>
      <c r="G232" s="145" t="e">
        <f>Summary!#REF!</f>
        <v>#REF!</v>
      </c>
      <c r="H232" s="145" t="e">
        <f>Summary!#REF!</f>
        <v>#REF!</v>
      </c>
      <c r="I232" s="145">
        <f t="shared" si="10"/>
        <v>0</v>
      </c>
      <c r="J232" s="145" t="e">
        <f>Summary!#REF!</f>
        <v>#REF!</v>
      </c>
      <c r="K232" s="146" t="e">
        <f t="shared" si="11"/>
        <v>#REF!</v>
      </c>
      <c r="M232" s="13"/>
      <c r="N232" s="147"/>
    </row>
    <row r="233" spans="2:14" ht="18" customHeight="1" x14ac:dyDescent="0.8">
      <c r="B233" s="206" t="e">
        <f>Summary!#REF!</f>
        <v>#REF!</v>
      </c>
      <c r="C233" s="144"/>
      <c r="D233" s="145" t="e">
        <f>Summary!#REF!</f>
        <v>#REF!</v>
      </c>
      <c r="E233" s="145" t="e">
        <f>Summary!#REF!</f>
        <v>#REF!</v>
      </c>
      <c r="F233" s="145">
        <f t="shared" si="9"/>
        <v>0</v>
      </c>
      <c r="G233" s="145" t="e">
        <f>Summary!#REF!</f>
        <v>#REF!</v>
      </c>
      <c r="H233" s="145" t="e">
        <f>Summary!#REF!</f>
        <v>#REF!</v>
      </c>
      <c r="I233" s="145">
        <f t="shared" si="10"/>
        <v>0</v>
      </c>
      <c r="J233" s="145" t="e">
        <f>Summary!#REF!</f>
        <v>#REF!</v>
      </c>
      <c r="K233" s="146" t="e">
        <f t="shared" si="11"/>
        <v>#REF!</v>
      </c>
      <c r="M233" s="13"/>
      <c r="N233" s="147"/>
    </row>
    <row r="234" spans="2:14" ht="18" customHeight="1" x14ac:dyDescent="0.8">
      <c r="B234" s="206" t="e">
        <f>Summary!#REF!</f>
        <v>#REF!</v>
      </c>
      <c r="C234" s="144"/>
      <c r="D234" s="145" t="e">
        <f>Summary!#REF!</f>
        <v>#REF!</v>
      </c>
      <c r="E234" s="145" t="e">
        <f>Summary!#REF!</f>
        <v>#REF!</v>
      </c>
      <c r="F234" s="145">
        <f t="shared" si="9"/>
        <v>0</v>
      </c>
      <c r="G234" s="145" t="e">
        <f>Summary!#REF!</f>
        <v>#REF!</v>
      </c>
      <c r="H234" s="145" t="e">
        <f>Summary!#REF!</f>
        <v>#REF!</v>
      </c>
      <c r="I234" s="145">
        <f t="shared" si="10"/>
        <v>0</v>
      </c>
      <c r="J234" s="145" t="e">
        <f>Summary!#REF!</f>
        <v>#REF!</v>
      </c>
      <c r="K234" s="146" t="e">
        <f t="shared" si="11"/>
        <v>#REF!</v>
      </c>
      <c r="M234" s="13"/>
      <c r="N234" s="147"/>
    </row>
    <row r="235" spans="2:14" ht="18" customHeight="1" x14ac:dyDescent="0.8">
      <c r="B235" s="206" t="e">
        <f>Summary!#REF!</f>
        <v>#REF!</v>
      </c>
      <c r="C235" s="144"/>
      <c r="D235" s="145" t="e">
        <f>Summary!#REF!</f>
        <v>#REF!</v>
      </c>
      <c r="E235" s="145" t="e">
        <f>Summary!#REF!</f>
        <v>#REF!</v>
      </c>
      <c r="F235" s="145">
        <f t="shared" si="9"/>
        <v>0</v>
      </c>
      <c r="G235" s="145" t="e">
        <f>Summary!#REF!</f>
        <v>#REF!</v>
      </c>
      <c r="H235" s="145" t="e">
        <f>Summary!#REF!</f>
        <v>#REF!</v>
      </c>
      <c r="I235" s="145">
        <f t="shared" si="10"/>
        <v>0</v>
      </c>
      <c r="J235" s="145" t="e">
        <f>Summary!#REF!</f>
        <v>#REF!</v>
      </c>
      <c r="K235" s="146" t="e">
        <f t="shared" si="11"/>
        <v>#REF!</v>
      </c>
      <c r="M235" s="13"/>
      <c r="N235" s="147"/>
    </row>
    <row r="236" spans="2:14" ht="18" customHeight="1" x14ac:dyDescent="0.8">
      <c r="B236" s="206" t="e">
        <f>Summary!#REF!</f>
        <v>#REF!</v>
      </c>
      <c r="C236" s="144"/>
      <c r="D236" s="145" t="e">
        <f>Summary!#REF!</f>
        <v>#REF!</v>
      </c>
      <c r="E236" s="145" t="e">
        <f>Summary!#REF!</f>
        <v>#REF!</v>
      </c>
      <c r="F236" s="145">
        <f t="shared" si="9"/>
        <v>0</v>
      </c>
      <c r="G236" s="145" t="e">
        <f>Summary!#REF!</f>
        <v>#REF!</v>
      </c>
      <c r="H236" s="145" t="e">
        <f>Summary!#REF!</f>
        <v>#REF!</v>
      </c>
      <c r="I236" s="145">
        <f t="shared" si="10"/>
        <v>0</v>
      </c>
      <c r="J236" s="145" t="e">
        <f>Summary!#REF!</f>
        <v>#REF!</v>
      </c>
      <c r="K236" s="146" t="e">
        <f t="shared" si="11"/>
        <v>#REF!</v>
      </c>
      <c r="M236" s="13"/>
      <c r="N236" s="147"/>
    </row>
    <row r="237" spans="2:14" ht="18" customHeight="1" x14ac:dyDescent="0.8">
      <c r="B237" s="206" t="str">
        <f>Summary!B190</f>
        <v>شومیز Perry سرای ملی</v>
      </c>
      <c r="C237" s="144"/>
      <c r="D237" s="145">
        <f>Summary!C190</f>
        <v>4</v>
      </c>
      <c r="E237" s="145">
        <f>Summary!E190</f>
        <v>3920000</v>
      </c>
      <c r="F237" s="145">
        <f t="shared" si="9"/>
        <v>980000</v>
      </c>
      <c r="G237" s="145">
        <f>Summary!F190</f>
        <v>4</v>
      </c>
      <c r="H237" s="145">
        <f>Summary!G190</f>
        <v>5600000</v>
      </c>
      <c r="I237" s="145">
        <f t="shared" si="10"/>
        <v>1400000</v>
      </c>
      <c r="J237" s="145">
        <f>Summary!I190</f>
        <v>0</v>
      </c>
      <c r="K237" s="146">
        <f t="shared" si="11"/>
        <v>0</v>
      </c>
      <c r="M237" s="13"/>
      <c r="N237" s="147"/>
    </row>
    <row r="238" spans="2:14" ht="18" customHeight="1" x14ac:dyDescent="0.8">
      <c r="B238" s="206" t="str">
        <f>Summary!B191</f>
        <v>پیراهن ترک سفید و مشکی</v>
      </c>
      <c r="C238" s="144"/>
      <c r="D238" s="145">
        <f>Summary!C191</f>
        <v>1</v>
      </c>
      <c r="E238" s="145">
        <f>Summary!E191</f>
        <v>1580000</v>
      </c>
      <c r="F238" s="145">
        <f t="shared" si="9"/>
        <v>1580000</v>
      </c>
      <c r="G238" s="145">
        <f>Summary!F191</f>
        <v>1</v>
      </c>
      <c r="H238" s="145">
        <f>Summary!G191</f>
        <v>2400000</v>
      </c>
      <c r="I238" s="145">
        <f t="shared" si="10"/>
        <v>2400000</v>
      </c>
      <c r="J238" s="145">
        <f>Summary!I191</f>
        <v>0</v>
      </c>
      <c r="K238" s="146">
        <f t="shared" si="11"/>
        <v>0</v>
      </c>
      <c r="M238" s="13"/>
      <c r="N238" s="147"/>
    </row>
    <row r="239" spans="2:14" ht="18" customHeight="1" x14ac:dyDescent="0.8">
      <c r="B239" s="206" t="str">
        <f>Summary!B192</f>
        <v>شومیز راه راه پشت پیلی</v>
      </c>
      <c r="C239" s="144"/>
      <c r="D239" s="145">
        <f>Summary!C192</f>
        <v>5</v>
      </c>
      <c r="E239" s="145">
        <f>Summary!E192</f>
        <v>1836000</v>
      </c>
      <c r="F239" s="145">
        <f t="shared" si="9"/>
        <v>367200</v>
      </c>
      <c r="G239" s="145">
        <f>Summary!F192</f>
        <v>6</v>
      </c>
      <c r="H239" s="145">
        <f>Summary!G192</f>
        <v>4300000</v>
      </c>
      <c r="I239" s="145">
        <f t="shared" si="10"/>
        <v>716666.66666666663</v>
      </c>
      <c r="J239" s="145">
        <f>Summary!I192</f>
        <v>-1</v>
      </c>
      <c r="K239" s="146">
        <f t="shared" si="11"/>
        <v>-367200</v>
      </c>
      <c r="M239" s="13"/>
      <c r="N239" s="147"/>
    </row>
    <row r="240" spans="2:14" ht="18" customHeight="1" x14ac:dyDescent="0.8">
      <c r="B240" s="206" t="str">
        <f>Summary!B193</f>
        <v>شومیز راه راه یقه بسته</v>
      </c>
      <c r="C240" s="144"/>
      <c r="D240" s="145">
        <f>Summary!C193</f>
        <v>6</v>
      </c>
      <c r="E240" s="145">
        <f>Summary!E193</f>
        <v>2628000</v>
      </c>
      <c r="F240" s="145">
        <f t="shared" si="9"/>
        <v>438000</v>
      </c>
      <c r="G240" s="145">
        <f>Summary!F193</f>
        <v>6</v>
      </c>
      <c r="H240" s="145">
        <f>Summary!G193</f>
        <v>4350000</v>
      </c>
      <c r="I240" s="145">
        <f t="shared" si="10"/>
        <v>725000</v>
      </c>
      <c r="J240" s="145">
        <f>Summary!I193</f>
        <v>0</v>
      </c>
      <c r="K240" s="146">
        <f t="shared" si="11"/>
        <v>0</v>
      </c>
      <c r="M240" s="13"/>
      <c r="N240" s="147"/>
    </row>
    <row r="241" spans="2:14" ht="18" customHeight="1" x14ac:dyDescent="0.8">
      <c r="B241" s="206" t="str">
        <f>Summary!B194</f>
        <v>شومیز راه راه درشت</v>
      </c>
      <c r="C241" s="144"/>
      <c r="D241" s="145">
        <f>Summary!C194</f>
        <v>5</v>
      </c>
      <c r="E241" s="145">
        <f>Summary!E194</f>
        <v>1836000</v>
      </c>
      <c r="F241" s="145">
        <f t="shared" si="9"/>
        <v>367200</v>
      </c>
      <c r="G241" s="145">
        <f>Summary!F194</f>
        <v>4</v>
      </c>
      <c r="H241" s="145">
        <f>Summary!G194</f>
        <v>3000000</v>
      </c>
      <c r="I241" s="145">
        <f t="shared" si="10"/>
        <v>750000</v>
      </c>
      <c r="J241" s="145">
        <f>Summary!I194</f>
        <v>1</v>
      </c>
      <c r="K241" s="146">
        <f t="shared" si="11"/>
        <v>367200</v>
      </c>
      <c r="M241" s="13"/>
      <c r="N241" s="147"/>
    </row>
    <row r="242" spans="2:14" ht="18" customHeight="1" x14ac:dyDescent="0.8">
      <c r="B242" s="206" t="str">
        <f>Summary!B195</f>
        <v>شافل ساده</v>
      </c>
      <c r="C242" s="144"/>
      <c r="D242" s="145">
        <f>Summary!C195</f>
        <v>5</v>
      </c>
      <c r="E242" s="145">
        <f>Summary!E195</f>
        <v>4350000</v>
      </c>
      <c r="F242" s="145">
        <f t="shared" si="9"/>
        <v>870000</v>
      </c>
      <c r="G242" s="145">
        <f>Summary!F195</f>
        <v>2</v>
      </c>
      <c r="H242" s="145">
        <f>Summary!G195</f>
        <v>1700000</v>
      </c>
      <c r="I242" s="145">
        <f t="shared" si="10"/>
        <v>850000</v>
      </c>
      <c r="J242" s="145">
        <f>Summary!I195</f>
        <v>3</v>
      </c>
      <c r="K242" s="146">
        <f t="shared" si="11"/>
        <v>2610000</v>
      </c>
      <c r="M242" s="13"/>
      <c r="N242" s="147"/>
    </row>
    <row r="243" spans="2:14" ht="18" customHeight="1" x14ac:dyDescent="0.8">
      <c r="B243" s="206" t="str">
        <f>Summary!B196</f>
        <v>شافل ترک</v>
      </c>
      <c r="C243" s="144"/>
      <c r="D243" s="145">
        <f>Summary!C196</f>
        <v>10</v>
      </c>
      <c r="E243" s="145">
        <f>Summary!E196</f>
        <v>9950000</v>
      </c>
      <c r="F243" s="145">
        <f t="shared" si="9"/>
        <v>995000</v>
      </c>
      <c r="G243" s="145">
        <f>Summary!F196</f>
        <v>4</v>
      </c>
      <c r="H243" s="145">
        <f>Summary!G196</f>
        <v>8400000</v>
      </c>
      <c r="I243" s="145">
        <f t="shared" si="10"/>
        <v>2100000</v>
      </c>
      <c r="J243" s="145">
        <f>Summary!I196</f>
        <v>6</v>
      </c>
      <c r="K243" s="146">
        <f t="shared" si="11"/>
        <v>5970000</v>
      </c>
      <c r="M243" s="13"/>
      <c r="N243" s="147"/>
    </row>
    <row r="244" spans="2:14" ht="18" customHeight="1" x14ac:dyDescent="0.8">
      <c r="B244" s="206" t="str">
        <f>Summary!B197</f>
        <v>مام فیت ترک</v>
      </c>
      <c r="C244" s="144"/>
      <c r="D244" s="145">
        <f>Summary!C197</f>
        <v>10</v>
      </c>
      <c r="E244" s="145">
        <f>Summary!E197</f>
        <v>6750000</v>
      </c>
      <c r="F244" s="145">
        <f t="shared" si="9"/>
        <v>675000</v>
      </c>
      <c r="G244" s="145">
        <f>Summary!F197</f>
        <v>2</v>
      </c>
      <c r="H244" s="145">
        <f>Summary!G197</f>
        <v>2900000</v>
      </c>
      <c r="I244" s="145">
        <f t="shared" si="10"/>
        <v>1450000</v>
      </c>
      <c r="J244" s="145">
        <f>Summary!I197</f>
        <v>8</v>
      </c>
      <c r="K244" s="146">
        <f t="shared" si="11"/>
        <v>5400000</v>
      </c>
      <c r="M244" s="13"/>
      <c r="N244" s="147"/>
    </row>
    <row r="245" spans="2:14" ht="18" customHeight="1" x14ac:dyDescent="0.8">
      <c r="B245" s="206" t="str">
        <f>Summary!B198</f>
        <v>مام فیت کمرکش</v>
      </c>
      <c r="C245" s="144"/>
      <c r="D245" s="145">
        <f>Summary!C198</f>
        <v>8</v>
      </c>
      <c r="E245" s="145">
        <f>Summary!E198</f>
        <v>4080000</v>
      </c>
      <c r="F245" s="145">
        <f t="shared" si="9"/>
        <v>510000</v>
      </c>
      <c r="G245" s="145">
        <f>Summary!F198</f>
        <v>1</v>
      </c>
      <c r="H245" s="145">
        <f>Summary!G198</f>
        <v>1600000</v>
      </c>
      <c r="I245" s="145">
        <f t="shared" si="10"/>
        <v>1600000</v>
      </c>
      <c r="J245" s="145">
        <f>Summary!I198</f>
        <v>7</v>
      </c>
      <c r="K245" s="146">
        <f t="shared" si="11"/>
        <v>3570000</v>
      </c>
      <c r="M245" s="13"/>
      <c r="N245" s="147"/>
    </row>
    <row r="246" spans="2:14" ht="18" customHeight="1" x14ac:dyDescent="0.8">
      <c r="B246" s="206" t="str">
        <f>Summary!B199</f>
        <v>جین واید لگ تیره</v>
      </c>
      <c r="C246" s="144"/>
      <c r="D246" s="145">
        <f>Summary!C199</f>
        <v>5</v>
      </c>
      <c r="E246" s="145">
        <f>Summary!E199</f>
        <v>3700000</v>
      </c>
      <c r="F246" s="145">
        <f t="shared" si="9"/>
        <v>740000</v>
      </c>
      <c r="G246" s="145">
        <f>Summary!F199</f>
        <v>3</v>
      </c>
      <c r="H246" s="145">
        <f>Summary!G199</f>
        <v>3700000</v>
      </c>
      <c r="I246" s="145">
        <f t="shared" si="10"/>
        <v>1233333.3333333333</v>
      </c>
      <c r="J246" s="145">
        <f>Summary!I199</f>
        <v>2</v>
      </c>
      <c r="K246" s="146">
        <f t="shared" si="11"/>
        <v>1480000</v>
      </c>
      <c r="M246" s="13"/>
      <c r="N246" s="147"/>
    </row>
    <row r="247" spans="2:14" ht="18" customHeight="1" x14ac:dyDescent="0.8">
      <c r="B247" s="206" t="e">
        <f>Summary!#REF!</f>
        <v>#REF!</v>
      </c>
      <c r="C247" s="144"/>
      <c r="D247" s="145" t="e">
        <f>Summary!#REF!</f>
        <v>#REF!</v>
      </c>
      <c r="E247" s="145" t="e">
        <f>Summary!#REF!</f>
        <v>#REF!</v>
      </c>
      <c r="F247" s="145">
        <f t="shared" si="9"/>
        <v>0</v>
      </c>
      <c r="G247" s="145" t="e">
        <f>Summary!#REF!</f>
        <v>#REF!</v>
      </c>
      <c r="H247" s="145" t="e">
        <f>Summary!#REF!</f>
        <v>#REF!</v>
      </c>
      <c r="I247" s="145">
        <f t="shared" si="10"/>
        <v>0</v>
      </c>
      <c r="J247" s="145" t="e">
        <f>Summary!#REF!</f>
        <v>#REF!</v>
      </c>
      <c r="K247" s="146" t="e">
        <f t="shared" si="11"/>
        <v>#REF!</v>
      </c>
      <c r="M247" s="13"/>
      <c r="N247" s="147"/>
    </row>
    <row r="248" spans="2:14" ht="18" customHeight="1" x14ac:dyDescent="0.8">
      <c r="B248" s="206" t="e">
        <f>Summary!#REF!</f>
        <v>#REF!</v>
      </c>
      <c r="C248" s="144"/>
      <c r="D248" s="145" t="e">
        <f>Summary!#REF!</f>
        <v>#REF!</v>
      </c>
      <c r="E248" s="145" t="e">
        <f>Summary!#REF!</f>
        <v>#REF!</v>
      </c>
      <c r="F248" s="145">
        <f t="shared" si="9"/>
        <v>0</v>
      </c>
      <c r="G248" s="145" t="e">
        <f>Summary!#REF!</f>
        <v>#REF!</v>
      </c>
      <c r="H248" s="145" t="e">
        <f>Summary!#REF!</f>
        <v>#REF!</v>
      </c>
      <c r="I248" s="145">
        <f t="shared" si="10"/>
        <v>0</v>
      </c>
      <c r="J248" s="145" t="e">
        <f>Summary!#REF!</f>
        <v>#REF!</v>
      </c>
      <c r="K248" s="146" t="e">
        <f t="shared" si="11"/>
        <v>#REF!</v>
      </c>
      <c r="M248" s="13"/>
      <c r="N248" s="147"/>
    </row>
    <row r="249" spans="2:14" ht="18" customHeight="1" x14ac:dyDescent="0.8">
      <c r="B249" s="206" t="e">
        <f>Summary!#REF!</f>
        <v>#REF!</v>
      </c>
      <c r="C249" s="144"/>
      <c r="D249" s="145" t="e">
        <f>Summary!#REF!</f>
        <v>#REF!</v>
      </c>
      <c r="E249" s="145" t="e">
        <f>Summary!#REF!</f>
        <v>#REF!</v>
      </c>
      <c r="F249" s="145">
        <f t="shared" si="9"/>
        <v>0</v>
      </c>
      <c r="G249" s="145" t="e">
        <f>Summary!#REF!</f>
        <v>#REF!</v>
      </c>
      <c r="H249" s="145" t="e">
        <f>Summary!#REF!</f>
        <v>#REF!</v>
      </c>
      <c r="I249" s="145">
        <f t="shared" si="10"/>
        <v>0</v>
      </c>
      <c r="J249" s="145" t="e">
        <f>Summary!#REF!</f>
        <v>#REF!</v>
      </c>
      <c r="K249" s="146" t="e">
        <f t="shared" si="11"/>
        <v>#REF!</v>
      </c>
      <c r="M249" s="13"/>
      <c r="N249" s="147"/>
    </row>
    <row r="250" spans="2:14" ht="18" customHeight="1" x14ac:dyDescent="0.8">
      <c r="B250" s="206" t="e">
        <f>Summary!#REF!</f>
        <v>#REF!</v>
      </c>
      <c r="C250" s="144"/>
      <c r="D250" s="145" t="e">
        <f>Summary!#REF!</f>
        <v>#REF!</v>
      </c>
      <c r="E250" s="145" t="e">
        <f>Summary!#REF!</f>
        <v>#REF!</v>
      </c>
      <c r="F250" s="145">
        <f t="shared" si="9"/>
        <v>0</v>
      </c>
      <c r="G250" s="145" t="e">
        <f>Summary!#REF!</f>
        <v>#REF!</v>
      </c>
      <c r="H250" s="145" t="e">
        <f>Summary!#REF!</f>
        <v>#REF!</v>
      </c>
      <c r="I250" s="145">
        <f t="shared" si="10"/>
        <v>0</v>
      </c>
      <c r="J250" s="145" t="e">
        <f>Summary!#REF!</f>
        <v>#REF!</v>
      </c>
      <c r="K250" s="146" t="e">
        <f t="shared" si="11"/>
        <v>#REF!</v>
      </c>
      <c r="M250" s="13"/>
      <c r="N250" s="147"/>
    </row>
    <row r="251" spans="2:14" ht="18" customHeight="1" x14ac:dyDescent="0.8">
      <c r="B251" s="206" t="e">
        <f>Summary!#REF!</f>
        <v>#REF!</v>
      </c>
      <c r="C251" s="144"/>
      <c r="D251" s="145" t="e">
        <f>Summary!#REF!</f>
        <v>#REF!</v>
      </c>
      <c r="E251" s="145" t="e">
        <f>Summary!#REF!</f>
        <v>#REF!</v>
      </c>
      <c r="F251" s="145">
        <f t="shared" si="9"/>
        <v>0</v>
      </c>
      <c r="G251" s="145" t="e">
        <f>Summary!#REF!</f>
        <v>#REF!</v>
      </c>
      <c r="H251" s="145" t="e">
        <f>Summary!#REF!</f>
        <v>#REF!</v>
      </c>
      <c r="I251" s="145">
        <f t="shared" si="10"/>
        <v>0</v>
      </c>
      <c r="J251" s="145" t="e">
        <f>Summary!#REF!</f>
        <v>#REF!</v>
      </c>
      <c r="K251" s="146" t="e">
        <f t="shared" si="11"/>
        <v>#REF!</v>
      </c>
      <c r="M251" s="13"/>
      <c r="N251" s="147"/>
    </row>
    <row r="252" spans="2:14" ht="18" customHeight="1" x14ac:dyDescent="0.8">
      <c r="B252" s="206" t="e">
        <f>Summary!#REF!</f>
        <v>#REF!</v>
      </c>
      <c r="C252" s="144"/>
      <c r="D252" s="145" t="e">
        <f>Summary!#REF!</f>
        <v>#REF!</v>
      </c>
      <c r="E252" s="145" t="e">
        <f>Summary!#REF!</f>
        <v>#REF!</v>
      </c>
      <c r="F252" s="145">
        <f t="shared" si="9"/>
        <v>0</v>
      </c>
      <c r="G252" s="145" t="e">
        <f>Summary!#REF!</f>
        <v>#REF!</v>
      </c>
      <c r="H252" s="145" t="e">
        <f>Summary!#REF!</f>
        <v>#REF!</v>
      </c>
      <c r="I252" s="145">
        <f t="shared" si="10"/>
        <v>0</v>
      </c>
      <c r="J252" s="145" t="e">
        <f>Summary!#REF!</f>
        <v>#REF!</v>
      </c>
      <c r="K252" s="146" t="e">
        <f t="shared" si="11"/>
        <v>#REF!</v>
      </c>
      <c r="M252" s="13"/>
      <c r="N252" s="147"/>
    </row>
    <row r="253" spans="2:14" ht="18" customHeight="1" x14ac:dyDescent="0.8">
      <c r="B253" s="206" t="e">
        <f>Summary!#REF!</f>
        <v>#REF!</v>
      </c>
      <c r="C253" s="144"/>
      <c r="D253" s="145" t="e">
        <f>Summary!#REF!</f>
        <v>#REF!</v>
      </c>
      <c r="E253" s="145" t="e">
        <f>Summary!#REF!</f>
        <v>#REF!</v>
      </c>
      <c r="F253" s="145">
        <f t="shared" si="9"/>
        <v>0</v>
      </c>
      <c r="G253" s="145" t="e">
        <f>Summary!#REF!</f>
        <v>#REF!</v>
      </c>
      <c r="H253" s="145" t="e">
        <f>Summary!#REF!</f>
        <v>#REF!</v>
      </c>
      <c r="I253" s="145">
        <f t="shared" si="10"/>
        <v>0</v>
      </c>
      <c r="J253" s="145" t="e">
        <f>Summary!#REF!</f>
        <v>#REF!</v>
      </c>
      <c r="K253" s="146" t="e">
        <f t="shared" si="11"/>
        <v>#REF!</v>
      </c>
      <c r="M253" s="13"/>
      <c r="N253" s="147"/>
    </row>
    <row r="254" spans="2:14" ht="18" customHeight="1" x14ac:dyDescent="0.8">
      <c r="B254" s="206" t="e">
        <f>Summary!#REF!</f>
        <v>#REF!</v>
      </c>
      <c r="C254" s="144"/>
      <c r="D254" s="145" t="e">
        <f>Summary!#REF!</f>
        <v>#REF!</v>
      </c>
      <c r="E254" s="145" t="e">
        <f>Summary!#REF!</f>
        <v>#REF!</v>
      </c>
      <c r="F254" s="145">
        <f t="shared" si="9"/>
        <v>0</v>
      </c>
      <c r="G254" s="145" t="e">
        <f>Summary!#REF!</f>
        <v>#REF!</v>
      </c>
      <c r="H254" s="145" t="e">
        <f>Summary!#REF!</f>
        <v>#REF!</v>
      </c>
      <c r="I254" s="145">
        <f t="shared" si="10"/>
        <v>0</v>
      </c>
      <c r="J254" s="145" t="e">
        <f>Summary!#REF!</f>
        <v>#REF!</v>
      </c>
      <c r="K254" s="146" t="e">
        <f t="shared" si="11"/>
        <v>#REF!</v>
      </c>
      <c r="M254" s="13"/>
      <c r="N254" s="147"/>
    </row>
    <row r="255" spans="2:14" ht="18" customHeight="1" x14ac:dyDescent="0.8">
      <c r="B255" s="206" t="e">
        <f>Summary!#REF!</f>
        <v>#REF!</v>
      </c>
      <c r="C255" s="144"/>
      <c r="D255" s="145" t="e">
        <f>Summary!#REF!</f>
        <v>#REF!</v>
      </c>
      <c r="E255" s="145" t="e">
        <f>Summary!#REF!</f>
        <v>#REF!</v>
      </c>
      <c r="F255" s="145">
        <f t="shared" si="9"/>
        <v>0</v>
      </c>
      <c r="G255" s="145" t="e">
        <f>Summary!#REF!</f>
        <v>#REF!</v>
      </c>
      <c r="H255" s="145" t="e">
        <f>Summary!#REF!</f>
        <v>#REF!</v>
      </c>
      <c r="I255" s="145">
        <f t="shared" si="10"/>
        <v>0</v>
      </c>
      <c r="J255" s="145" t="e">
        <f>Summary!#REF!</f>
        <v>#REF!</v>
      </c>
      <c r="K255" s="146" t="e">
        <f t="shared" si="11"/>
        <v>#REF!</v>
      </c>
      <c r="M255" s="13"/>
      <c r="N255" s="147"/>
    </row>
    <row r="256" spans="2:14" ht="18" customHeight="1" x14ac:dyDescent="0.8">
      <c r="B256" s="206" t="e">
        <f>Summary!#REF!</f>
        <v>#REF!</v>
      </c>
      <c r="C256" s="144"/>
      <c r="D256" s="145" t="e">
        <f>Summary!#REF!</f>
        <v>#REF!</v>
      </c>
      <c r="E256" s="145" t="e">
        <f>Summary!#REF!</f>
        <v>#REF!</v>
      </c>
      <c r="F256" s="145">
        <f t="shared" si="9"/>
        <v>0</v>
      </c>
      <c r="G256" s="145" t="e">
        <f>Summary!#REF!</f>
        <v>#REF!</v>
      </c>
      <c r="H256" s="145" t="e">
        <f>Summary!#REF!</f>
        <v>#REF!</v>
      </c>
      <c r="I256" s="145">
        <f t="shared" si="10"/>
        <v>0</v>
      </c>
      <c r="J256" s="145" t="e">
        <f>Summary!#REF!</f>
        <v>#REF!</v>
      </c>
      <c r="K256" s="146" t="e">
        <f t="shared" si="11"/>
        <v>#REF!</v>
      </c>
      <c r="M256" s="13"/>
      <c r="N256" s="147"/>
    </row>
    <row r="257" spans="2:14" ht="18" customHeight="1" x14ac:dyDescent="0.8">
      <c r="B257" s="206" t="e">
        <f>Summary!#REF!</f>
        <v>#REF!</v>
      </c>
      <c r="C257" s="144"/>
      <c r="D257" s="145" t="e">
        <f>Summary!#REF!</f>
        <v>#REF!</v>
      </c>
      <c r="E257" s="145" t="e">
        <f>Summary!#REF!</f>
        <v>#REF!</v>
      </c>
      <c r="F257" s="145">
        <f t="shared" si="9"/>
        <v>0</v>
      </c>
      <c r="G257" s="145" t="e">
        <f>Summary!#REF!</f>
        <v>#REF!</v>
      </c>
      <c r="H257" s="145" t="e">
        <f>Summary!#REF!</f>
        <v>#REF!</v>
      </c>
      <c r="I257" s="145">
        <f t="shared" si="10"/>
        <v>0</v>
      </c>
      <c r="J257" s="145" t="e">
        <f>Summary!#REF!</f>
        <v>#REF!</v>
      </c>
      <c r="K257" s="146" t="e">
        <f t="shared" si="11"/>
        <v>#REF!</v>
      </c>
      <c r="M257" s="13"/>
      <c r="N257" s="147"/>
    </row>
    <row r="258" spans="2:14" ht="18" customHeight="1" x14ac:dyDescent="0.8">
      <c r="B258" s="206" t="e">
        <f>Summary!#REF!</f>
        <v>#REF!</v>
      </c>
      <c r="C258" s="144"/>
      <c r="D258" s="145" t="e">
        <f>Summary!#REF!</f>
        <v>#REF!</v>
      </c>
      <c r="E258" s="145" t="e">
        <f>Summary!#REF!</f>
        <v>#REF!</v>
      </c>
      <c r="F258" s="145">
        <f t="shared" si="9"/>
        <v>0</v>
      </c>
      <c r="G258" s="145" t="e">
        <f>Summary!#REF!</f>
        <v>#REF!</v>
      </c>
      <c r="H258" s="145" t="e">
        <f>Summary!#REF!</f>
        <v>#REF!</v>
      </c>
      <c r="I258" s="145">
        <f t="shared" si="10"/>
        <v>0</v>
      </c>
      <c r="J258" s="145" t="e">
        <f>Summary!#REF!</f>
        <v>#REF!</v>
      </c>
      <c r="K258" s="146" t="e">
        <f t="shared" si="11"/>
        <v>#REF!</v>
      </c>
      <c r="M258" s="13"/>
      <c r="N258" s="147"/>
    </row>
    <row r="259" spans="2:14" ht="18" customHeight="1" x14ac:dyDescent="0.8">
      <c r="B259" s="206" t="e">
        <f>Summary!#REF!</f>
        <v>#REF!</v>
      </c>
      <c r="C259" s="144"/>
      <c r="D259" s="145" t="e">
        <f>Summary!#REF!</f>
        <v>#REF!</v>
      </c>
      <c r="E259" s="145" t="e">
        <f>Summary!#REF!</f>
        <v>#REF!</v>
      </c>
      <c r="F259" s="145">
        <f t="shared" si="9"/>
        <v>0</v>
      </c>
      <c r="G259" s="145" t="e">
        <f>Summary!#REF!</f>
        <v>#REF!</v>
      </c>
      <c r="H259" s="145" t="e">
        <f>Summary!#REF!</f>
        <v>#REF!</v>
      </c>
      <c r="I259" s="145">
        <f t="shared" si="10"/>
        <v>0</v>
      </c>
      <c r="J259" s="145" t="e">
        <f>Summary!#REF!</f>
        <v>#REF!</v>
      </c>
      <c r="K259" s="146" t="e">
        <f t="shared" si="11"/>
        <v>#REF!</v>
      </c>
      <c r="M259" s="13"/>
      <c r="N259" s="147"/>
    </row>
    <row r="260" spans="2:14" ht="18" customHeight="1" x14ac:dyDescent="0.8">
      <c r="B260" s="206" t="e">
        <f>Summary!#REF!</f>
        <v>#REF!</v>
      </c>
      <c r="C260" s="144"/>
      <c r="D260" s="145" t="e">
        <f>Summary!#REF!</f>
        <v>#REF!</v>
      </c>
      <c r="E260" s="145" t="e">
        <f>Summary!#REF!</f>
        <v>#REF!</v>
      </c>
      <c r="F260" s="145">
        <f t="shared" si="9"/>
        <v>0</v>
      </c>
      <c r="G260" s="145" t="e">
        <f>Summary!#REF!</f>
        <v>#REF!</v>
      </c>
      <c r="H260" s="145" t="e">
        <f>Summary!#REF!</f>
        <v>#REF!</v>
      </c>
      <c r="I260" s="145">
        <f t="shared" si="10"/>
        <v>0</v>
      </c>
      <c r="J260" s="145" t="e">
        <f>Summary!#REF!</f>
        <v>#REF!</v>
      </c>
      <c r="K260" s="146" t="e">
        <f t="shared" si="11"/>
        <v>#REF!</v>
      </c>
      <c r="M260" s="13"/>
      <c r="N260" s="147"/>
    </row>
    <row r="261" spans="2:14" ht="18" customHeight="1" x14ac:dyDescent="0.8">
      <c r="B261" s="206" t="e">
        <f>Summary!#REF!</f>
        <v>#REF!</v>
      </c>
      <c r="C261" s="144"/>
      <c r="D261" s="145" t="e">
        <f>Summary!#REF!</f>
        <v>#REF!</v>
      </c>
      <c r="E261" s="145" t="e">
        <f>Summary!#REF!</f>
        <v>#REF!</v>
      </c>
      <c r="F261" s="145">
        <f t="shared" si="9"/>
        <v>0</v>
      </c>
      <c r="G261" s="145" t="e">
        <f>Summary!#REF!</f>
        <v>#REF!</v>
      </c>
      <c r="H261" s="145" t="e">
        <f>Summary!#REF!</f>
        <v>#REF!</v>
      </c>
      <c r="I261" s="145">
        <f t="shared" si="10"/>
        <v>0</v>
      </c>
      <c r="J261" s="145" t="e">
        <f>Summary!#REF!</f>
        <v>#REF!</v>
      </c>
      <c r="K261" s="146" t="e">
        <f t="shared" si="11"/>
        <v>#REF!</v>
      </c>
      <c r="M261" s="13"/>
      <c r="N261" s="147"/>
    </row>
    <row r="262" spans="2:14" ht="18" customHeight="1" x14ac:dyDescent="0.8">
      <c r="B262" s="206" t="e">
        <f>Summary!#REF!</f>
        <v>#REF!</v>
      </c>
      <c r="C262" s="144"/>
      <c r="D262" s="145" t="e">
        <f>Summary!#REF!</f>
        <v>#REF!</v>
      </c>
      <c r="E262" s="145" t="e">
        <f>Summary!#REF!</f>
        <v>#REF!</v>
      </c>
      <c r="F262" s="145">
        <f t="shared" si="9"/>
        <v>0</v>
      </c>
      <c r="G262" s="145" t="e">
        <f>Summary!#REF!</f>
        <v>#REF!</v>
      </c>
      <c r="H262" s="145" t="e">
        <f>Summary!#REF!</f>
        <v>#REF!</v>
      </c>
      <c r="I262" s="145">
        <f t="shared" si="10"/>
        <v>0</v>
      </c>
      <c r="J262" s="145" t="e">
        <f>Summary!#REF!</f>
        <v>#REF!</v>
      </c>
      <c r="K262" s="146" t="e">
        <f t="shared" si="11"/>
        <v>#REF!</v>
      </c>
      <c r="M262" s="13"/>
      <c r="N262" s="147"/>
    </row>
    <row r="263" spans="2:14" ht="18" customHeight="1" x14ac:dyDescent="0.8">
      <c r="B263" s="206" t="e">
        <f>Summary!#REF!</f>
        <v>#REF!</v>
      </c>
      <c r="C263" s="144"/>
      <c r="D263" s="145" t="e">
        <f>Summary!#REF!</f>
        <v>#REF!</v>
      </c>
      <c r="E263" s="145" t="e">
        <f>Summary!#REF!</f>
        <v>#REF!</v>
      </c>
      <c r="F263" s="145">
        <f t="shared" ref="F263:F305" si="12">IFERROR(E263/D263, 0)</f>
        <v>0</v>
      </c>
      <c r="G263" s="145" t="e">
        <f>Summary!#REF!</f>
        <v>#REF!</v>
      </c>
      <c r="H263" s="145" t="e">
        <f>Summary!#REF!</f>
        <v>#REF!</v>
      </c>
      <c r="I263" s="145">
        <f t="shared" ref="I263:I305" si="13">IFERROR(H263/G263, 0)</f>
        <v>0</v>
      </c>
      <c r="J263" s="145" t="e">
        <f>Summary!#REF!</f>
        <v>#REF!</v>
      </c>
      <c r="K263" s="146" t="e">
        <f t="shared" ref="K263:K305" si="14">J263*F263</f>
        <v>#REF!</v>
      </c>
      <c r="M263" s="13"/>
      <c r="N263" s="147"/>
    </row>
    <row r="264" spans="2:14" ht="18" customHeight="1" x14ac:dyDescent="0.8">
      <c r="B264" s="206" t="e">
        <f>Summary!#REF!</f>
        <v>#REF!</v>
      </c>
      <c r="C264" s="144"/>
      <c r="D264" s="145" t="e">
        <f>Summary!#REF!</f>
        <v>#REF!</v>
      </c>
      <c r="E264" s="145" t="e">
        <f>Summary!#REF!</f>
        <v>#REF!</v>
      </c>
      <c r="F264" s="145">
        <f t="shared" si="12"/>
        <v>0</v>
      </c>
      <c r="G264" s="145" t="e">
        <f>Summary!#REF!</f>
        <v>#REF!</v>
      </c>
      <c r="H264" s="145" t="e">
        <f>Summary!#REF!</f>
        <v>#REF!</v>
      </c>
      <c r="I264" s="145">
        <f t="shared" si="13"/>
        <v>0</v>
      </c>
      <c r="J264" s="145" t="e">
        <f>Summary!#REF!</f>
        <v>#REF!</v>
      </c>
      <c r="K264" s="146" t="e">
        <f t="shared" si="14"/>
        <v>#REF!</v>
      </c>
      <c r="M264" s="13"/>
      <c r="N264" s="147"/>
    </row>
    <row r="265" spans="2:14" ht="18" customHeight="1" x14ac:dyDescent="0.8">
      <c r="B265" s="206" t="e">
        <f>Summary!#REF!</f>
        <v>#REF!</v>
      </c>
      <c r="C265" s="144"/>
      <c r="D265" s="145" t="e">
        <f>Summary!#REF!</f>
        <v>#REF!</v>
      </c>
      <c r="E265" s="145" t="e">
        <f>Summary!#REF!</f>
        <v>#REF!</v>
      </c>
      <c r="F265" s="145">
        <f t="shared" si="12"/>
        <v>0</v>
      </c>
      <c r="G265" s="145" t="e">
        <f>Summary!#REF!</f>
        <v>#REF!</v>
      </c>
      <c r="H265" s="145" t="e">
        <f>Summary!#REF!</f>
        <v>#REF!</v>
      </c>
      <c r="I265" s="145">
        <f t="shared" si="13"/>
        <v>0</v>
      </c>
      <c r="J265" s="145" t="e">
        <f>Summary!#REF!</f>
        <v>#REF!</v>
      </c>
      <c r="K265" s="146" t="e">
        <f t="shared" si="14"/>
        <v>#REF!</v>
      </c>
      <c r="M265" s="13"/>
      <c r="N265" s="147"/>
    </row>
    <row r="266" spans="2:14" ht="18" customHeight="1" x14ac:dyDescent="0.8">
      <c r="B266" s="206" t="e">
        <f>Summary!#REF!</f>
        <v>#REF!</v>
      </c>
      <c r="C266" s="144"/>
      <c r="D266" s="145" t="e">
        <f>Summary!#REF!</f>
        <v>#REF!</v>
      </c>
      <c r="E266" s="145" t="e">
        <f>Summary!#REF!</f>
        <v>#REF!</v>
      </c>
      <c r="F266" s="145">
        <f t="shared" si="12"/>
        <v>0</v>
      </c>
      <c r="G266" s="145" t="e">
        <f>Summary!#REF!</f>
        <v>#REF!</v>
      </c>
      <c r="H266" s="145" t="e">
        <f>Summary!#REF!</f>
        <v>#REF!</v>
      </c>
      <c r="I266" s="145">
        <f t="shared" si="13"/>
        <v>0</v>
      </c>
      <c r="J266" s="145" t="e">
        <f>Summary!#REF!</f>
        <v>#REF!</v>
      </c>
      <c r="K266" s="146" t="e">
        <f t="shared" si="14"/>
        <v>#REF!</v>
      </c>
      <c r="M266" s="13"/>
      <c r="N266" s="147"/>
    </row>
    <row r="267" spans="2:14" ht="18" customHeight="1" x14ac:dyDescent="0.8">
      <c r="B267" s="206" t="e">
        <f>Summary!#REF!</f>
        <v>#REF!</v>
      </c>
      <c r="C267" s="144"/>
      <c r="D267" s="145" t="e">
        <f>Summary!#REF!</f>
        <v>#REF!</v>
      </c>
      <c r="E267" s="145" t="e">
        <f>Summary!#REF!</f>
        <v>#REF!</v>
      </c>
      <c r="F267" s="145">
        <f t="shared" si="12"/>
        <v>0</v>
      </c>
      <c r="G267" s="145" t="e">
        <f>Summary!#REF!</f>
        <v>#REF!</v>
      </c>
      <c r="H267" s="145" t="e">
        <f>Summary!#REF!</f>
        <v>#REF!</v>
      </c>
      <c r="I267" s="145">
        <f t="shared" si="13"/>
        <v>0</v>
      </c>
      <c r="J267" s="145" t="e">
        <f>Summary!#REF!</f>
        <v>#REF!</v>
      </c>
      <c r="K267" s="146" t="e">
        <f t="shared" si="14"/>
        <v>#REF!</v>
      </c>
      <c r="M267" s="13"/>
      <c r="N267" s="147"/>
    </row>
    <row r="268" spans="2:14" ht="18" customHeight="1" x14ac:dyDescent="0.8">
      <c r="B268" s="206" t="e">
        <f>Summary!#REF!</f>
        <v>#REF!</v>
      </c>
      <c r="C268" s="144"/>
      <c r="D268" s="145" t="e">
        <f>Summary!#REF!</f>
        <v>#REF!</v>
      </c>
      <c r="E268" s="145" t="e">
        <f>Summary!#REF!</f>
        <v>#REF!</v>
      </c>
      <c r="F268" s="145">
        <f t="shared" si="12"/>
        <v>0</v>
      </c>
      <c r="G268" s="145" t="e">
        <f>Summary!#REF!</f>
        <v>#REF!</v>
      </c>
      <c r="H268" s="145" t="e">
        <f>Summary!#REF!</f>
        <v>#REF!</v>
      </c>
      <c r="I268" s="145">
        <f t="shared" si="13"/>
        <v>0</v>
      </c>
      <c r="J268" s="145" t="e">
        <f>Summary!#REF!</f>
        <v>#REF!</v>
      </c>
      <c r="K268" s="146" t="e">
        <f t="shared" si="14"/>
        <v>#REF!</v>
      </c>
      <c r="M268" s="13"/>
      <c r="N268" s="147"/>
    </row>
    <row r="269" spans="2:14" ht="18" customHeight="1" x14ac:dyDescent="0.8">
      <c r="B269" s="206" t="e">
        <f>Summary!#REF!</f>
        <v>#REF!</v>
      </c>
      <c r="C269" s="144"/>
      <c r="D269" s="145" t="e">
        <f>Summary!#REF!</f>
        <v>#REF!</v>
      </c>
      <c r="E269" s="145" t="e">
        <f>Summary!#REF!</f>
        <v>#REF!</v>
      </c>
      <c r="F269" s="145">
        <f t="shared" si="12"/>
        <v>0</v>
      </c>
      <c r="G269" s="145" t="e">
        <f>Summary!#REF!</f>
        <v>#REF!</v>
      </c>
      <c r="H269" s="145" t="e">
        <f>Summary!#REF!</f>
        <v>#REF!</v>
      </c>
      <c r="I269" s="145">
        <f t="shared" si="13"/>
        <v>0</v>
      </c>
      <c r="J269" s="145" t="e">
        <f>Summary!#REF!</f>
        <v>#REF!</v>
      </c>
      <c r="K269" s="146" t="e">
        <f t="shared" si="14"/>
        <v>#REF!</v>
      </c>
      <c r="M269" s="13"/>
      <c r="N269" s="147"/>
    </row>
    <row r="270" spans="2:14" ht="18" customHeight="1" x14ac:dyDescent="0.8">
      <c r="B270" s="206" t="e">
        <f>Summary!#REF!</f>
        <v>#REF!</v>
      </c>
      <c r="C270" s="144"/>
      <c r="D270" s="145" t="e">
        <f>Summary!#REF!</f>
        <v>#REF!</v>
      </c>
      <c r="E270" s="145" t="e">
        <f>Summary!#REF!</f>
        <v>#REF!</v>
      </c>
      <c r="F270" s="145">
        <f t="shared" si="12"/>
        <v>0</v>
      </c>
      <c r="G270" s="145" t="e">
        <f>Summary!#REF!</f>
        <v>#REF!</v>
      </c>
      <c r="H270" s="145" t="e">
        <f>Summary!#REF!</f>
        <v>#REF!</v>
      </c>
      <c r="I270" s="145">
        <f t="shared" si="13"/>
        <v>0</v>
      </c>
      <c r="J270" s="145" t="e">
        <f>Summary!#REF!</f>
        <v>#REF!</v>
      </c>
      <c r="K270" s="146" t="e">
        <f t="shared" si="14"/>
        <v>#REF!</v>
      </c>
      <c r="M270" s="13"/>
      <c r="N270" s="147"/>
    </row>
    <row r="271" spans="2:14" ht="18" customHeight="1" x14ac:dyDescent="0.8">
      <c r="B271" s="206" t="e">
        <f>Summary!#REF!</f>
        <v>#REF!</v>
      </c>
      <c r="C271" s="144"/>
      <c r="D271" s="145" t="e">
        <f>Summary!#REF!</f>
        <v>#REF!</v>
      </c>
      <c r="E271" s="145" t="e">
        <f>Summary!#REF!</f>
        <v>#REF!</v>
      </c>
      <c r="F271" s="145">
        <f t="shared" si="12"/>
        <v>0</v>
      </c>
      <c r="G271" s="145" t="e">
        <f>Summary!#REF!</f>
        <v>#REF!</v>
      </c>
      <c r="H271" s="145" t="e">
        <f>Summary!#REF!</f>
        <v>#REF!</v>
      </c>
      <c r="I271" s="145">
        <f t="shared" si="13"/>
        <v>0</v>
      </c>
      <c r="J271" s="145" t="e">
        <f>Summary!#REF!</f>
        <v>#REF!</v>
      </c>
      <c r="K271" s="146" t="e">
        <f t="shared" si="14"/>
        <v>#REF!</v>
      </c>
      <c r="M271" s="13"/>
      <c r="N271" s="147"/>
    </row>
    <row r="272" spans="2:14" ht="18" customHeight="1" x14ac:dyDescent="0.8">
      <c r="B272" s="206" t="e">
        <f>Summary!#REF!</f>
        <v>#REF!</v>
      </c>
      <c r="C272" s="144"/>
      <c r="D272" s="145" t="e">
        <f>Summary!#REF!</f>
        <v>#REF!</v>
      </c>
      <c r="E272" s="145" t="e">
        <f>Summary!#REF!</f>
        <v>#REF!</v>
      </c>
      <c r="F272" s="145">
        <f t="shared" si="12"/>
        <v>0</v>
      </c>
      <c r="G272" s="145" t="e">
        <f>Summary!#REF!</f>
        <v>#REF!</v>
      </c>
      <c r="H272" s="145" t="e">
        <f>Summary!#REF!</f>
        <v>#REF!</v>
      </c>
      <c r="I272" s="145">
        <f t="shared" si="13"/>
        <v>0</v>
      </c>
      <c r="J272" s="145" t="e">
        <f>Summary!#REF!</f>
        <v>#REF!</v>
      </c>
      <c r="K272" s="146" t="e">
        <f t="shared" si="14"/>
        <v>#REF!</v>
      </c>
      <c r="M272" s="13"/>
      <c r="N272" s="147"/>
    </row>
    <row r="273" spans="2:14" ht="18" customHeight="1" x14ac:dyDescent="0.8">
      <c r="B273" s="206" t="e">
        <f>Summary!#REF!</f>
        <v>#REF!</v>
      </c>
      <c r="C273" s="144"/>
      <c r="D273" s="145" t="e">
        <f>Summary!#REF!</f>
        <v>#REF!</v>
      </c>
      <c r="E273" s="145" t="e">
        <f>Summary!#REF!</f>
        <v>#REF!</v>
      </c>
      <c r="F273" s="145">
        <f t="shared" si="12"/>
        <v>0</v>
      </c>
      <c r="G273" s="145" t="e">
        <f>Summary!#REF!</f>
        <v>#REF!</v>
      </c>
      <c r="H273" s="145" t="e">
        <f>Summary!#REF!</f>
        <v>#REF!</v>
      </c>
      <c r="I273" s="145">
        <f t="shared" si="13"/>
        <v>0</v>
      </c>
      <c r="J273" s="145" t="e">
        <f>Summary!#REF!</f>
        <v>#REF!</v>
      </c>
      <c r="K273" s="146" t="e">
        <f t="shared" si="14"/>
        <v>#REF!</v>
      </c>
      <c r="M273" s="13"/>
      <c r="N273" s="147"/>
    </row>
    <row r="274" spans="2:14" ht="18" customHeight="1" x14ac:dyDescent="0.8">
      <c r="B274" s="206" t="e">
        <f>Summary!#REF!</f>
        <v>#REF!</v>
      </c>
      <c r="C274" s="144"/>
      <c r="D274" s="145" t="e">
        <f>Summary!#REF!</f>
        <v>#REF!</v>
      </c>
      <c r="E274" s="145" t="e">
        <f>Summary!#REF!</f>
        <v>#REF!</v>
      </c>
      <c r="F274" s="145">
        <f t="shared" si="12"/>
        <v>0</v>
      </c>
      <c r="G274" s="145" t="e">
        <f>Summary!#REF!</f>
        <v>#REF!</v>
      </c>
      <c r="H274" s="145" t="e">
        <f>Summary!#REF!</f>
        <v>#REF!</v>
      </c>
      <c r="I274" s="145">
        <f t="shared" si="13"/>
        <v>0</v>
      </c>
      <c r="J274" s="145" t="e">
        <f>Summary!#REF!</f>
        <v>#REF!</v>
      </c>
      <c r="K274" s="146" t="e">
        <f t="shared" si="14"/>
        <v>#REF!</v>
      </c>
      <c r="M274" s="13"/>
      <c r="N274" s="147"/>
    </row>
    <row r="275" spans="2:14" ht="18" customHeight="1" x14ac:dyDescent="0.8">
      <c r="B275" s="206" t="e">
        <f>Summary!#REF!</f>
        <v>#REF!</v>
      </c>
      <c r="C275" s="144"/>
      <c r="D275" s="145" t="e">
        <f>Summary!#REF!</f>
        <v>#REF!</v>
      </c>
      <c r="E275" s="145" t="e">
        <f>Summary!#REF!</f>
        <v>#REF!</v>
      </c>
      <c r="F275" s="145">
        <f t="shared" si="12"/>
        <v>0</v>
      </c>
      <c r="G275" s="145" t="e">
        <f>Summary!#REF!</f>
        <v>#REF!</v>
      </c>
      <c r="H275" s="145" t="e">
        <f>Summary!#REF!</f>
        <v>#REF!</v>
      </c>
      <c r="I275" s="145">
        <f t="shared" si="13"/>
        <v>0</v>
      </c>
      <c r="J275" s="145" t="e">
        <f>Summary!#REF!</f>
        <v>#REF!</v>
      </c>
      <c r="K275" s="146" t="e">
        <f t="shared" si="14"/>
        <v>#REF!</v>
      </c>
      <c r="M275" s="13"/>
      <c r="N275" s="147"/>
    </row>
    <row r="276" spans="2:14" ht="18" customHeight="1" x14ac:dyDescent="0.8">
      <c r="B276" s="206" t="e">
        <f>Summary!#REF!</f>
        <v>#REF!</v>
      </c>
      <c r="C276" s="144"/>
      <c r="D276" s="145" t="e">
        <f>Summary!#REF!</f>
        <v>#REF!</v>
      </c>
      <c r="E276" s="145" t="e">
        <f>Summary!#REF!</f>
        <v>#REF!</v>
      </c>
      <c r="F276" s="145">
        <f t="shared" si="12"/>
        <v>0</v>
      </c>
      <c r="G276" s="145" t="e">
        <f>Summary!#REF!</f>
        <v>#REF!</v>
      </c>
      <c r="H276" s="145" t="e">
        <f>Summary!#REF!</f>
        <v>#REF!</v>
      </c>
      <c r="I276" s="145">
        <f t="shared" si="13"/>
        <v>0</v>
      </c>
      <c r="J276" s="145" t="e">
        <f>Summary!#REF!</f>
        <v>#REF!</v>
      </c>
      <c r="K276" s="146" t="e">
        <f t="shared" si="14"/>
        <v>#REF!</v>
      </c>
      <c r="M276" s="13"/>
      <c r="N276" s="147"/>
    </row>
    <row r="277" spans="2:14" ht="18" customHeight="1" x14ac:dyDescent="0.8">
      <c r="B277" s="206" t="e">
        <f>Summary!#REF!</f>
        <v>#REF!</v>
      </c>
      <c r="C277" s="144"/>
      <c r="D277" s="145" t="e">
        <f>Summary!#REF!</f>
        <v>#REF!</v>
      </c>
      <c r="E277" s="145" t="e">
        <f>Summary!#REF!</f>
        <v>#REF!</v>
      </c>
      <c r="F277" s="145">
        <f t="shared" si="12"/>
        <v>0</v>
      </c>
      <c r="G277" s="145" t="e">
        <f>Summary!#REF!</f>
        <v>#REF!</v>
      </c>
      <c r="H277" s="145" t="e">
        <f>Summary!#REF!</f>
        <v>#REF!</v>
      </c>
      <c r="I277" s="145">
        <f t="shared" si="13"/>
        <v>0</v>
      </c>
      <c r="J277" s="145" t="e">
        <f>Summary!#REF!</f>
        <v>#REF!</v>
      </c>
      <c r="K277" s="146" t="e">
        <f t="shared" si="14"/>
        <v>#REF!</v>
      </c>
      <c r="M277" s="13"/>
      <c r="N277" s="147"/>
    </row>
    <row r="278" spans="2:14" ht="18" customHeight="1" x14ac:dyDescent="0.8">
      <c r="B278" s="206" t="e">
        <f>Summary!#REF!</f>
        <v>#REF!</v>
      </c>
      <c r="C278" s="144"/>
      <c r="D278" s="145" t="e">
        <f>Summary!#REF!</f>
        <v>#REF!</v>
      </c>
      <c r="E278" s="145" t="e">
        <f>Summary!#REF!</f>
        <v>#REF!</v>
      </c>
      <c r="F278" s="145">
        <f t="shared" si="12"/>
        <v>0</v>
      </c>
      <c r="G278" s="145" t="e">
        <f>Summary!#REF!</f>
        <v>#REF!</v>
      </c>
      <c r="H278" s="145" t="e">
        <f>Summary!#REF!</f>
        <v>#REF!</v>
      </c>
      <c r="I278" s="145">
        <f t="shared" si="13"/>
        <v>0</v>
      </c>
      <c r="J278" s="145" t="e">
        <f>Summary!#REF!</f>
        <v>#REF!</v>
      </c>
      <c r="K278" s="146" t="e">
        <f t="shared" si="14"/>
        <v>#REF!</v>
      </c>
      <c r="M278" s="13"/>
      <c r="N278" s="147"/>
    </row>
    <row r="279" spans="2:14" ht="18" customHeight="1" x14ac:dyDescent="0.8">
      <c r="B279" s="206" t="e">
        <f>Summary!#REF!</f>
        <v>#REF!</v>
      </c>
      <c r="C279" s="144"/>
      <c r="D279" s="145" t="e">
        <f>Summary!#REF!</f>
        <v>#REF!</v>
      </c>
      <c r="E279" s="145" t="e">
        <f>Summary!#REF!</f>
        <v>#REF!</v>
      </c>
      <c r="F279" s="145">
        <f t="shared" si="12"/>
        <v>0</v>
      </c>
      <c r="G279" s="145" t="e">
        <f>Summary!#REF!</f>
        <v>#REF!</v>
      </c>
      <c r="H279" s="145" t="e">
        <f>Summary!#REF!</f>
        <v>#REF!</v>
      </c>
      <c r="I279" s="145">
        <f t="shared" si="13"/>
        <v>0</v>
      </c>
      <c r="J279" s="145" t="e">
        <f>Summary!#REF!</f>
        <v>#REF!</v>
      </c>
      <c r="K279" s="146" t="e">
        <f t="shared" si="14"/>
        <v>#REF!</v>
      </c>
      <c r="M279" s="13"/>
      <c r="N279" s="147"/>
    </row>
    <row r="280" spans="2:14" ht="18" customHeight="1" x14ac:dyDescent="0.8">
      <c r="B280" s="206" t="e">
        <f>Summary!#REF!</f>
        <v>#REF!</v>
      </c>
      <c r="C280" s="144"/>
      <c r="D280" s="145" t="e">
        <f>Summary!#REF!</f>
        <v>#REF!</v>
      </c>
      <c r="E280" s="145" t="e">
        <f>Summary!#REF!</f>
        <v>#REF!</v>
      </c>
      <c r="F280" s="145">
        <f t="shared" si="12"/>
        <v>0</v>
      </c>
      <c r="G280" s="145" t="e">
        <f>Summary!#REF!</f>
        <v>#REF!</v>
      </c>
      <c r="H280" s="145" t="e">
        <f>Summary!#REF!</f>
        <v>#REF!</v>
      </c>
      <c r="I280" s="145">
        <f t="shared" si="13"/>
        <v>0</v>
      </c>
      <c r="J280" s="145" t="e">
        <f>Summary!#REF!</f>
        <v>#REF!</v>
      </c>
      <c r="K280" s="146" t="e">
        <f t="shared" si="14"/>
        <v>#REF!</v>
      </c>
      <c r="M280" s="13"/>
      <c r="N280" s="147"/>
    </row>
    <row r="281" spans="2:14" ht="18" customHeight="1" x14ac:dyDescent="0.8">
      <c r="B281" s="206" t="e">
        <f>Summary!#REF!</f>
        <v>#REF!</v>
      </c>
      <c r="C281" s="144"/>
      <c r="D281" s="145" t="e">
        <f>Summary!#REF!</f>
        <v>#REF!</v>
      </c>
      <c r="E281" s="145" t="e">
        <f>Summary!#REF!</f>
        <v>#REF!</v>
      </c>
      <c r="F281" s="145">
        <f t="shared" si="12"/>
        <v>0</v>
      </c>
      <c r="G281" s="145" t="e">
        <f>Summary!#REF!</f>
        <v>#REF!</v>
      </c>
      <c r="H281" s="145" t="e">
        <f>Summary!#REF!</f>
        <v>#REF!</v>
      </c>
      <c r="I281" s="145">
        <f t="shared" si="13"/>
        <v>0</v>
      </c>
      <c r="J281" s="145" t="e">
        <f>Summary!#REF!</f>
        <v>#REF!</v>
      </c>
      <c r="K281" s="146" t="e">
        <f t="shared" si="14"/>
        <v>#REF!</v>
      </c>
      <c r="M281" s="13"/>
      <c r="N281" s="147"/>
    </row>
    <row r="282" spans="2:14" ht="18" customHeight="1" x14ac:dyDescent="0.8">
      <c r="B282" s="206" t="e">
        <f>Summary!#REF!</f>
        <v>#REF!</v>
      </c>
      <c r="C282" s="144"/>
      <c r="D282" s="145" t="e">
        <f>Summary!#REF!</f>
        <v>#REF!</v>
      </c>
      <c r="E282" s="145" t="e">
        <f>Summary!#REF!</f>
        <v>#REF!</v>
      </c>
      <c r="F282" s="145">
        <f t="shared" si="12"/>
        <v>0</v>
      </c>
      <c r="G282" s="145" t="e">
        <f>Summary!#REF!</f>
        <v>#REF!</v>
      </c>
      <c r="H282" s="145" t="e">
        <f>Summary!#REF!</f>
        <v>#REF!</v>
      </c>
      <c r="I282" s="145">
        <f t="shared" si="13"/>
        <v>0</v>
      </c>
      <c r="J282" s="145" t="e">
        <f>Summary!#REF!</f>
        <v>#REF!</v>
      </c>
      <c r="K282" s="146" t="e">
        <f t="shared" si="14"/>
        <v>#REF!</v>
      </c>
      <c r="M282" s="13"/>
      <c r="N282" s="147"/>
    </row>
    <row r="283" spans="2:14" ht="18" customHeight="1" x14ac:dyDescent="0.8">
      <c r="B283" s="206" t="e">
        <f>Summary!#REF!</f>
        <v>#REF!</v>
      </c>
      <c r="C283" s="144"/>
      <c r="D283" s="145" t="e">
        <f>Summary!#REF!</f>
        <v>#REF!</v>
      </c>
      <c r="E283" s="145" t="e">
        <f>Summary!#REF!</f>
        <v>#REF!</v>
      </c>
      <c r="F283" s="145">
        <f t="shared" si="12"/>
        <v>0</v>
      </c>
      <c r="G283" s="145" t="e">
        <f>Summary!#REF!</f>
        <v>#REF!</v>
      </c>
      <c r="H283" s="145" t="e">
        <f>Summary!#REF!</f>
        <v>#REF!</v>
      </c>
      <c r="I283" s="145">
        <f t="shared" si="13"/>
        <v>0</v>
      </c>
      <c r="J283" s="145" t="e">
        <f>Summary!#REF!</f>
        <v>#REF!</v>
      </c>
      <c r="K283" s="146" t="e">
        <f t="shared" si="14"/>
        <v>#REF!</v>
      </c>
      <c r="M283" s="13"/>
      <c r="N283" s="147"/>
    </row>
    <row r="284" spans="2:14" ht="18" customHeight="1" x14ac:dyDescent="0.8">
      <c r="B284" s="206" t="e">
        <f>Summary!#REF!</f>
        <v>#REF!</v>
      </c>
      <c r="C284" s="144"/>
      <c r="D284" s="145" t="e">
        <f>Summary!#REF!</f>
        <v>#REF!</v>
      </c>
      <c r="E284" s="145" t="e">
        <f>Summary!#REF!</f>
        <v>#REF!</v>
      </c>
      <c r="F284" s="145">
        <f t="shared" si="12"/>
        <v>0</v>
      </c>
      <c r="G284" s="145" t="e">
        <f>Summary!#REF!</f>
        <v>#REF!</v>
      </c>
      <c r="H284" s="145" t="e">
        <f>Summary!#REF!</f>
        <v>#REF!</v>
      </c>
      <c r="I284" s="145">
        <f t="shared" si="13"/>
        <v>0</v>
      </c>
      <c r="J284" s="145" t="e">
        <f>Summary!#REF!</f>
        <v>#REF!</v>
      </c>
      <c r="K284" s="146" t="e">
        <f t="shared" si="14"/>
        <v>#REF!</v>
      </c>
      <c r="M284" s="13"/>
      <c r="N284" s="147"/>
    </row>
    <row r="285" spans="2:14" ht="18" customHeight="1" x14ac:dyDescent="0.8">
      <c r="B285" s="206" t="e">
        <f>Summary!#REF!</f>
        <v>#REF!</v>
      </c>
      <c r="C285" s="144"/>
      <c r="D285" s="145" t="e">
        <f>Summary!#REF!</f>
        <v>#REF!</v>
      </c>
      <c r="E285" s="145" t="e">
        <f>Summary!#REF!</f>
        <v>#REF!</v>
      </c>
      <c r="F285" s="145">
        <f t="shared" si="12"/>
        <v>0</v>
      </c>
      <c r="G285" s="145" t="e">
        <f>Summary!#REF!</f>
        <v>#REF!</v>
      </c>
      <c r="H285" s="145" t="e">
        <f>Summary!#REF!</f>
        <v>#REF!</v>
      </c>
      <c r="I285" s="145">
        <f t="shared" si="13"/>
        <v>0</v>
      </c>
      <c r="J285" s="145" t="e">
        <f>Summary!#REF!</f>
        <v>#REF!</v>
      </c>
      <c r="K285" s="146" t="e">
        <f t="shared" si="14"/>
        <v>#REF!</v>
      </c>
      <c r="M285" s="13"/>
      <c r="N285" s="147"/>
    </row>
    <row r="286" spans="2:14" ht="18" customHeight="1" x14ac:dyDescent="0.8">
      <c r="B286" s="206" t="e">
        <f>Summary!#REF!</f>
        <v>#REF!</v>
      </c>
      <c r="C286" s="144"/>
      <c r="D286" s="145" t="e">
        <f>Summary!#REF!</f>
        <v>#REF!</v>
      </c>
      <c r="E286" s="145" t="e">
        <f>Summary!#REF!</f>
        <v>#REF!</v>
      </c>
      <c r="F286" s="145">
        <f t="shared" si="12"/>
        <v>0</v>
      </c>
      <c r="G286" s="145" t="e">
        <f>Summary!#REF!</f>
        <v>#REF!</v>
      </c>
      <c r="H286" s="145" t="e">
        <f>Summary!#REF!</f>
        <v>#REF!</v>
      </c>
      <c r="I286" s="145">
        <f t="shared" si="13"/>
        <v>0</v>
      </c>
      <c r="J286" s="145" t="e">
        <f>Summary!#REF!</f>
        <v>#REF!</v>
      </c>
      <c r="K286" s="146" t="e">
        <f t="shared" si="14"/>
        <v>#REF!</v>
      </c>
      <c r="M286" s="13"/>
      <c r="N286" s="147"/>
    </row>
    <row r="287" spans="2:14" ht="18" customHeight="1" x14ac:dyDescent="0.8">
      <c r="B287" s="206" t="e">
        <f>Summary!#REF!</f>
        <v>#REF!</v>
      </c>
      <c r="C287" s="144"/>
      <c r="D287" s="145" t="e">
        <f>Summary!#REF!</f>
        <v>#REF!</v>
      </c>
      <c r="E287" s="145" t="e">
        <f>Summary!#REF!</f>
        <v>#REF!</v>
      </c>
      <c r="F287" s="145">
        <f t="shared" si="12"/>
        <v>0</v>
      </c>
      <c r="G287" s="145" t="e">
        <f>Summary!#REF!</f>
        <v>#REF!</v>
      </c>
      <c r="H287" s="145" t="e">
        <f>Summary!#REF!</f>
        <v>#REF!</v>
      </c>
      <c r="I287" s="145">
        <f t="shared" si="13"/>
        <v>0</v>
      </c>
      <c r="J287" s="145" t="e">
        <f>Summary!#REF!</f>
        <v>#REF!</v>
      </c>
      <c r="K287" s="146" t="e">
        <f t="shared" si="14"/>
        <v>#REF!</v>
      </c>
      <c r="M287" s="13"/>
      <c r="N287" s="147"/>
    </row>
    <row r="288" spans="2:14" ht="18" customHeight="1" x14ac:dyDescent="0.8">
      <c r="B288" s="206" t="e">
        <f>Summary!#REF!</f>
        <v>#REF!</v>
      </c>
      <c r="C288" s="144"/>
      <c r="D288" s="145" t="e">
        <f>Summary!#REF!</f>
        <v>#REF!</v>
      </c>
      <c r="E288" s="145" t="e">
        <f>Summary!#REF!</f>
        <v>#REF!</v>
      </c>
      <c r="F288" s="145">
        <f t="shared" si="12"/>
        <v>0</v>
      </c>
      <c r="G288" s="145" t="e">
        <f>Summary!#REF!</f>
        <v>#REF!</v>
      </c>
      <c r="H288" s="145" t="e">
        <f>Summary!#REF!</f>
        <v>#REF!</v>
      </c>
      <c r="I288" s="145">
        <f t="shared" si="13"/>
        <v>0</v>
      </c>
      <c r="J288" s="145" t="e">
        <f>Summary!#REF!</f>
        <v>#REF!</v>
      </c>
      <c r="K288" s="146" t="e">
        <f t="shared" si="14"/>
        <v>#REF!</v>
      </c>
      <c r="M288" s="13"/>
      <c r="N288" s="147"/>
    </row>
    <row r="289" spans="2:14" ht="18" customHeight="1" x14ac:dyDescent="0.8">
      <c r="B289" s="206" t="e">
        <f>Summary!#REF!</f>
        <v>#REF!</v>
      </c>
      <c r="C289" s="144"/>
      <c r="D289" s="145" t="e">
        <f>Summary!#REF!</f>
        <v>#REF!</v>
      </c>
      <c r="E289" s="145" t="e">
        <f>Summary!#REF!</f>
        <v>#REF!</v>
      </c>
      <c r="F289" s="145">
        <f t="shared" si="12"/>
        <v>0</v>
      </c>
      <c r="G289" s="145" t="e">
        <f>Summary!#REF!</f>
        <v>#REF!</v>
      </c>
      <c r="H289" s="145" t="e">
        <f>Summary!#REF!</f>
        <v>#REF!</v>
      </c>
      <c r="I289" s="145">
        <f t="shared" si="13"/>
        <v>0</v>
      </c>
      <c r="J289" s="145" t="e">
        <f>Summary!#REF!</f>
        <v>#REF!</v>
      </c>
      <c r="K289" s="146" t="e">
        <f t="shared" si="14"/>
        <v>#REF!</v>
      </c>
      <c r="M289" s="13"/>
      <c r="N289" s="147"/>
    </row>
    <row r="290" spans="2:14" ht="18" customHeight="1" x14ac:dyDescent="0.8">
      <c r="B290" s="206" t="e">
        <f>Summary!#REF!</f>
        <v>#REF!</v>
      </c>
      <c r="C290" s="144"/>
      <c r="D290" s="145" t="e">
        <f>Summary!#REF!</f>
        <v>#REF!</v>
      </c>
      <c r="E290" s="145" t="e">
        <f>Summary!#REF!</f>
        <v>#REF!</v>
      </c>
      <c r="F290" s="145">
        <f t="shared" si="12"/>
        <v>0</v>
      </c>
      <c r="G290" s="145" t="e">
        <f>Summary!#REF!</f>
        <v>#REF!</v>
      </c>
      <c r="H290" s="145" t="e">
        <f>Summary!#REF!</f>
        <v>#REF!</v>
      </c>
      <c r="I290" s="145">
        <f t="shared" si="13"/>
        <v>0</v>
      </c>
      <c r="J290" s="145" t="e">
        <f>Summary!#REF!</f>
        <v>#REF!</v>
      </c>
      <c r="K290" s="146" t="e">
        <f t="shared" si="14"/>
        <v>#REF!</v>
      </c>
      <c r="M290" s="13"/>
      <c r="N290" s="147"/>
    </row>
    <row r="291" spans="2:14" ht="18" customHeight="1" x14ac:dyDescent="0.8">
      <c r="B291" s="206" t="e">
        <f>Summary!#REF!</f>
        <v>#REF!</v>
      </c>
      <c r="C291" s="144"/>
      <c r="D291" s="145" t="e">
        <f>Summary!#REF!</f>
        <v>#REF!</v>
      </c>
      <c r="E291" s="145" t="e">
        <f>Summary!#REF!</f>
        <v>#REF!</v>
      </c>
      <c r="F291" s="145">
        <f t="shared" si="12"/>
        <v>0</v>
      </c>
      <c r="G291" s="145" t="e">
        <f>Summary!#REF!</f>
        <v>#REF!</v>
      </c>
      <c r="H291" s="145" t="e">
        <f>Summary!#REF!</f>
        <v>#REF!</v>
      </c>
      <c r="I291" s="145">
        <f t="shared" si="13"/>
        <v>0</v>
      </c>
      <c r="J291" s="145" t="e">
        <f>Summary!#REF!</f>
        <v>#REF!</v>
      </c>
      <c r="K291" s="146" t="e">
        <f t="shared" si="14"/>
        <v>#REF!</v>
      </c>
      <c r="M291" s="13"/>
      <c r="N291" s="147"/>
    </row>
    <row r="292" spans="2:14" ht="18" customHeight="1" x14ac:dyDescent="0.8">
      <c r="B292" s="206" t="e">
        <f>Summary!#REF!</f>
        <v>#REF!</v>
      </c>
      <c r="C292" s="144"/>
      <c r="D292" s="145" t="e">
        <f>Summary!#REF!</f>
        <v>#REF!</v>
      </c>
      <c r="E292" s="145" t="e">
        <f>Summary!#REF!</f>
        <v>#REF!</v>
      </c>
      <c r="F292" s="145">
        <f t="shared" si="12"/>
        <v>0</v>
      </c>
      <c r="G292" s="145" t="e">
        <f>Summary!#REF!</f>
        <v>#REF!</v>
      </c>
      <c r="H292" s="145" t="e">
        <f>Summary!#REF!</f>
        <v>#REF!</v>
      </c>
      <c r="I292" s="145">
        <f t="shared" si="13"/>
        <v>0</v>
      </c>
      <c r="J292" s="145" t="e">
        <f>Summary!#REF!</f>
        <v>#REF!</v>
      </c>
      <c r="K292" s="146" t="e">
        <f t="shared" si="14"/>
        <v>#REF!</v>
      </c>
      <c r="M292" s="13"/>
      <c r="N292" s="147"/>
    </row>
    <row r="293" spans="2:14" ht="18" customHeight="1" x14ac:dyDescent="0.8">
      <c r="B293" s="206" t="e">
        <f>Summary!#REF!</f>
        <v>#REF!</v>
      </c>
      <c r="C293" s="144"/>
      <c r="D293" s="145" t="e">
        <f>Summary!#REF!</f>
        <v>#REF!</v>
      </c>
      <c r="E293" s="145" t="e">
        <f>Summary!#REF!</f>
        <v>#REF!</v>
      </c>
      <c r="F293" s="145">
        <f t="shared" si="12"/>
        <v>0</v>
      </c>
      <c r="G293" s="145" t="e">
        <f>Summary!#REF!</f>
        <v>#REF!</v>
      </c>
      <c r="H293" s="145" t="e">
        <f>Summary!#REF!</f>
        <v>#REF!</v>
      </c>
      <c r="I293" s="145">
        <f t="shared" si="13"/>
        <v>0</v>
      </c>
      <c r="J293" s="145" t="e">
        <f>Summary!#REF!</f>
        <v>#REF!</v>
      </c>
      <c r="K293" s="146" t="e">
        <f t="shared" si="14"/>
        <v>#REF!</v>
      </c>
      <c r="M293" s="13"/>
      <c r="N293" s="147"/>
    </row>
    <row r="294" spans="2:14" ht="18" customHeight="1" x14ac:dyDescent="0.8">
      <c r="B294" s="206" t="e">
        <f>Summary!#REF!</f>
        <v>#REF!</v>
      </c>
      <c r="C294" s="144"/>
      <c r="D294" s="145" t="e">
        <f>Summary!#REF!</f>
        <v>#REF!</v>
      </c>
      <c r="E294" s="145" t="e">
        <f>Summary!#REF!</f>
        <v>#REF!</v>
      </c>
      <c r="F294" s="145">
        <f t="shared" si="12"/>
        <v>0</v>
      </c>
      <c r="G294" s="145" t="e">
        <f>Summary!#REF!</f>
        <v>#REF!</v>
      </c>
      <c r="H294" s="145" t="e">
        <f>Summary!#REF!</f>
        <v>#REF!</v>
      </c>
      <c r="I294" s="145">
        <f t="shared" si="13"/>
        <v>0</v>
      </c>
      <c r="J294" s="145" t="e">
        <f>Summary!#REF!</f>
        <v>#REF!</v>
      </c>
      <c r="K294" s="146" t="e">
        <f t="shared" si="14"/>
        <v>#REF!</v>
      </c>
      <c r="M294" s="13"/>
      <c r="N294" s="147"/>
    </row>
    <row r="295" spans="2:14" ht="18" customHeight="1" x14ac:dyDescent="0.8">
      <c r="B295" s="206" t="e">
        <f>Summary!#REF!</f>
        <v>#REF!</v>
      </c>
      <c r="C295" s="144"/>
      <c r="D295" s="145" t="e">
        <f>Summary!#REF!</f>
        <v>#REF!</v>
      </c>
      <c r="E295" s="145" t="e">
        <f>Summary!#REF!</f>
        <v>#REF!</v>
      </c>
      <c r="F295" s="145">
        <f t="shared" si="12"/>
        <v>0</v>
      </c>
      <c r="G295" s="145" t="e">
        <f>Summary!#REF!</f>
        <v>#REF!</v>
      </c>
      <c r="H295" s="145" t="e">
        <f>Summary!#REF!</f>
        <v>#REF!</v>
      </c>
      <c r="I295" s="145">
        <f t="shared" si="13"/>
        <v>0</v>
      </c>
      <c r="J295" s="145" t="e">
        <f>Summary!#REF!</f>
        <v>#REF!</v>
      </c>
      <c r="K295" s="146" t="e">
        <f t="shared" si="14"/>
        <v>#REF!</v>
      </c>
      <c r="M295" s="13"/>
      <c r="N295" s="147"/>
    </row>
    <row r="296" spans="2:14" ht="18" customHeight="1" x14ac:dyDescent="0.8">
      <c r="B296" s="206" t="e">
        <f>Summary!#REF!</f>
        <v>#REF!</v>
      </c>
      <c r="C296" s="144"/>
      <c r="D296" s="145" t="e">
        <f>Summary!#REF!</f>
        <v>#REF!</v>
      </c>
      <c r="E296" s="145" t="e">
        <f>Summary!#REF!</f>
        <v>#REF!</v>
      </c>
      <c r="F296" s="145">
        <f t="shared" si="12"/>
        <v>0</v>
      </c>
      <c r="G296" s="145" t="e">
        <f>Summary!#REF!</f>
        <v>#REF!</v>
      </c>
      <c r="H296" s="145" t="e">
        <f>Summary!#REF!</f>
        <v>#REF!</v>
      </c>
      <c r="I296" s="145">
        <f t="shared" si="13"/>
        <v>0</v>
      </c>
      <c r="J296" s="145" t="e">
        <f>Summary!#REF!</f>
        <v>#REF!</v>
      </c>
      <c r="K296" s="146" t="e">
        <f t="shared" si="14"/>
        <v>#REF!</v>
      </c>
      <c r="M296" s="13"/>
      <c r="N296" s="147"/>
    </row>
    <row r="297" spans="2:14" ht="18" customHeight="1" x14ac:dyDescent="0.8">
      <c r="B297" s="206" t="e">
        <f>Summary!#REF!</f>
        <v>#REF!</v>
      </c>
      <c r="C297" s="144"/>
      <c r="D297" s="145" t="e">
        <f>Summary!#REF!</f>
        <v>#REF!</v>
      </c>
      <c r="E297" s="145" t="e">
        <f>Summary!#REF!</f>
        <v>#REF!</v>
      </c>
      <c r="F297" s="145">
        <f t="shared" si="12"/>
        <v>0</v>
      </c>
      <c r="G297" s="145" t="e">
        <f>Summary!#REF!</f>
        <v>#REF!</v>
      </c>
      <c r="H297" s="145" t="e">
        <f>Summary!#REF!</f>
        <v>#REF!</v>
      </c>
      <c r="I297" s="145">
        <f t="shared" si="13"/>
        <v>0</v>
      </c>
      <c r="J297" s="145" t="e">
        <f>Summary!#REF!</f>
        <v>#REF!</v>
      </c>
      <c r="K297" s="146" t="e">
        <f t="shared" si="14"/>
        <v>#REF!</v>
      </c>
      <c r="M297" s="13"/>
      <c r="N297" s="147"/>
    </row>
    <row r="298" spans="2:14" ht="18" customHeight="1" x14ac:dyDescent="0.8">
      <c r="B298" s="206" t="e">
        <f>Summary!#REF!</f>
        <v>#REF!</v>
      </c>
      <c r="C298" s="144"/>
      <c r="D298" s="145" t="e">
        <f>Summary!#REF!</f>
        <v>#REF!</v>
      </c>
      <c r="E298" s="145" t="e">
        <f>Summary!#REF!</f>
        <v>#REF!</v>
      </c>
      <c r="F298" s="145">
        <f t="shared" si="12"/>
        <v>0</v>
      </c>
      <c r="G298" s="145" t="e">
        <f>Summary!#REF!</f>
        <v>#REF!</v>
      </c>
      <c r="H298" s="145" t="e">
        <f>Summary!#REF!</f>
        <v>#REF!</v>
      </c>
      <c r="I298" s="145">
        <f t="shared" si="13"/>
        <v>0</v>
      </c>
      <c r="J298" s="145" t="e">
        <f>Summary!#REF!</f>
        <v>#REF!</v>
      </c>
      <c r="K298" s="146" t="e">
        <f t="shared" si="14"/>
        <v>#REF!</v>
      </c>
      <c r="M298" s="13"/>
      <c r="N298" s="147"/>
    </row>
    <row r="299" spans="2:14" ht="18" customHeight="1" x14ac:dyDescent="0.8">
      <c r="B299" s="206" t="e">
        <f>Summary!#REF!</f>
        <v>#REF!</v>
      </c>
      <c r="C299" s="144"/>
      <c r="D299" s="145" t="e">
        <f>Summary!#REF!</f>
        <v>#REF!</v>
      </c>
      <c r="E299" s="145" t="e">
        <f>Summary!#REF!</f>
        <v>#REF!</v>
      </c>
      <c r="F299" s="145">
        <f t="shared" si="12"/>
        <v>0</v>
      </c>
      <c r="G299" s="145" t="e">
        <f>Summary!#REF!</f>
        <v>#REF!</v>
      </c>
      <c r="H299" s="145" t="e">
        <f>Summary!#REF!</f>
        <v>#REF!</v>
      </c>
      <c r="I299" s="145">
        <f t="shared" si="13"/>
        <v>0</v>
      </c>
      <c r="J299" s="145" t="e">
        <f>Summary!#REF!</f>
        <v>#REF!</v>
      </c>
      <c r="K299" s="146" t="e">
        <f t="shared" si="14"/>
        <v>#REF!</v>
      </c>
      <c r="M299" s="13"/>
      <c r="N299" s="147"/>
    </row>
    <row r="300" spans="2:14" ht="18" customHeight="1" x14ac:dyDescent="0.8">
      <c r="B300" s="206" t="e">
        <f>Summary!#REF!</f>
        <v>#REF!</v>
      </c>
      <c r="C300" s="144"/>
      <c r="D300" s="145" t="e">
        <f>Summary!#REF!</f>
        <v>#REF!</v>
      </c>
      <c r="E300" s="145" t="e">
        <f>Summary!#REF!</f>
        <v>#REF!</v>
      </c>
      <c r="F300" s="145">
        <f t="shared" si="12"/>
        <v>0</v>
      </c>
      <c r="G300" s="145" t="e">
        <f>Summary!#REF!</f>
        <v>#REF!</v>
      </c>
      <c r="H300" s="145" t="e">
        <f>Summary!#REF!</f>
        <v>#REF!</v>
      </c>
      <c r="I300" s="145">
        <f t="shared" si="13"/>
        <v>0</v>
      </c>
      <c r="J300" s="145" t="e">
        <f>Summary!#REF!</f>
        <v>#REF!</v>
      </c>
      <c r="K300" s="146" t="e">
        <f t="shared" si="14"/>
        <v>#REF!</v>
      </c>
      <c r="M300" s="13"/>
      <c r="N300" s="147"/>
    </row>
    <row r="301" spans="2:14" ht="18" customHeight="1" x14ac:dyDescent="0.8">
      <c r="B301" s="206" t="e">
        <f>Summary!#REF!</f>
        <v>#REF!</v>
      </c>
      <c r="C301" s="144"/>
      <c r="D301" s="145" t="e">
        <f>Summary!#REF!</f>
        <v>#REF!</v>
      </c>
      <c r="E301" s="145" t="e">
        <f>Summary!#REF!</f>
        <v>#REF!</v>
      </c>
      <c r="F301" s="145">
        <f t="shared" si="12"/>
        <v>0</v>
      </c>
      <c r="G301" s="145" t="e">
        <f>Summary!#REF!</f>
        <v>#REF!</v>
      </c>
      <c r="H301" s="145" t="e">
        <f>Summary!#REF!</f>
        <v>#REF!</v>
      </c>
      <c r="I301" s="145">
        <f t="shared" si="13"/>
        <v>0</v>
      </c>
      <c r="J301" s="145" t="e">
        <f>Summary!#REF!</f>
        <v>#REF!</v>
      </c>
      <c r="K301" s="146" t="e">
        <f t="shared" si="14"/>
        <v>#REF!</v>
      </c>
      <c r="M301" s="13"/>
      <c r="N301" s="147"/>
    </row>
    <row r="302" spans="2:14" ht="18" customHeight="1" x14ac:dyDescent="0.8">
      <c r="B302" s="206" t="e">
        <f>Summary!#REF!</f>
        <v>#REF!</v>
      </c>
      <c r="C302" s="144"/>
      <c r="D302" s="145" t="e">
        <f>Summary!#REF!</f>
        <v>#REF!</v>
      </c>
      <c r="E302" s="145" t="e">
        <f>Summary!#REF!</f>
        <v>#REF!</v>
      </c>
      <c r="F302" s="145">
        <f t="shared" si="12"/>
        <v>0</v>
      </c>
      <c r="G302" s="145" t="e">
        <f>Summary!#REF!</f>
        <v>#REF!</v>
      </c>
      <c r="H302" s="145" t="e">
        <f>Summary!#REF!</f>
        <v>#REF!</v>
      </c>
      <c r="I302" s="145">
        <f t="shared" si="13"/>
        <v>0</v>
      </c>
      <c r="J302" s="145" t="e">
        <f>Summary!#REF!</f>
        <v>#REF!</v>
      </c>
      <c r="K302" s="146" t="e">
        <f t="shared" si="14"/>
        <v>#REF!</v>
      </c>
      <c r="M302" s="13"/>
      <c r="N302" s="147"/>
    </row>
    <row r="303" spans="2:14" ht="18" customHeight="1" x14ac:dyDescent="0.8">
      <c r="B303" s="206" t="e">
        <f>Summary!#REF!</f>
        <v>#REF!</v>
      </c>
      <c r="C303" s="144"/>
      <c r="D303" s="145" t="e">
        <f>Summary!#REF!</f>
        <v>#REF!</v>
      </c>
      <c r="E303" s="145" t="e">
        <f>Summary!#REF!</f>
        <v>#REF!</v>
      </c>
      <c r="F303" s="145">
        <f t="shared" si="12"/>
        <v>0</v>
      </c>
      <c r="G303" s="145" t="e">
        <f>Summary!#REF!</f>
        <v>#REF!</v>
      </c>
      <c r="H303" s="145" t="e">
        <f>Summary!#REF!</f>
        <v>#REF!</v>
      </c>
      <c r="I303" s="145">
        <f t="shared" si="13"/>
        <v>0</v>
      </c>
      <c r="J303" s="145" t="e">
        <f>Summary!#REF!</f>
        <v>#REF!</v>
      </c>
      <c r="K303" s="146" t="e">
        <f t="shared" si="14"/>
        <v>#REF!</v>
      </c>
      <c r="M303" s="13"/>
      <c r="N303" s="147"/>
    </row>
    <row r="304" spans="2:14" ht="18" customHeight="1" x14ac:dyDescent="0.8">
      <c r="B304" s="206" t="e">
        <f>Summary!#REF!</f>
        <v>#REF!</v>
      </c>
      <c r="C304" s="144"/>
      <c r="D304" s="145" t="e">
        <f>Summary!#REF!</f>
        <v>#REF!</v>
      </c>
      <c r="E304" s="145" t="e">
        <f>Summary!#REF!</f>
        <v>#REF!</v>
      </c>
      <c r="F304" s="145">
        <f t="shared" si="12"/>
        <v>0</v>
      </c>
      <c r="G304" s="145" t="e">
        <f>Summary!#REF!</f>
        <v>#REF!</v>
      </c>
      <c r="H304" s="145" t="e">
        <f>Summary!#REF!</f>
        <v>#REF!</v>
      </c>
      <c r="I304" s="145">
        <f t="shared" si="13"/>
        <v>0</v>
      </c>
      <c r="J304" s="145" t="e">
        <f>Summary!#REF!</f>
        <v>#REF!</v>
      </c>
      <c r="K304" s="146" t="e">
        <f t="shared" si="14"/>
        <v>#REF!</v>
      </c>
      <c r="M304" s="13"/>
      <c r="N304" s="147"/>
    </row>
    <row r="305" spans="2:14" ht="18" customHeight="1" x14ac:dyDescent="0.8">
      <c r="B305" s="206" t="e">
        <f>Summary!#REF!</f>
        <v>#REF!</v>
      </c>
      <c r="C305" s="144"/>
      <c r="D305" s="145" t="e">
        <f>Summary!#REF!</f>
        <v>#REF!</v>
      </c>
      <c r="E305" s="145" t="e">
        <f>Summary!#REF!</f>
        <v>#REF!</v>
      </c>
      <c r="F305" s="145">
        <f t="shared" si="12"/>
        <v>0</v>
      </c>
      <c r="G305" s="145" t="e">
        <f>Summary!#REF!</f>
        <v>#REF!</v>
      </c>
      <c r="H305" s="145" t="e">
        <f>Summary!#REF!</f>
        <v>#REF!</v>
      </c>
      <c r="I305" s="145">
        <f t="shared" si="13"/>
        <v>0</v>
      </c>
      <c r="J305" s="145" t="e">
        <f>Summary!#REF!</f>
        <v>#REF!</v>
      </c>
      <c r="K305" s="146" t="e">
        <f t="shared" si="14"/>
        <v>#REF!</v>
      </c>
      <c r="M305" s="13"/>
      <c r="N305" s="147"/>
    </row>
  </sheetData>
  <sheetProtection sort="0" autoFilter="0" pivotTables="0"/>
  <autoFilter ref="B5:K105" xr:uid="{00000000-0009-0000-0000-000003000000}"/>
  <mergeCells count="1">
    <mergeCell ref="B3:C3"/>
  </mergeCells>
  <pageMargins left="0.70866141732283472" right="0.70866141732283472" top="0.74803149606299213" bottom="0.74803149606299213" header="0.31496062992125984" footer="0.31496062992125984"/>
  <pageSetup scale="37"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92100C3-86B0-4DB3-A062-06B766DC2AF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HelpTips</vt:lpstr>
      <vt:lpstr>Examples</vt:lpstr>
      <vt:lpstr>Summary</vt:lpstr>
      <vt:lpstr>Transactions</vt:lpstr>
      <vt:lpstr>Monthly</vt:lpstr>
      <vt:lpstr>Daily</vt:lpstr>
      <vt:lpstr>Customers</vt:lpstr>
      <vt:lpstr>Vendors</vt:lpstr>
      <vt:lpstr>Accounts</vt:lpstr>
      <vt:lpstr>ListSelections</vt:lpstr>
      <vt:lpstr>Inventory Report</vt:lpstr>
      <vt:lpstr>CustomersList</vt:lpstr>
      <vt:lpstr>ItemsColumn</vt:lpstr>
      <vt:lpstr>ListSelections</vt:lpstr>
      <vt:lpstr>TransactionsRange</vt:lpstr>
      <vt:lpstr>Accounts!VendorsList</vt:lpstr>
      <vt:lpstr>VendorsList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Amer Amiri</dc:creator>
  <cp:lastModifiedBy>Amer Amiri</cp:lastModifiedBy>
  <dcterms:created xsi:type="dcterms:W3CDTF">2025-03-15T15:25:31Z</dcterms:created>
  <dcterms:modified xsi:type="dcterms:W3CDTF">2025-09-10T11:31:09Z</dcterms:modified>
</cp:coreProperties>
</file>